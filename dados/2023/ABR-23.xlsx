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11-Abril-23\"/>
    </mc:Choice>
  </mc:AlternateContent>
  <xr:revisionPtr revIDLastSave="0" documentId="13_ncr:1_{073FAD95-A216-4BF5-975C-6467A09481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Planilha1" sheetId="2" r:id="rId2"/>
  </sheets>
  <definedNames>
    <definedName name="_xlnm.Print_Area" localSheetId="0">'São Carlos'!$A$1:$S$116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3" i="1" l="1"/>
  <c r="J83" i="1" s="1"/>
  <c r="G81" i="1"/>
  <c r="K83" i="1" l="1"/>
  <c r="L83" i="1" s="1"/>
  <c r="M83" i="1" s="1"/>
  <c r="N83" i="1" s="1"/>
  <c r="I79" i="1" l="1"/>
  <c r="J79" i="1" s="1"/>
  <c r="K79" i="1" s="1"/>
  <c r="G67" i="1"/>
  <c r="I58" i="1"/>
  <c r="J58" i="1" s="1"/>
  <c r="I57" i="1"/>
  <c r="J57" i="1" s="1"/>
  <c r="I56" i="1"/>
  <c r="J56" i="1" s="1"/>
  <c r="I53" i="1"/>
  <c r="J53" i="1" s="1"/>
  <c r="I52" i="1"/>
  <c r="J52" i="1" s="1"/>
  <c r="I51" i="1"/>
  <c r="J51" i="1" s="1"/>
  <c r="I50" i="1"/>
  <c r="J50" i="1" s="1"/>
  <c r="I47" i="1"/>
  <c r="J47" i="1" s="1"/>
  <c r="K47" i="1" s="1"/>
  <c r="I48" i="1"/>
  <c r="J48" i="1" s="1"/>
  <c r="K48" i="1" s="1"/>
  <c r="I49" i="1"/>
  <c r="J49" i="1" s="1"/>
  <c r="K49" i="1" s="1"/>
  <c r="L49" i="1" s="1"/>
  <c r="M49" i="1" s="1"/>
  <c r="I54" i="1"/>
  <c r="J54" i="1" s="1"/>
  <c r="K54" i="1" s="1"/>
  <c r="I55" i="1"/>
  <c r="J55" i="1" s="1"/>
  <c r="I46" i="1"/>
  <c r="J46" i="1" s="1"/>
  <c r="I45" i="1"/>
  <c r="J45" i="1" s="1"/>
  <c r="I44" i="1"/>
  <c r="J44" i="1" s="1"/>
  <c r="I43" i="1"/>
  <c r="J43" i="1" s="1"/>
  <c r="I32" i="1"/>
  <c r="J32" i="1" s="1"/>
  <c r="I42" i="1"/>
  <c r="J42" i="1" s="1"/>
  <c r="I41" i="1"/>
  <c r="J41" i="1" s="1"/>
  <c r="I40" i="1"/>
  <c r="J40" i="1" s="1"/>
  <c r="K40" i="1" s="1"/>
  <c r="L40" i="1" s="1"/>
  <c r="M40" i="1" s="1"/>
  <c r="L79" i="1" l="1"/>
  <c r="M79" i="1" s="1"/>
  <c r="N79" i="1" s="1"/>
  <c r="K58" i="1"/>
  <c r="L58" i="1" s="1"/>
  <c r="M58" i="1" s="1"/>
  <c r="K57" i="1"/>
  <c r="L57" i="1" s="1"/>
  <c r="M57" i="1" s="1"/>
  <c r="K56" i="1"/>
  <c r="L56" i="1" s="1"/>
  <c r="M56" i="1" s="1"/>
  <c r="K55" i="1"/>
  <c r="L55" i="1" s="1"/>
  <c r="M55" i="1" s="1"/>
  <c r="L47" i="1"/>
  <c r="M47" i="1" s="1"/>
  <c r="K53" i="1"/>
  <c r="L53" i="1" s="1"/>
  <c r="M53" i="1" s="1"/>
  <c r="K52" i="1"/>
  <c r="L52" i="1" s="1"/>
  <c r="M52" i="1" s="1"/>
  <c r="K51" i="1"/>
  <c r="L51" i="1" s="1"/>
  <c r="M51" i="1" s="1"/>
  <c r="K50" i="1"/>
  <c r="L50" i="1" s="1"/>
  <c r="M50" i="1" s="1"/>
  <c r="N50" i="1" s="1"/>
  <c r="L54" i="1"/>
  <c r="M54" i="1" s="1"/>
  <c r="L48" i="1"/>
  <c r="M48" i="1" s="1"/>
  <c r="K46" i="1"/>
  <c r="L46" i="1" s="1"/>
  <c r="M46" i="1" s="1"/>
  <c r="K45" i="1"/>
  <c r="L45" i="1" s="1"/>
  <c r="M45" i="1" s="1"/>
  <c r="K44" i="1"/>
  <c r="L44" i="1" s="1"/>
  <c r="M44" i="1" s="1"/>
  <c r="K43" i="1"/>
  <c r="L43" i="1" s="1"/>
  <c r="M43" i="1" s="1"/>
  <c r="K32" i="1"/>
  <c r="L32" i="1" s="1"/>
  <c r="M32" i="1" s="1"/>
  <c r="N32" i="1" s="1"/>
  <c r="K42" i="1"/>
  <c r="L42" i="1" s="1"/>
  <c r="M42" i="1" s="1"/>
  <c r="K41" i="1"/>
  <c r="L41" i="1" s="1"/>
  <c r="N43" i="1" l="1"/>
  <c r="N48" i="1"/>
  <c r="N54" i="1"/>
  <c r="N52" i="1"/>
  <c r="N56" i="1"/>
  <c r="N47" i="1"/>
  <c r="N49" i="1"/>
  <c r="N44" i="1"/>
  <c r="N53" i="1"/>
  <c r="N57" i="1"/>
  <c r="N45" i="1"/>
  <c r="N58" i="1"/>
  <c r="N46" i="1"/>
  <c r="N51" i="1"/>
  <c r="N55" i="1"/>
  <c r="M41" i="1"/>
  <c r="N41" i="1" s="1"/>
  <c r="N42" i="1" l="1"/>
  <c r="I81" i="1" l="1"/>
  <c r="J81" i="1" s="1"/>
  <c r="G77" i="1"/>
  <c r="G76" i="1"/>
  <c r="K81" i="1" l="1"/>
  <c r="L81" i="1" s="1"/>
  <c r="M81" i="1" s="1"/>
  <c r="N81" i="1" s="1"/>
  <c r="I71" i="1" l="1"/>
  <c r="J71" i="1" s="1"/>
  <c r="K71" i="1" s="1"/>
  <c r="G72" i="1"/>
  <c r="L71" i="1" l="1"/>
  <c r="M71" i="1" s="1"/>
  <c r="N7" i="2" l="1"/>
  <c r="O7" i="2" s="1"/>
  <c r="O3" i="2"/>
  <c r="N3" i="2"/>
  <c r="O48" i="2"/>
  <c r="O49" i="2"/>
  <c r="O44" i="2"/>
  <c r="O45" i="2"/>
  <c r="O46" i="2"/>
  <c r="O47" i="2"/>
  <c r="I67" i="1"/>
  <c r="J67" i="1" s="1"/>
  <c r="K67" i="1" l="1"/>
  <c r="L67" i="1" s="1"/>
  <c r="M67" i="1" s="1"/>
  <c r="I77" i="1" l="1"/>
  <c r="J77" i="1" s="1"/>
  <c r="I76" i="1"/>
  <c r="J76" i="1" s="1"/>
  <c r="K76" i="1" l="1"/>
  <c r="L76" i="1" s="1"/>
  <c r="M76" i="1" s="1"/>
  <c r="K77" i="1"/>
  <c r="L77" i="1" s="1"/>
  <c r="M77" i="1" s="1"/>
  <c r="I74" i="1" l="1"/>
  <c r="J74" i="1" s="1"/>
  <c r="K74" i="1" l="1"/>
  <c r="L74" i="1" s="1"/>
  <c r="M74" i="1" s="1"/>
  <c r="I49" i="2" l="1"/>
  <c r="J49" i="2" s="1"/>
  <c r="I48" i="2"/>
  <c r="J48" i="2" s="1"/>
  <c r="I47" i="2"/>
  <c r="J47" i="2" s="1"/>
  <c r="I46" i="2"/>
  <c r="J46" i="2" s="1"/>
  <c r="I45" i="2"/>
  <c r="J45" i="2" s="1"/>
  <c r="I44" i="2"/>
  <c r="J44" i="2" s="1"/>
  <c r="K48" i="2" l="1"/>
  <c r="L48" i="2" s="1"/>
  <c r="M48" i="2" s="1"/>
  <c r="K46" i="2"/>
  <c r="L46" i="2" s="1"/>
  <c r="M46" i="2" s="1"/>
  <c r="K47" i="2"/>
  <c r="L47" i="2"/>
  <c r="M47" i="2" s="1"/>
  <c r="K44" i="2"/>
  <c r="L44" i="2" s="1"/>
  <c r="M44" i="2" s="1"/>
  <c r="K45" i="2"/>
  <c r="L45" i="2" s="1"/>
  <c r="M45" i="2" s="1"/>
  <c r="K49" i="2"/>
  <c r="L49" i="2"/>
  <c r="M49" i="2" s="1"/>
  <c r="R47" i="2" l="1"/>
  <c r="S47" i="2"/>
  <c r="S45" i="2"/>
  <c r="R45" i="2"/>
  <c r="R46" i="2"/>
  <c r="S46" i="2"/>
  <c r="R49" i="2"/>
  <c r="S49" i="2"/>
  <c r="R44" i="2"/>
  <c r="S44" i="2"/>
  <c r="R48" i="2"/>
  <c r="S48" i="2"/>
  <c r="N40" i="1"/>
  <c r="I43" i="2"/>
  <c r="J43" i="2" s="1"/>
  <c r="K43" i="2" l="1"/>
  <c r="L43" i="2" s="1"/>
  <c r="M43" i="2" s="1"/>
  <c r="O42" i="2" l="1"/>
  <c r="I42" i="2"/>
  <c r="J42" i="2" s="1"/>
  <c r="O41" i="2"/>
  <c r="I41" i="2"/>
  <c r="J41" i="2" s="1"/>
  <c r="K41" i="2" s="1"/>
  <c r="L41" i="2" s="1"/>
  <c r="M41" i="2" s="1"/>
  <c r="I39" i="1"/>
  <c r="J39" i="1" s="1"/>
  <c r="O40" i="2"/>
  <c r="I40" i="2"/>
  <c r="J40" i="2" s="1"/>
  <c r="O39" i="2"/>
  <c r="I39" i="2"/>
  <c r="J39" i="2" s="1"/>
  <c r="O38" i="2"/>
  <c r="I38" i="2"/>
  <c r="J38" i="2" s="1"/>
  <c r="O37" i="2"/>
  <c r="I37" i="2"/>
  <c r="J37" i="2" s="1"/>
  <c r="O36" i="2"/>
  <c r="J36" i="2"/>
  <c r="I36" i="2"/>
  <c r="O34" i="2"/>
  <c r="O35" i="2"/>
  <c r="I35" i="2"/>
  <c r="J35" i="2" s="1"/>
  <c r="I34" i="2"/>
  <c r="J34" i="2" s="1"/>
  <c r="I33" i="2"/>
  <c r="J33" i="2" s="1"/>
  <c r="O32" i="2"/>
  <c r="I32" i="2"/>
  <c r="J32" i="2" s="1"/>
  <c r="O31" i="2"/>
  <c r="I31" i="2"/>
  <c r="J31" i="2" s="1"/>
  <c r="O30" i="2"/>
  <c r="I30" i="2"/>
  <c r="J30" i="2" s="1"/>
  <c r="O29" i="2"/>
  <c r="I29" i="2"/>
  <c r="J29" i="2" s="1"/>
  <c r="O28" i="2"/>
  <c r="I28" i="2"/>
  <c r="J28" i="2" s="1"/>
  <c r="O27" i="2"/>
  <c r="I27" i="2"/>
  <c r="J27" i="2" s="1"/>
  <c r="O26" i="2"/>
  <c r="I26" i="2"/>
  <c r="J26" i="2" s="1"/>
  <c r="K26" i="2" s="1"/>
  <c r="O25" i="2"/>
  <c r="I25" i="2"/>
  <c r="J25" i="2" s="1"/>
  <c r="O24" i="2"/>
  <c r="I24" i="2"/>
  <c r="J24" i="2" s="1"/>
  <c r="O23" i="2"/>
  <c r="I23" i="2"/>
  <c r="J23" i="2" s="1"/>
  <c r="O22" i="2"/>
  <c r="J22" i="2"/>
  <c r="K22" i="2" s="1"/>
  <c r="L22" i="2" s="1"/>
  <c r="M22" i="2" s="1"/>
  <c r="R22" i="2" s="1"/>
  <c r="I22" i="2"/>
  <c r="O21" i="2"/>
  <c r="I21" i="2"/>
  <c r="J21" i="2" s="1"/>
  <c r="O20" i="2"/>
  <c r="I20" i="2"/>
  <c r="J20" i="2" s="1"/>
  <c r="O19" i="2"/>
  <c r="I19" i="2"/>
  <c r="J19" i="2" s="1"/>
  <c r="O18" i="2"/>
  <c r="I18" i="2"/>
  <c r="J18" i="2" s="1"/>
  <c r="O17" i="2"/>
  <c r="I17" i="2"/>
  <c r="J17" i="2" s="1"/>
  <c r="O16" i="2"/>
  <c r="I38" i="1"/>
  <c r="J38" i="1" s="1"/>
  <c r="I16" i="2"/>
  <c r="J16" i="2" s="1"/>
  <c r="O15" i="2"/>
  <c r="I15" i="2"/>
  <c r="J15" i="2" s="1"/>
  <c r="O14" i="2"/>
  <c r="I37" i="1"/>
  <c r="J37" i="1" s="1"/>
  <c r="I14" i="2"/>
  <c r="J14" i="2" s="1"/>
  <c r="O13" i="2"/>
  <c r="I13" i="2"/>
  <c r="J13" i="2" s="1"/>
  <c r="O12" i="2"/>
  <c r="I12" i="2"/>
  <c r="J12" i="2" s="1"/>
  <c r="R41" i="2" l="1"/>
  <c r="S41" i="2"/>
  <c r="S22" i="2"/>
  <c r="K42" i="2"/>
  <c r="L42" i="2" s="1"/>
  <c r="M42" i="2" s="1"/>
  <c r="R42" i="2" s="1"/>
  <c r="K39" i="1"/>
  <c r="L39" i="1" s="1"/>
  <c r="M39" i="1" s="1"/>
  <c r="K40" i="2"/>
  <c r="L40" i="2" s="1"/>
  <c r="M40" i="2" s="1"/>
  <c r="R40" i="2" s="1"/>
  <c r="K39" i="2"/>
  <c r="L39" i="2" s="1"/>
  <c r="M39" i="2" s="1"/>
  <c r="R39" i="2" s="1"/>
  <c r="K38" i="2"/>
  <c r="L38" i="2" s="1"/>
  <c r="M38" i="2" s="1"/>
  <c r="R38" i="2" s="1"/>
  <c r="K37" i="2"/>
  <c r="L37" i="2" s="1"/>
  <c r="M37" i="2" s="1"/>
  <c r="K36" i="2"/>
  <c r="L36" i="2" s="1"/>
  <c r="M36" i="2" s="1"/>
  <c r="R36" i="2" s="1"/>
  <c r="K35" i="2"/>
  <c r="L35" i="2" s="1"/>
  <c r="M35" i="2" s="1"/>
  <c r="R35" i="2" s="1"/>
  <c r="K34" i="2"/>
  <c r="L34" i="2" s="1"/>
  <c r="M34" i="2" s="1"/>
  <c r="R34" i="2" s="1"/>
  <c r="K33" i="2"/>
  <c r="L33" i="2" s="1"/>
  <c r="M33" i="2" s="1"/>
  <c r="K32" i="2"/>
  <c r="L32" i="2" s="1"/>
  <c r="M32" i="2" s="1"/>
  <c r="K31" i="2"/>
  <c r="L31" i="2" s="1"/>
  <c r="M31" i="2" s="1"/>
  <c r="R31" i="2" s="1"/>
  <c r="K30" i="2"/>
  <c r="L30" i="2" s="1"/>
  <c r="M30" i="2" s="1"/>
  <c r="K29" i="2"/>
  <c r="L29" i="2" s="1"/>
  <c r="M29" i="2" s="1"/>
  <c r="R29" i="2" s="1"/>
  <c r="K28" i="2"/>
  <c r="L28" i="2" s="1"/>
  <c r="M28" i="2" s="1"/>
  <c r="K27" i="2"/>
  <c r="L27" i="2" s="1"/>
  <c r="M27" i="2" s="1"/>
  <c r="R27" i="2" s="1"/>
  <c r="L26" i="2"/>
  <c r="M26" i="2" s="1"/>
  <c r="K25" i="2"/>
  <c r="L25" i="2" s="1"/>
  <c r="M25" i="2" s="1"/>
  <c r="R25" i="2" s="1"/>
  <c r="K24" i="2"/>
  <c r="L24" i="2" s="1"/>
  <c r="M24" i="2" s="1"/>
  <c r="R24" i="2" s="1"/>
  <c r="K23" i="2"/>
  <c r="L23" i="2" s="1"/>
  <c r="M23" i="2" s="1"/>
  <c r="R23" i="2" s="1"/>
  <c r="K21" i="2"/>
  <c r="L21" i="2" s="1"/>
  <c r="M21" i="2" s="1"/>
  <c r="K20" i="2"/>
  <c r="L20" i="2" s="1"/>
  <c r="M20" i="2" s="1"/>
  <c r="K19" i="2"/>
  <c r="L19" i="2" s="1"/>
  <c r="M19" i="2" s="1"/>
  <c r="R19" i="2" s="1"/>
  <c r="K18" i="2"/>
  <c r="L18" i="2" s="1"/>
  <c r="M18" i="2" s="1"/>
  <c r="R18" i="2" s="1"/>
  <c r="K17" i="2"/>
  <c r="L17" i="2" s="1"/>
  <c r="M17" i="2" s="1"/>
  <c r="R17" i="2" s="1"/>
  <c r="K38" i="1"/>
  <c r="L38" i="1" s="1"/>
  <c r="M38" i="1" s="1"/>
  <c r="K16" i="2"/>
  <c r="L16" i="2" s="1"/>
  <c r="M16" i="2" s="1"/>
  <c r="R16" i="2" s="1"/>
  <c r="K15" i="2"/>
  <c r="L15" i="2" s="1"/>
  <c r="M15" i="2" s="1"/>
  <c r="R15" i="2" s="1"/>
  <c r="K37" i="1"/>
  <c r="L37" i="1" s="1"/>
  <c r="M37" i="1" s="1"/>
  <c r="N37" i="1" s="1"/>
  <c r="K14" i="2"/>
  <c r="L14" i="2" s="1"/>
  <c r="M14" i="2" s="1"/>
  <c r="R14" i="2" s="1"/>
  <c r="K13" i="2"/>
  <c r="L13" i="2" s="1"/>
  <c r="M13" i="2" s="1"/>
  <c r="R13" i="2" s="1"/>
  <c r="K12" i="2"/>
  <c r="L12" i="2" s="1"/>
  <c r="M12" i="2" s="1"/>
  <c r="R12" i="2" s="1"/>
  <c r="S21" i="2" l="1"/>
  <c r="R21" i="2"/>
  <c r="S26" i="2"/>
  <c r="R26" i="2"/>
  <c r="S30" i="2"/>
  <c r="R30" i="2"/>
  <c r="S25" i="2"/>
  <c r="S37" i="2"/>
  <c r="R37" i="2"/>
  <c r="S34" i="2"/>
  <c r="S20" i="2"/>
  <c r="R20" i="2"/>
  <c r="N43" i="2"/>
  <c r="O43" i="2" s="1"/>
  <c r="R28" i="2"/>
  <c r="S32" i="2"/>
  <c r="R32" i="2"/>
  <c r="S19" i="2"/>
  <c r="N39" i="1"/>
  <c r="N38" i="1"/>
  <c r="S27" i="2"/>
  <c r="S39" i="2"/>
  <c r="S29" i="2"/>
  <c r="S12" i="2"/>
  <c r="O33" i="2"/>
  <c r="R33" i="2" s="1"/>
  <c r="S40" i="2"/>
  <c r="S18" i="2"/>
  <c r="S13" i="2"/>
  <c r="S36" i="2"/>
  <c r="S35" i="2"/>
  <c r="S15" i="2"/>
  <c r="S14" i="2"/>
  <c r="S23" i="2"/>
  <c r="S28" i="2"/>
  <c r="S24" i="2"/>
  <c r="S17" i="2"/>
  <c r="S38" i="2"/>
  <c r="S16" i="2"/>
  <c r="S42" i="2"/>
  <c r="S31" i="2"/>
  <c r="O11" i="2"/>
  <c r="I11" i="2"/>
  <c r="J11" i="2" s="1"/>
  <c r="O10" i="2"/>
  <c r="G10" i="2"/>
  <c r="I10" i="2"/>
  <c r="J10" i="2" s="1"/>
  <c r="O9" i="2"/>
  <c r="I9" i="2"/>
  <c r="J9" i="2" s="1"/>
  <c r="O8" i="2"/>
  <c r="I8" i="2"/>
  <c r="J8" i="2" s="1"/>
  <c r="I36" i="1"/>
  <c r="J36" i="1" s="1"/>
  <c r="I35" i="1"/>
  <c r="J35" i="1" s="1"/>
  <c r="I34" i="1"/>
  <c r="J34" i="1" s="1"/>
  <c r="I7" i="2"/>
  <c r="J7" i="2" s="1"/>
  <c r="O6" i="2"/>
  <c r="I6" i="2"/>
  <c r="J6" i="2" s="1"/>
  <c r="O5" i="2"/>
  <c r="I5" i="2"/>
  <c r="J5" i="2" s="1"/>
  <c r="I33" i="1"/>
  <c r="J33" i="1" s="1"/>
  <c r="O4" i="2"/>
  <c r="I4" i="2"/>
  <c r="J4" i="2" s="1"/>
  <c r="I3" i="2"/>
  <c r="J3" i="2" s="1"/>
  <c r="S43" i="2" l="1"/>
  <c r="R43" i="2"/>
  <c r="S33" i="2"/>
  <c r="S10" i="2"/>
  <c r="O59" i="2"/>
  <c r="K11" i="2"/>
  <c r="L11" i="2" s="1"/>
  <c r="M11" i="2" s="1"/>
  <c r="R11" i="2" s="1"/>
  <c r="K10" i="2"/>
  <c r="L10" i="2" s="1"/>
  <c r="M10" i="2" s="1"/>
  <c r="R10" i="2" s="1"/>
  <c r="K9" i="2"/>
  <c r="L9" i="2" s="1"/>
  <c r="M9" i="2" s="1"/>
  <c r="R9" i="2" s="1"/>
  <c r="K8" i="2"/>
  <c r="L8" i="2" s="1"/>
  <c r="M8" i="2" s="1"/>
  <c r="R8" i="2" s="1"/>
  <c r="K36" i="1"/>
  <c r="L36" i="1" s="1"/>
  <c r="M36" i="1" s="1"/>
  <c r="K35" i="1"/>
  <c r="L35" i="1" s="1"/>
  <c r="M35" i="1" s="1"/>
  <c r="K34" i="1"/>
  <c r="L34" i="1" s="1"/>
  <c r="M34" i="1" s="1"/>
  <c r="K7" i="2"/>
  <c r="L7" i="2" s="1"/>
  <c r="M7" i="2" s="1"/>
  <c r="R7" i="2" s="1"/>
  <c r="K6" i="2"/>
  <c r="L6" i="2"/>
  <c r="M6" i="2" s="1"/>
  <c r="R6" i="2" s="1"/>
  <c r="K5" i="2"/>
  <c r="L5" i="2" s="1"/>
  <c r="M5" i="2" s="1"/>
  <c r="R5" i="2" s="1"/>
  <c r="K33" i="1"/>
  <c r="L33" i="1" s="1"/>
  <c r="M33" i="1" s="1"/>
  <c r="N33" i="1" s="1"/>
  <c r="K4" i="2"/>
  <c r="L4" i="2" s="1"/>
  <c r="M4" i="2" s="1"/>
  <c r="K3" i="2"/>
  <c r="L3" i="2" s="1"/>
  <c r="M3" i="2" s="1"/>
  <c r="S4" i="2" l="1"/>
  <c r="R4" i="2"/>
  <c r="R3" i="2"/>
  <c r="M59" i="2"/>
  <c r="N62" i="2" s="1"/>
  <c r="N34" i="1"/>
  <c r="N35" i="1"/>
  <c r="N36" i="1"/>
  <c r="S7" i="2"/>
  <c r="S6" i="2"/>
  <c r="S8" i="2"/>
  <c r="S11" i="2"/>
  <c r="S9" i="2"/>
  <c r="S3" i="2"/>
  <c r="S5" i="2"/>
  <c r="S2" i="2" l="1"/>
  <c r="S59" i="2"/>
  <c r="I85" i="1"/>
  <c r="J85" i="1" s="1"/>
  <c r="K85" i="1" l="1"/>
  <c r="L85" i="1" s="1"/>
  <c r="M85" i="1" s="1"/>
  <c r="I65" i="1" l="1"/>
  <c r="J65" i="1" s="1"/>
  <c r="I66" i="1"/>
  <c r="J66" i="1" s="1"/>
  <c r="K65" i="1" l="1"/>
  <c r="L65" i="1" s="1"/>
  <c r="M65" i="1" s="1"/>
  <c r="K66" i="1"/>
  <c r="L66" i="1" s="1"/>
  <c r="M66" i="1" s="1"/>
  <c r="N67" i="1" s="1"/>
  <c r="I70" i="1" l="1"/>
  <c r="J70" i="1" s="1"/>
  <c r="K70" i="1" s="1"/>
  <c r="L70" i="1" s="1"/>
  <c r="M70" i="1" s="1"/>
  <c r="I72" i="1"/>
  <c r="J72" i="1" s="1"/>
  <c r="K72" i="1" s="1"/>
  <c r="L72" i="1" l="1"/>
  <c r="M72" i="1" s="1"/>
  <c r="I69" i="1" l="1"/>
  <c r="J69" i="1" s="1"/>
  <c r="K69" i="1" l="1"/>
  <c r="L69" i="1" s="1"/>
  <c r="M69" i="1" s="1"/>
  <c r="M31" i="1" l="1"/>
  <c r="M64" i="1" l="1"/>
  <c r="N85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l="1"/>
  <c r="N71" i="1" s="1"/>
  <c r="N77" i="1" l="1"/>
  <c r="N76" i="1"/>
  <c r="N74" i="1"/>
  <c r="N66" i="1"/>
  <c r="N65" i="1"/>
  <c r="N69" i="1"/>
  <c r="N70" i="1"/>
  <c r="N72" i="1"/>
  <c r="N19" i="1"/>
  <c r="N18" i="1"/>
  <c r="N23" i="1"/>
  <c r="N21" i="1"/>
  <c r="N26" i="1"/>
  <c r="N20" i="1"/>
  <c r="N27" i="1"/>
  <c r="N25" i="1"/>
  <c r="N24" i="1"/>
  <c r="N28" i="1"/>
  <c r="N22" i="1"/>
  <c r="N17" i="1"/>
  <c r="J87" i="1"/>
  <c r="N16" i="1" l="1"/>
</calcChain>
</file>

<file path=xl/sharedStrings.xml><?xml version="1.0" encoding="utf-8"?>
<sst xmlns="http://schemas.openxmlformats.org/spreadsheetml/2006/main" count="652" uniqueCount="232">
  <si>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</si>
  <si>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</si>
  <si>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</si>
  <si>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</si>
  <si>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</si>
  <si>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</si>
  <si>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</si>
  <si>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</si>
  <si>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</si>
  <si>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</si>
  <si>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</si>
  <si>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</si>
  <si>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</si>
  <si>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</si>
  <si>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</si>
  <si>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</si>
  <si>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</si>
  <si>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</si>
  <si>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</si>
  <si>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</si>
  <si>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</si>
  <si>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</si>
  <si>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</si>
  <si>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</si>
  <si>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</si>
  <si>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</si>
  <si>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</si>
  <si>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</si>
  <si>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</si>
  <si>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</si>
  <si>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</si>
  <si>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</si>
  <si>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</si>
  <si>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</si>
  <si>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</si>
  <si>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</si>
  <si>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</si>
  <si>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</si>
  <si>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</si>
  <si>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</si>
  <si>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</si>
  <si>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</si>
  <si>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</si>
  <si>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</si>
  <si>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</si>
  <si>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</si>
  <si>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</si>
  <si>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</si>
  <si>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</si>
  <si>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</si>
  <si>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</si>
  <si>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</si>
  <si>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</si>
  <si>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</si>
  <si>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</si>
  <si>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</si>
  <si>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</si>
  <si>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r>
      <t xml:space="preserve">Mês de referência: </t>
    </r>
    <r>
      <rPr>
        <sz val="8"/>
        <color rgb="FFFF0000"/>
        <rFont val="Arial"/>
        <family val="2"/>
      </rPr>
      <t>Maio/2022 (data da proposta)</t>
    </r>
  </si>
  <si>
    <t>DESCONTO (0,03%)</t>
  </si>
  <si>
    <t>ESCONTO (0,03%)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</si>
  <si>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05/2022)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</si>
  <si>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SIFAO PLASTICO FLEXIVEL SAIDA VERTICAL PARA COLUNA LAVATORIO, 1 X 1.1/2 "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</si>
  <si>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</si>
  <si>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</si>
  <si>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</si>
  <si>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</si>
  <si>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</si>
  <si>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</si>
  <si>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</si>
  <si>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</si>
  <si>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</si>
  <si>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</si>
  <si>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</si>
  <si>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</si>
  <si>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</si>
  <si>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</si>
  <si>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</si>
  <si>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</si>
  <si>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</si>
  <si>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</si>
  <si>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</si>
  <si>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</si>
  <si>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</si>
  <si>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</si>
  <si>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</si>
  <si>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</si>
  <si>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</si>
  <si>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</si>
  <si>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</si>
  <si>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</si>
  <si>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</si>
  <si>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</si>
  <si>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</si>
  <si>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</si>
  <si>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</si>
  <si>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</si>
  <si>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</si>
  <si>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</si>
  <si>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</si>
  <si>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</si>
  <si>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</si>
  <si>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</si>
  <si>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</si>
  <si>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</si>
  <si>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</si>
  <si>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m²</t>
  </si>
  <si>
    <t>2.24</t>
  </si>
  <si>
    <t>2.25</t>
  </si>
  <si>
    <t>2.26</t>
  </si>
  <si>
    <t>TORNEIRA METALICA CROMADA DE MESA PARA LAVATORIO, BICA ALTA, COM AREJADOR (REF 1195)</t>
  </si>
  <si>
    <t>KG</t>
  </si>
  <si>
    <t>M</t>
  </si>
  <si>
    <t>ASSENTO SANITARIO DE PLASTICO, TIPO CONVENCIONAL</t>
  </si>
  <si>
    <t>SELANTE ELASTICO MONOCOMPONENTE A BASE DE POLIURETANO (PU) PARA JUNTAS DIVERSAS</t>
  </si>
  <si>
    <t xml:space="preserve"> 88489 </t>
  </si>
  <si>
    <t>APLICAÇÃO MANUAL DE PINTURA COM TINTA LÁTEX ACRÍLICA EM PAREDES, DUAS DEMÃOS. AF_06/2014</t>
  </si>
  <si>
    <t>TORNEIRA METALICA CROMADA PARA JARDIM / TANQUE, COM BICO PLASTICO, CANO LONGO, DE PAREDE, PADRAO POPULAR / USO GERAL , 1/2 " OU 3/4 " (REF 1153 / 1130)</t>
  </si>
  <si>
    <t>FITA ISOLANTE ADESIVA ANTICHAMA, USO ATE 750 V, EM ROLO DE 19 MM X 20 M</t>
  </si>
  <si>
    <t>CIMENTO PORTLAND COMPOSTO CP II-32</t>
  </si>
  <si>
    <t>ACO CA-60, 8,0 MM OU 9,5 MM, VERGALHAO</t>
  </si>
  <si>
    <t>VALOR COMPRA</t>
  </si>
  <si>
    <t>VALOR TOTAL ITEM</t>
  </si>
  <si>
    <t>FORNECEDOR</t>
  </si>
  <si>
    <t>NF</t>
  </si>
  <si>
    <t>RENTABILIDADE</t>
  </si>
  <si>
    <t>TAURUS</t>
  </si>
  <si>
    <t>AREIA GROSSA - POSTO JAZIDA/FORNECEDOR (RETIRADO NA JAZIDA, SEM TRANSPORTE)</t>
  </si>
  <si>
    <t>m3</t>
  </si>
  <si>
    <t>PEDRA BRITADA N. 0, OU PEDRISCO (4,8 A 9,5 MM) POSTO PEDREIRA/FORNECEDOR, SEM FRETE</t>
  </si>
  <si>
    <t>ARAME RECOZIDO 16 BWG, D = 1,65 MM (0,016 KG/M) OU 18 BWG, D = 1,25 MM (0,01 KG/M)</t>
  </si>
  <si>
    <t>kg</t>
  </si>
  <si>
    <t>ARGAMASSA COLANTE AC I PARA CERAMICAS</t>
  </si>
  <si>
    <t>REJUNTE CIMENTICIO, QUALQUER COR</t>
  </si>
  <si>
    <t>REVESTIMENTO EM CERAMICA ESMALTADA EXTRA, PEI MAIOR OU IGUAL 4, FORMATO MAIOR A 2025 CM2</t>
  </si>
  <si>
    <t>BUCHA DE REDUCAO DE FERRO GALVANIZADO, COM ROSCA BSP, DE 3/4" X 1/2"</t>
  </si>
  <si>
    <t>JABU</t>
  </si>
  <si>
    <t>TUBO DE DESCARGA, TIPO BENGALA, PARA LIGACAO CAIXA DE DESCARGA - EMBUTIR, PVC, 40 MM X 150 CM</t>
  </si>
  <si>
    <t>2.31</t>
  </si>
  <si>
    <t>TORNEIRA DE BOIA CONVENCIONAL PARA CAIXA D'AGUA, AGUA FRIA, 3/4", COM HASTE E TORNEIRA METALICOS E BALAO PLASTICO</t>
  </si>
  <si>
    <t>2.34</t>
  </si>
  <si>
    <t>TORNEIRA DE BOIA CONVENCIONAL PARA CAIXA D'AGUA, 1", AGUA FRIA, COM HASTE E TORNEIRA METALICOS E BALAO PLASTICO</t>
  </si>
  <si>
    <t>REGISTRO DE ESFERA, PVC, COM VOLANTE, VS, SOLDAVEL, DN 60 MM, COM CORPO DIVIDIDO</t>
  </si>
  <si>
    <t>CURVA DE PVC 90 GRAUS, SOLDAVEL, 60 MM, PARA AGUA FRIA PREDIAL (NBR 5648)</t>
  </si>
  <si>
    <t>CURVA DE PVC 90 GRAUS, SOLDAVEL, 75 MM, PARA AGUA FRIA PREDIAL (NBR 5648)</t>
  </si>
  <si>
    <t>CURVA DE PVC 90 GRAUS, SOLDAVEL, 85 MM, PARA AGUA FRIA PREDIAL (NBR 5648)</t>
  </si>
  <si>
    <t>JOELHO PVC, SOLDAVEL, 90 GRAUS, 25 MM, PARA AGUA FRIA PREDIAL</t>
  </si>
  <si>
    <t>LUVA PVC SOLDAVEL, 25 MM, PARA AGUA FRIA PREDIAL</t>
  </si>
  <si>
    <t>LUVA SOLDAVEL COM BUCHA DE LATAO, PVC, 25 MM X 1/2"</t>
  </si>
  <si>
    <t>TE SOLDAVEL, PVC, 90 GRAUS, 25 MM, PARA AGUA FRIA PREDIAL (NBR 5648)</t>
  </si>
  <si>
    <t>TE SOLDAVEL, PVC, 90 GRAUS, 60 MM, PARA AGUA FRIA PREDIAL (NBR 5648)</t>
  </si>
  <si>
    <t>TE SOLDAVEL, PVC, 90 GRAUS, 75 MM, PARA AGUA FRIA PREDIAL (NBR 5648)</t>
  </si>
  <si>
    <t>2.28</t>
  </si>
  <si>
    <t>TUBO PVC, SOLDAVEL, DN 25 MM, AGUA FRIA (NBR-5648)</t>
  </si>
  <si>
    <t>m</t>
  </si>
  <si>
    <t>TUBO PVC, SOLDAVEL, DN 85 MM, AGUA FRIA (NBR-5648)</t>
  </si>
  <si>
    <t>BUCHA DE NYLON SEM ABA S8</t>
  </si>
  <si>
    <t>BUCHA DE NYLON SEM ABA S6</t>
  </si>
  <si>
    <t>LAMPADA LED 10 W BIVOLT BRANCA, FORMATO TRADICIONAL (BASE E27)</t>
  </si>
  <si>
    <t>INTERRUPTOR BIPOLAR 10A, 250V, CONJUNTO MONTADO PARA EMBUTIR 4" X 2" (PLACA + SUPORTE + MODULO)</t>
  </si>
  <si>
    <t>INTERRUPTOR PARALELO 10A, 250V, CONJUNTO MONTADO PARA EMBUTIR 4" X 2" (PLACA + SUPORTE + MODULO)</t>
  </si>
  <si>
    <t>orse</t>
  </si>
  <si>
    <t>Caixa de descarga acoplada, DUAL, linha Aspen/Izy/Ravena/Fast/Flex, DECA ou similar</t>
  </si>
  <si>
    <t>2.35</t>
  </si>
  <si>
    <t>2.27</t>
  </si>
  <si>
    <t>6.95.47</t>
  </si>
  <si>
    <t>REPARO P/VALVULA DESCARGA HIDRA LISA II</t>
  </si>
  <si>
    <t>2.54</t>
  </si>
  <si>
    <t>CHAVE DUPLA PARA CONEXOES TIPO STORZ, ENGATE RAPIDO 1 1/2" X 2 1/2", EM LATAO, PARA INSTALACAO PREDIAL COMBATE A INCENDIO</t>
  </si>
  <si>
    <t>2.55</t>
  </si>
  <si>
    <t>ESGUICHO JATO REGULAVEL, TIPO ELKHART, ENGATE RAPIDO 1 1/2", PARA COMBATE A INCENDIO</t>
  </si>
  <si>
    <t>2.56</t>
  </si>
  <si>
    <t>MANGUEIRA DE INCENDIO, TIPO 2, DE 1 1/2", COMPRIMENTO = 30 M, TECIDO EM FIO DE POLIESTER E TUBO INTERNO EM BORRACHA SINTETICA, COM UNIOES</t>
  </si>
  <si>
    <t>2.57</t>
  </si>
  <si>
    <t>CPOS</t>
  </si>
  <si>
    <t>2.60</t>
  </si>
  <si>
    <t>50.20.130</t>
  </si>
  <si>
    <t>RECARGA DE EXTINTOR DE PO QUIMICO SECO</t>
  </si>
  <si>
    <t>2.61</t>
  </si>
  <si>
    <t>50.20.120</t>
  </si>
  <si>
    <t>RECARGA DE EXTINTOT DE GAS CARBONICO</t>
  </si>
  <si>
    <t>EXTINTOR DE INCENDIO PORTATIL COM CARGA DE PO QUIMICO SECO (PQS) DE 6 KG, CLASSE BC</t>
  </si>
  <si>
    <t>PORTA DE MADEIRA PARA PINTURA, SEMI-OCA (LEVE OU MÉDIA), 80X210CM, ESPESSURA DE 3,5CM, INCLUSO DOBRADIÇAS - FORNECIMENTO E INSTALAÇÃO. AF_12/2019</t>
  </si>
  <si>
    <t>unid</t>
  </si>
  <si>
    <t>FECHADURA DE EMBUTIR PARA PORTAS INTERNAS, COMPLETA, ACABAMENTO PADRÃO MÉDIO, COM EXECUÇÃO DE FURO - FORNECIMENTO E INSTALAÇÃO. AF_12/2019</t>
  </si>
  <si>
    <t>REMOÇÃO DE PORTAS, DE FORMA MANUAL, SEM REAPROVEITAMENTO. AF_12/2017</t>
  </si>
  <si>
    <t>Portas Dpto Ciencias Sociais - part. 01</t>
  </si>
  <si>
    <t>APLICAÇÃO MANUAL DE PINTURA COM TINTA LÁTEX ACRÍLICA EM TETO, DUAS DEMÃOS. AF_06/2014</t>
  </si>
  <si>
    <t>3.1</t>
  </si>
  <si>
    <t>3.2</t>
  </si>
  <si>
    <t>3.3</t>
  </si>
  <si>
    <t>3.4</t>
  </si>
  <si>
    <t>3.5</t>
  </si>
  <si>
    <t>3.6</t>
  </si>
  <si>
    <t>3.10</t>
  </si>
  <si>
    <t>3.11</t>
  </si>
  <si>
    <t>TRANSPORTE COM CAMINHÃO BASCULANTE DE 10 M³, EM VIA URBANA EM LEITO NATURAL (UNIDADE: M3XKM). AF_07/2020</t>
  </si>
  <si>
    <t>M3XKM</t>
  </si>
  <si>
    <t>EXT. S. CARLOS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</si>
  <si>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MÊS DE ABRIL/2023</t>
    </r>
  </si>
  <si>
    <t>PORTA DE MADEIRA PARA PINTURA, SEMI-OCA (LEVE OU MÉDIA), 90X210CM, ESPESSURA DE 3,5CM, INCLUSO DOBRADIÇAS - FORNECIMENTO E INSTALAÇÃO. AF_12/2019</t>
  </si>
  <si>
    <t>Pintura Pedagogia</t>
  </si>
  <si>
    <t xml:space="preserve">Pintura Letras: FACHADA, CORREDOR 2 ANDAR, SALA DEFESA, SALA PROF. DIANA, BANHEIRO </t>
  </si>
  <si>
    <t>PREGO DE ACO POLIDO COM CABECA DUPLA 17 X 27 (2 1/2 X 11)</t>
  </si>
  <si>
    <t>VALVULA DE DESCARGA EM METAL CROMADO PARA MICTORIO COM ACIONAMENTO POR PRESSAO E FECHAMENTO AUTOMATICO</t>
  </si>
  <si>
    <t>MANTA ASFALTICA ELASTOMERICA EM POLIESTER ALUMINIZADA 3 MM, TIPO III, CLASSE B (NBR 9952)</t>
  </si>
  <si>
    <t>M2</t>
  </si>
  <si>
    <t>AREIA FINA - POSTO JAZIDA/FORNECEDOR (RETIRADO NA JAZIDA, SEM TRANSPORTE)</t>
  </si>
  <si>
    <t>TELA DE ACO SOLDADA NERVURADA, CA-60, Q-92, (1,48 KG/M2), DIAMETRO DO FIO = 4,2 MM, LARGURA = 2,45 X 60 M DE COMPRIMENTO, ESPACAMENTO DA MALHA = 15 X 15 CM</t>
  </si>
  <si>
    <t>LUVA DE CORRER PARA TUBO SOLDAVEL, PVC, 25 MM, PARA AGUA FRIA PREDIAL</t>
  </si>
  <si>
    <t>CURVA DE PVC 45 GRAUS, SOLDAVEL, 85 MM, PARA AGUA FRIA PREDIAL (NBR 5648)</t>
  </si>
  <si>
    <t>PLUG PVC, ROSCAVEL 3/4", PARA AGUA FRIA PREDIAL</t>
  </si>
  <si>
    <t>PLUG PVC ROSCAVEL, 1/2", AGUA FRIA PREDIAL (NBR 5648)</t>
  </si>
  <si>
    <t>REGISTRO DE ESFERA, PVC, COM VOLANTE, VS, SOLDAVEL, DN 25 MM, COM CORPO DIVIDIDO</t>
  </si>
  <si>
    <t>LIXA D'AGUA EM FOLHA, GRAO 100</t>
  </si>
  <si>
    <t>MICTORIO INDICUDUAL, SIFONADO, LOUCA BRANCA, SEM COMPLEMENTOSMICTORIO INDIVIDUAL, SIFONADO, VALVULA EMBUTIDA, DE LOUCA BRANCA, SEM COMPLEMENTOS - PADRAO ALTO</t>
  </si>
  <si>
    <t>ANEL DE VEDACAO, PVC FLEXIVEL, 100 MM, PARA SAIDA DE BACIA / VASO SANITARIO</t>
  </si>
  <si>
    <t xml:space="preserve"> JOELHO PVC, SOLDAVEL, 90 GRAUS, 50 MM, PARA AGUA FRIA PREDIAL</t>
  </si>
  <si>
    <t>JOELHO PVC, SOLDAVEL, PB, 90 GRAUS, DN 50 MM, PARA ESGOTO PREDIAL</t>
  </si>
  <si>
    <t>ENGATE/RABICHO FLEXIVEL PLASTICO (PVC OU ABS) BRANCO 1/2 " X 40 CM</t>
  </si>
  <si>
    <t>VALVULA DE DESCARGA METALICA, BASE 1 1/2 " E ACABAMENTO METALICO CROMADO</t>
  </si>
  <si>
    <t>FORRO EM RÉGUAS DE PVC, FRISADO, PARA AMBIENTES COMERCIAIS, INCLUSIVE ESTRUTURA DE FIXAÇÃO. AF_05/2017_P</t>
  </si>
  <si>
    <t>Manutenção forro Estatistica</t>
  </si>
  <si>
    <t>Instalação COBOGO Letras</t>
  </si>
  <si>
    <t>INSTALAÇÃO DE VIDRO LISO INCOLOR, E = 4 MM</t>
  </si>
  <si>
    <t>Instalação COBOGO DTO</t>
  </si>
  <si>
    <t>Pintura Moradia APto bloco07</t>
  </si>
  <si>
    <t>3.7</t>
  </si>
  <si>
    <t>3.8</t>
  </si>
  <si>
    <t>3.9</t>
  </si>
  <si>
    <t>3.12</t>
  </si>
  <si>
    <t>FDE</t>
  </si>
  <si>
    <t>Apto 39 bloco7 possui 2 quartos e meia cozinha de paredes p/ pintura. Liberado 99m² (Justificar diferença até área de 179m²)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</si>
</sst>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Arial"/>
      <family val="1"/>
    </font>
    <font>
      <sz val="9"/>
      <color rgb="FF333333"/>
      <name val="Arial"/>
      <family val="2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1"/>
    </font>
    <font>
      <b/>
      <sz val="8"/>
      <color rgb="FF00B0F0"/>
      <name val="Arial"/>
      <family val="2"/>
    </font>
    <font>
      <b/>
      <sz val="8"/>
      <color rgb="FF00B0F0"/>
      <name val="Arial"/>
      <family val="1"/>
    </font>
    <font>
      <b/>
      <sz val="10"/>
      <color rgb="FF00B0F0"/>
      <name val="Arial"/>
      <family val="2"/>
    </font>
    <font>
      <b/>
      <sz val="8"/>
      <color theme="4"/>
      <name val="Arial"/>
      <family val="1"/>
    </font>
    <font>
      <sz val="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99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8" fillId="0" borderId="24" xfId="2" applyNumberFormat="1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4" fontId="9" fillId="0" borderId="24" xfId="2" applyNumberFormat="1" applyFont="1" applyFill="1" applyBorder="1" applyAlignment="1" applyProtection="1">
      <alignment horizontal="center" vertical="center"/>
    </xf>
    <xf numFmtId="0" fontId="8" fillId="0" borderId="3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4" fillId="2" borderId="24" xfId="1" applyFont="1" applyBorder="1"/>
    <xf numFmtId="0" fontId="11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2" fontId="4" fillId="0" borderId="24" xfId="1" applyNumberFormat="1" applyFont="1" applyFill="1" applyBorder="1" applyAlignment="1">
      <alignment horizontal="center" vertical="center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2" fontId="8" fillId="0" borderId="24" xfId="2" applyNumberFormat="1" applyFont="1" applyBorder="1" applyAlignment="1" applyProtection="1">
      <alignment horizontal="center" vertical="center"/>
    </xf>
    <xf numFmtId="0" fontId="9" fillId="0" borderId="24" xfId="0" applyFont="1" applyBorder="1"/>
    <xf numFmtId="0" fontId="14" fillId="0" borderId="24" xfId="4" applyFont="1" applyFill="1" applyBorder="1"/>
    <xf numFmtId="2" fontId="8" fillId="0" borderId="24" xfId="1" applyNumberFormat="1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/>
    </xf>
    <xf numFmtId="0" fontId="4" fillId="0" borderId="24" xfId="1" applyFont="1" applyFill="1" applyBorder="1" applyAlignment="1">
      <alignment horizontal="center" vertical="center"/>
    </xf>
    <xf numFmtId="0" fontId="16" fillId="0" borderId="0" xfId="0" applyFont="1"/>
    <xf numFmtId="0" fontId="16" fillId="0" borderId="24" xfId="0" applyFont="1" applyBorder="1"/>
    <xf numFmtId="0" fontId="6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9" fontId="9" fillId="0" borderId="0" xfId="5" applyFont="1"/>
    <xf numFmtId="0" fontId="0" fillId="0" borderId="24" xfId="0" applyBorder="1" applyAlignment="1">
      <alignment horizontal="center" vertical="center" wrapText="1"/>
    </xf>
    <xf numFmtId="9" fontId="9" fillId="0" borderId="24" xfId="5" applyFont="1" applyBorder="1"/>
    <xf numFmtId="44" fontId="9" fillId="0" borderId="24" xfId="3" applyFont="1" applyBorder="1" applyAlignment="1" applyProtection="1">
      <alignment horizontal="center" vertical="center"/>
    </xf>
    <xf numFmtId="44" fontId="9" fillId="0" borderId="24" xfId="3" applyFont="1" applyBorder="1"/>
    <xf numFmtId="44" fontId="9" fillId="0" borderId="24" xfId="3" applyFont="1" applyBorder="1" applyAlignment="1">
      <alignment vertical="center"/>
    </xf>
    <xf numFmtId="0" fontId="14" fillId="0" borderId="24" xfId="4" applyFont="1" applyFill="1" applyBorder="1" applyAlignment="1">
      <alignment vertical="center"/>
    </xf>
    <xf numFmtId="0" fontId="17" fillId="0" borderId="24" xfId="0" applyFont="1" applyBorder="1"/>
    <xf numFmtId="0" fontId="9" fillId="0" borderId="24" xfId="0" applyFont="1" applyBorder="1" applyAlignment="1">
      <alignment vertical="center"/>
    </xf>
    <xf numFmtId="0" fontId="3" fillId="0" borderId="24" xfId="0" applyFont="1" applyBorder="1"/>
    <xf numFmtId="0" fontId="9" fillId="0" borderId="24" xfId="4" applyFont="1" applyFill="1" applyBorder="1"/>
    <xf numFmtId="0" fontId="3" fillId="0" borderId="24" xfId="0" applyFont="1" applyBorder="1" applyAlignment="1">
      <alignment vertical="center"/>
    </xf>
    <xf numFmtId="0" fontId="17" fillId="0" borderId="24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0" xfId="4" applyFont="1" applyFill="1" applyBorder="1"/>
    <xf numFmtId="0" fontId="3" fillId="0" borderId="0" xfId="0" applyFont="1"/>
    <xf numFmtId="0" fontId="8" fillId="0" borderId="24" xfId="1" applyFont="1" applyFill="1" applyBorder="1" applyAlignment="1">
      <alignment horizontal="center" vertical="center"/>
    </xf>
    <xf numFmtId="44" fontId="9" fillId="0" borderId="24" xfId="0" applyNumberFormat="1" applyFont="1" applyBorder="1"/>
    <xf numFmtId="9" fontId="9" fillId="0" borderId="0" xfId="0" applyNumberFormat="1" applyFont="1"/>
    <xf numFmtId="9" fontId="0" fillId="0" borderId="0" xfId="0" applyNumberFormat="1"/>
    <xf numFmtId="0" fontId="9" fillId="0" borderId="24" xfId="1" applyFont="1" applyFill="1" applyBorder="1" applyAlignment="1">
      <alignment horizontal="left" vertical="center"/>
    </xf>
    <xf numFmtId="0" fontId="9" fillId="0" borderId="0" xfId="4" applyFont="1" applyFill="1" applyBorder="1" applyAlignment="1">
      <alignment horizontal="left" vertical="center"/>
    </xf>
    <xf numFmtId="0" fontId="15" fillId="0" borderId="24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/>
    </xf>
    <xf numFmtId="4" fontId="9" fillId="0" borderId="16" xfId="2" applyNumberFormat="1" applyFont="1" applyBorder="1" applyAlignment="1" applyProtection="1">
      <alignment horizontal="center" vertical="center"/>
    </xf>
    <xf numFmtId="2" fontId="9" fillId="0" borderId="16" xfId="3" applyNumberFormat="1" applyFont="1" applyBorder="1" applyAlignment="1" applyProtection="1">
      <alignment horizontal="center" vertical="center"/>
    </xf>
    <xf numFmtId="44" fontId="9" fillId="0" borderId="23" xfId="3" applyFont="1" applyBorder="1"/>
    <xf numFmtId="0" fontId="9" fillId="0" borderId="23" xfId="0" applyFont="1" applyBorder="1" applyAlignment="1">
      <alignment horizontal="center"/>
    </xf>
    <xf numFmtId="9" fontId="9" fillId="0" borderId="23" xfId="5" applyFont="1" applyBorder="1"/>
    <xf numFmtId="0" fontId="0" fillId="0" borderId="46" xfId="0" applyBorder="1"/>
    <xf numFmtId="0" fontId="0" fillId="0" borderId="47" xfId="0" applyBorder="1"/>
    <xf numFmtId="0" fontId="0" fillId="0" borderId="49" xfId="0" applyBorder="1" applyAlignment="1">
      <alignment horizontal="center" vertical="center" wrapText="1"/>
    </xf>
    <xf numFmtId="44" fontId="9" fillId="0" borderId="48" xfId="3" applyFont="1" applyBorder="1" applyAlignment="1" applyProtection="1">
      <alignment horizontal="center" vertical="center"/>
    </xf>
    <xf numFmtId="44" fontId="9" fillId="0" borderId="51" xfId="3" applyFont="1" applyBorder="1"/>
    <xf numFmtId="0" fontId="9" fillId="0" borderId="51" xfId="0" applyFont="1" applyBorder="1" applyAlignment="1">
      <alignment horizontal="center"/>
    </xf>
    <xf numFmtId="9" fontId="9" fillId="0" borderId="52" xfId="5" applyFont="1" applyBorder="1"/>
    <xf numFmtId="44" fontId="9" fillId="0" borderId="49" xfId="3" applyFont="1" applyBorder="1" applyAlignment="1">
      <alignment vertical="center"/>
    </xf>
    <xf numFmtId="44" fontId="9" fillId="0" borderId="49" xfId="3" applyFont="1" applyBorder="1"/>
    <xf numFmtId="44" fontId="6" fillId="0" borderId="45" xfId="3" applyFont="1" applyBorder="1" applyAlignment="1">
      <alignment vertical="center"/>
    </xf>
    <xf numFmtId="44" fontId="6" fillId="0" borderId="48" xfId="3" applyFont="1" applyBorder="1" applyAlignment="1">
      <alignment horizontal="center" vertical="center" wrapText="1"/>
    </xf>
    <xf numFmtId="44" fontId="9" fillId="0" borderId="50" xfId="3" applyFont="1" applyBorder="1" applyAlignment="1" applyProtection="1">
      <alignment horizontal="center" vertical="center"/>
    </xf>
    <xf numFmtId="44" fontId="9" fillId="0" borderId="23" xfId="3" applyFont="1" applyBorder="1" applyAlignment="1" applyProtection="1">
      <alignment horizontal="center" vertical="center"/>
    </xf>
    <xf numFmtId="44" fontId="0" fillId="0" borderId="0" xfId="3" applyFont="1"/>
    <xf numFmtId="0" fontId="19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left" vertical="center" wrapText="1"/>
    </xf>
    <xf numFmtId="2" fontId="15" fillId="0" borderId="24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right" vertical="top" wrapText="1"/>
    </xf>
    <xf numFmtId="0" fontId="11" fillId="0" borderId="24" xfId="0" applyFont="1" applyBorder="1"/>
    <xf numFmtId="0" fontId="5" fillId="0" borderId="24" xfId="1" applyFont="1" applyFill="1" applyBorder="1" applyAlignment="1">
      <alignment horizontal="center" vertical="center"/>
    </xf>
    <xf numFmtId="0" fontId="14" fillId="0" borderId="24" xfId="4" applyFont="1" applyFill="1" applyBorder="1" applyAlignment="1">
      <alignment horizontal="left" vertical="center"/>
    </xf>
    <xf numFmtId="4" fontId="20" fillId="0" borderId="24" xfId="2" applyNumberFormat="1" applyFont="1" applyBorder="1" applyAlignment="1" applyProtection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2" fontId="20" fillId="0" borderId="24" xfId="1" applyNumberFormat="1" applyFont="1" applyFill="1" applyBorder="1" applyAlignment="1">
      <alignment horizontal="center" vertical="center"/>
    </xf>
    <xf numFmtId="0" fontId="20" fillId="0" borderId="24" xfId="1" applyFont="1" applyFill="1" applyBorder="1" applyAlignment="1">
      <alignment horizontal="center" vertical="center"/>
    </xf>
    <xf numFmtId="2" fontId="20" fillId="0" borderId="24" xfId="2" applyNumberFormat="1" applyFont="1" applyBorder="1" applyAlignment="1" applyProtection="1">
      <alignment horizontal="center" vertical="center"/>
    </xf>
    <xf numFmtId="4" fontId="20" fillId="0" borderId="24" xfId="0" applyNumberFormat="1" applyFont="1" applyBorder="1" applyAlignment="1">
      <alignment horizontal="center" vertical="center" wrapText="1"/>
    </xf>
    <xf numFmtId="4" fontId="21" fillId="3" borderId="15" xfId="0" applyNumberFormat="1" applyFont="1" applyFill="1" applyBorder="1" applyAlignment="1">
      <alignment horizontal="center" vertical="center" wrapText="1"/>
    </xf>
    <xf numFmtId="4" fontId="21" fillId="3" borderId="24" xfId="0" applyNumberFormat="1" applyFont="1" applyFill="1" applyBorder="1" applyAlignment="1">
      <alignment horizontal="center" vertical="center" wrapText="1"/>
    </xf>
    <xf numFmtId="4" fontId="22" fillId="3" borderId="15" xfId="0" applyNumberFormat="1" applyFont="1" applyFill="1" applyBorder="1" applyAlignment="1">
      <alignment horizontal="center" vertical="center" wrapText="1"/>
    </xf>
    <xf numFmtId="4" fontId="23" fillId="3" borderId="15" xfId="0" applyNumberFormat="1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4" fillId="2" borderId="26" xfId="1" applyFont="1" applyBorder="1" applyAlignment="1">
      <alignment horizontal="center" vertical="center"/>
    </xf>
    <xf numFmtId="0" fontId="4" fillId="2" borderId="18" xfId="1" applyFont="1" applyBorder="1" applyAlignment="1">
      <alignment horizontal="center" vertical="center"/>
    </xf>
    <xf numFmtId="0" fontId="4" fillId="2" borderId="44" xfId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10" fillId="0" borderId="11" xfId="0" applyNumberFormat="1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4" fontId="8" fillId="0" borderId="16" xfId="2" applyNumberFormat="1" applyFont="1" applyFill="1" applyBorder="1" applyAlignment="1" applyProtection="1">
      <alignment horizontal="left" vertical="center"/>
    </xf>
    <xf numFmtId="4" fontId="8" fillId="0" borderId="14" xfId="2" applyNumberFormat="1" applyFont="1" applyFill="1" applyBorder="1" applyAlignment="1" applyProtection="1">
      <alignment horizontal="left" vertical="center"/>
    </xf>
    <xf numFmtId="4" fontId="8" fillId="0" borderId="15" xfId="2" applyNumberFormat="1" applyFont="1" applyFill="1" applyBorder="1" applyAlignment="1" applyProtection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6">
    <cellStyle name="Hiperlink" xfId="4" builtinId="8"/>
    <cellStyle name="Moeda" xfId="3" builtinId="4"/>
    <cellStyle name="Normal" xfId="0" builtinId="0"/>
    <cellStyle name="Porcentagem" xfId="5" builtinId="5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2022/10%20Outubro/Notas%20Fiscais/NF01%20Jabu%20SA.pdf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file:///C:/Users/anivaldo/AppData/Roaming/2022/10%20Outubro/Notas%20Fiscais/NF%20Taurus%20SA.pdf" TargetMode="External"/><Relationship Id="rId1" Type="http://schemas.openxmlformats.org/officeDocument/2006/relationships/hyperlink" Target="file:///C:/Users/anivaldo/AppData/Roaming/2022/10%20Outubro/Notas%20Fiscais/NF%20516064%20Jabu%20SA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2022/10%20Outubro/Notas%20Fiscais/NF%20516064%20Jabu%20SA.pdf" TargetMode="External"/><Relationship Id="rId4" Type="http://schemas.openxmlformats.org/officeDocument/2006/relationships/hyperlink" Target="2022/10%20Outubro/Notas%20Fiscais/NF%20516064%20Jabu%20SA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C:/Users/anivaldo/AppData/Roaming/2022/10%20Outubro/Notas%20Fiscais/NF%20Taurus%20SA.pdf" TargetMode="External"/><Relationship Id="rId2" Type="http://schemas.openxmlformats.org/officeDocument/2006/relationships/hyperlink" Target="file:///C:/Users/anivaldo/AppData/Roaming/2022/10%20Outubro/Notas%20Fiscais/NF%20516064%20Jabu%20SA.pdf" TargetMode="External"/><Relationship Id="rId1" Type="http://schemas.openxmlformats.org/officeDocument/2006/relationships/hyperlink" Target="file:///C:/Users/anivaldo/AppData/Roaming/2022/10%20Outubro/Notas%20Fiscais/NF%20Taurus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"/>
  <sheetViews>
    <sheetView tabSelected="1" topLeftCell="F81" zoomScale="85" zoomScaleNormal="85" workbookViewId="0">
      <selection activeCell="J87" sqref="J87:N87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5.710937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6" max="16" width="19.5703125" customWidth="1"/>
  </cols>
  <sheetData>
    <row r="1" spans="1:15" ht="17.100000000000001" customHeight="1" x14ac:dyDescent="0.25">
      <c r="A1" s="123" t="s">
        <v>0</v>
      </c>
      <c r="B1" s="124"/>
      <c r="C1" s="124"/>
      <c r="D1" s="124"/>
      <c r="E1" s="124"/>
      <c r="F1" s="124"/>
      <c r="G1" s="124"/>
      <c r="H1" s="124"/>
      <c r="I1" s="125"/>
      <c r="J1" s="132" t="s">
        <v>1</v>
      </c>
      <c r="K1" s="132"/>
      <c r="L1" s="132"/>
      <c r="M1" s="132"/>
      <c r="N1" s="132"/>
      <c r="O1" s="133"/>
    </row>
    <row r="2" spans="1:15" ht="17.100000000000001" customHeight="1" x14ac:dyDescent="0.25">
      <c r="A2" s="126"/>
      <c r="B2" s="127"/>
      <c r="C2" s="127"/>
      <c r="D2" s="127"/>
      <c r="E2" s="127"/>
      <c r="F2" s="127"/>
      <c r="G2" s="127"/>
      <c r="H2" s="127"/>
      <c r="I2" s="128"/>
      <c r="J2" s="134" t="s">
        <v>2</v>
      </c>
      <c r="K2" s="134"/>
      <c r="L2" s="134"/>
      <c r="M2" s="134"/>
      <c r="N2" s="134"/>
      <c r="O2" s="135"/>
    </row>
    <row r="3" spans="1:15" ht="17.100000000000001" customHeight="1" x14ac:dyDescent="0.25">
      <c r="A3" s="126"/>
      <c r="B3" s="127"/>
      <c r="C3" s="127"/>
      <c r="D3" s="127"/>
      <c r="E3" s="127"/>
      <c r="F3" s="127"/>
      <c r="G3" s="127"/>
      <c r="H3" s="127"/>
      <c r="I3" s="128"/>
      <c r="J3" s="134" t="s">
        <v>3</v>
      </c>
      <c r="K3" s="134"/>
      <c r="L3" s="134"/>
      <c r="M3" s="134" t="s">
        <v>4</v>
      </c>
      <c r="N3" s="134"/>
      <c r="O3" s="1"/>
    </row>
    <row r="4" spans="1:15" ht="17.100000000000001" customHeight="1" x14ac:dyDescent="0.25">
      <c r="A4" s="126"/>
      <c r="B4" s="127"/>
      <c r="C4" s="127"/>
      <c r="D4" s="127"/>
      <c r="E4" s="127"/>
      <c r="F4" s="127"/>
      <c r="G4" s="127"/>
      <c r="H4" s="127"/>
      <c r="I4" s="128"/>
      <c r="J4" s="134" t="s">
        <v>5</v>
      </c>
      <c r="K4" s="134"/>
      <c r="L4" s="134"/>
      <c r="M4" s="134" t="s">
        <v>6</v>
      </c>
      <c r="N4" s="134"/>
      <c r="O4" s="2"/>
    </row>
    <row r="5" spans="1:15" ht="17.100000000000001" customHeight="1" x14ac:dyDescent="0.25">
      <c r="A5" s="126"/>
      <c r="B5" s="127"/>
      <c r="C5" s="127"/>
      <c r="D5" s="127"/>
      <c r="E5" s="127"/>
      <c r="F5" s="127"/>
      <c r="G5" s="127"/>
      <c r="H5" s="127"/>
      <c r="I5" s="128"/>
      <c r="J5" s="134" t="s">
        <v>7</v>
      </c>
      <c r="K5" s="134"/>
      <c r="L5" s="134"/>
      <c r="M5" s="134" t="s">
        <v>8</v>
      </c>
      <c r="N5" s="134"/>
      <c r="O5" s="1"/>
    </row>
    <row r="6" spans="1:15" ht="17.100000000000001" customHeight="1" x14ac:dyDescent="0.25">
      <c r="A6" s="129"/>
      <c r="B6" s="130"/>
      <c r="C6" s="130"/>
      <c r="D6" s="130"/>
      <c r="E6" s="130"/>
      <c r="F6" s="130"/>
      <c r="G6" s="130"/>
      <c r="H6" s="130"/>
      <c r="I6" s="131"/>
      <c r="J6" s="134" t="s">
        <v>9</v>
      </c>
      <c r="K6" s="134"/>
      <c r="L6" s="134"/>
      <c r="M6" s="134" t="s">
        <v>10</v>
      </c>
      <c r="N6" s="134"/>
      <c r="O6" s="1"/>
    </row>
    <row r="7" spans="1:15" ht="17.100000000000001" customHeight="1" x14ac:dyDescent="0.25">
      <c r="A7" s="107" t="s">
        <v>11</v>
      </c>
      <c r="B7" s="108"/>
      <c r="C7" s="108"/>
      <c r="D7" s="108"/>
      <c r="E7" s="108"/>
      <c r="F7" s="108"/>
      <c r="G7" s="108"/>
      <c r="H7" s="108"/>
      <c r="I7" s="109"/>
      <c r="J7" s="110" t="s">
        <v>56</v>
      </c>
      <c r="K7" s="111"/>
      <c r="L7" s="111"/>
      <c r="M7" s="111"/>
      <c r="N7" s="112"/>
      <c r="O7" s="113" t="s">
        <v>12</v>
      </c>
    </row>
    <row r="8" spans="1:15" ht="17.100000000000001" customHeight="1" x14ac:dyDescent="0.25">
      <c r="A8" s="114" t="s">
        <v>198</v>
      </c>
      <c r="B8" s="115"/>
      <c r="C8" s="115"/>
      <c r="D8" s="115"/>
      <c r="E8" s="115"/>
      <c r="F8" s="115"/>
      <c r="G8" s="115"/>
      <c r="H8" s="115"/>
      <c r="I8" s="116"/>
      <c r="J8" s="110" t="s">
        <v>13</v>
      </c>
      <c r="K8" s="111"/>
      <c r="L8" s="111"/>
      <c r="M8" s="111"/>
      <c r="N8" s="112"/>
      <c r="O8" s="113"/>
    </row>
    <row r="9" spans="1:15" ht="17.100000000000001" customHeight="1" x14ac:dyDescent="0.25">
      <c r="A9" s="117"/>
      <c r="B9" s="118"/>
      <c r="C9" s="118"/>
      <c r="D9" s="118"/>
      <c r="E9" s="118"/>
      <c r="F9" s="118"/>
      <c r="G9" s="118"/>
      <c r="H9" s="118"/>
      <c r="I9" s="119"/>
      <c r="J9" s="110" t="s">
        <v>14</v>
      </c>
      <c r="K9" s="111"/>
      <c r="L9" s="111"/>
      <c r="M9" s="111"/>
      <c r="N9" s="112"/>
      <c r="O9" s="113"/>
    </row>
    <row r="10" spans="1:15" ht="17.100000000000001" customHeight="1" x14ac:dyDescent="0.25">
      <c r="A10" s="117"/>
      <c r="B10" s="118"/>
      <c r="C10" s="118"/>
      <c r="D10" s="118"/>
      <c r="E10" s="118"/>
      <c r="F10" s="118"/>
      <c r="G10" s="118"/>
      <c r="H10" s="118"/>
      <c r="I10" s="119"/>
      <c r="J10" s="110" t="s">
        <v>15</v>
      </c>
      <c r="K10" s="111"/>
      <c r="L10" s="111"/>
      <c r="M10" s="111"/>
      <c r="N10" s="112"/>
      <c r="O10" s="113"/>
    </row>
    <row r="11" spans="1:15" ht="17.100000000000001" customHeight="1" x14ac:dyDescent="0.25">
      <c r="A11" s="117"/>
      <c r="B11" s="118"/>
      <c r="C11" s="118"/>
      <c r="D11" s="118"/>
      <c r="E11" s="118"/>
      <c r="F11" s="118"/>
      <c r="G11" s="118"/>
      <c r="H11" s="118"/>
      <c r="I11" s="119"/>
      <c r="J11" s="110" t="s">
        <v>54</v>
      </c>
      <c r="K11" s="111"/>
      <c r="L11" s="111"/>
      <c r="M11" s="111"/>
      <c r="N11" s="112"/>
      <c r="O11" s="113"/>
    </row>
    <row r="12" spans="1:15" ht="17.100000000000001" customHeight="1" x14ac:dyDescent="0.25">
      <c r="A12" s="117"/>
      <c r="B12" s="118"/>
      <c r="C12" s="118"/>
      <c r="D12" s="118"/>
      <c r="E12" s="118"/>
      <c r="F12" s="118"/>
      <c r="G12" s="118"/>
      <c r="H12" s="118"/>
      <c r="I12" s="119"/>
      <c r="J12" s="110" t="s">
        <v>55</v>
      </c>
      <c r="K12" s="111"/>
      <c r="L12" s="111"/>
      <c r="M12" s="111"/>
      <c r="N12" s="112"/>
      <c r="O12" s="113"/>
    </row>
    <row r="13" spans="1:15" ht="17.100000000000001" customHeight="1" x14ac:dyDescent="0.25">
      <c r="A13" s="120"/>
      <c r="B13" s="121"/>
      <c r="C13" s="121"/>
      <c r="D13" s="121"/>
      <c r="E13" s="121"/>
      <c r="F13" s="121"/>
      <c r="G13" s="121"/>
      <c r="H13" s="121"/>
      <c r="I13" s="122"/>
      <c r="J13" s="110" t="s">
        <v>57</v>
      </c>
      <c r="K13" s="111"/>
      <c r="L13" s="111"/>
      <c r="M13" s="111"/>
      <c r="N13" s="112"/>
      <c r="O13" s="113"/>
    </row>
    <row r="14" spans="1:15" ht="17.100000000000001" customHeight="1" x14ac:dyDescent="0.25">
      <c r="A14" s="136" t="s">
        <v>16</v>
      </c>
      <c r="B14" s="138" t="s">
        <v>17</v>
      </c>
      <c r="C14" s="138" t="s">
        <v>18</v>
      </c>
      <c r="D14" s="138" t="s">
        <v>19</v>
      </c>
      <c r="E14" s="138" t="s">
        <v>20</v>
      </c>
      <c r="F14" s="138" t="s">
        <v>21</v>
      </c>
      <c r="G14" s="138" t="s">
        <v>22</v>
      </c>
      <c r="H14" s="140" t="s">
        <v>23</v>
      </c>
      <c r="I14" s="140"/>
      <c r="J14" s="140"/>
      <c r="K14" s="140"/>
      <c r="L14" s="141"/>
      <c r="M14" s="138" t="s">
        <v>24</v>
      </c>
      <c r="N14" s="138" t="s">
        <v>25</v>
      </c>
      <c r="O14" s="113" t="s">
        <v>26</v>
      </c>
    </row>
    <row r="15" spans="1:15" ht="17.100000000000001" customHeight="1" x14ac:dyDescent="0.25">
      <c r="A15" s="137"/>
      <c r="B15" s="139"/>
      <c r="C15" s="139"/>
      <c r="D15" s="139"/>
      <c r="E15" s="139"/>
      <c r="F15" s="139"/>
      <c r="G15" s="139"/>
      <c r="H15" s="3" t="s">
        <v>27</v>
      </c>
      <c r="I15" s="4" t="s">
        <v>28</v>
      </c>
      <c r="J15" s="3" t="s">
        <v>29</v>
      </c>
      <c r="K15" s="4" t="s">
        <v>58</v>
      </c>
      <c r="L15" s="3" t="s">
        <v>30</v>
      </c>
      <c r="M15" s="139"/>
      <c r="N15" s="139"/>
      <c r="O15" s="113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8">
        <f>SUM(M17:M30)</f>
        <v>70558.444674432016</v>
      </c>
      <c r="N16" s="10">
        <f>SUM(N17:N28)</f>
        <v>0.99999999999999989</v>
      </c>
      <c r="O16" s="113"/>
    </row>
    <row r="17" spans="1:15" ht="26.25" customHeight="1" x14ac:dyDescent="0.25">
      <c r="A17" s="18" t="s">
        <v>32</v>
      </c>
      <c r="B17" s="18" t="s">
        <v>33</v>
      </c>
      <c r="C17" s="11" t="s">
        <v>70</v>
      </c>
      <c r="D17" s="11" t="s">
        <v>34</v>
      </c>
      <c r="E17" s="26" t="s">
        <v>71</v>
      </c>
      <c r="F17" s="13" t="s">
        <v>35</v>
      </c>
      <c r="G17" s="18">
        <v>180</v>
      </c>
      <c r="H17" s="95">
        <v>33.69</v>
      </c>
      <c r="I17" s="15">
        <f>H17*0.2232</f>
        <v>7.5196079999999998</v>
      </c>
      <c r="J17" s="15">
        <f>H17+I17</f>
        <v>41.209607999999996</v>
      </c>
      <c r="K17" s="15">
        <f>J17*(0.03%)</f>
        <v>1.2362882399999997E-2</v>
      </c>
      <c r="L17" s="15">
        <f>J17-K17</f>
        <v>41.197245117599998</v>
      </c>
      <c r="M17" s="15">
        <f>L17*G17</f>
        <v>7415.504121168</v>
      </c>
      <c r="N17" s="15">
        <f>M17/M$16</f>
        <v>0.1050973296730721</v>
      </c>
      <c r="O17" s="142"/>
    </row>
    <row r="18" spans="1:15" ht="26.25" customHeight="1" x14ac:dyDescent="0.25">
      <c r="A18" s="18" t="s">
        <v>74</v>
      </c>
      <c r="B18" s="18" t="s">
        <v>33</v>
      </c>
      <c r="C18" s="11" t="s">
        <v>62</v>
      </c>
      <c r="D18" s="11" t="s">
        <v>34</v>
      </c>
      <c r="E18" s="26" t="s">
        <v>63</v>
      </c>
      <c r="F18" s="13" t="s">
        <v>35</v>
      </c>
      <c r="G18" s="18">
        <v>180</v>
      </c>
      <c r="H18" s="95">
        <v>29.01</v>
      </c>
      <c r="I18" s="15">
        <f t="shared" ref="I18:I28" si="0">H18*0.2232</f>
        <v>6.4750320000000006</v>
      </c>
      <c r="J18" s="15">
        <f t="shared" ref="J18:J28" si="1">H18+I18</f>
        <v>35.485032000000004</v>
      </c>
      <c r="K18" s="15">
        <f t="shared" ref="K18:K28" si="2">J18*(0.03%)</f>
        <v>1.06455096E-2</v>
      </c>
      <c r="L18" s="15">
        <f t="shared" ref="L18:L28" si="3">J18-K18</f>
        <v>35.474386490400001</v>
      </c>
      <c r="M18" s="15">
        <f t="shared" ref="M18:M28" si="4">L18*G18</f>
        <v>6385.3895682720004</v>
      </c>
      <c r="N18" s="15">
        <f t="shared" ref="N18:N28" si="5">M18/M$16</f>
        <v>9.0497878712253538E-2</v>
      </c>
      <c r="O18" s="142"/>
    </row>
    <row r="19" spans="1:15" ht="26.25" customHeight="1" x14ac:dyDescent="0.25">
      <c r="A19" s="18" t="s">
        <v>75</v>
      </c>
      <c r="B19" s="18" t="s">
        <v>33</v>
      </c>
      <c r="C19" s="11" t="s">
        <v>62</v>
      </c>
      <c r="D19" s="11" t="s">
        <v>34</v>
      </c>
      <c r="E19" s="26" t="s">
        <v>63</v>
      </c>
      <c r="F19" s="13" t="s">
        <v>35</v>
      </c>
      <c r="G19" s="18">
        <v>180</v>
      </c>
      <c r="H19" s="95">
        <v>29.01</v>
      </c>
      <c r="I19" s="15">
        <f t="shared" si="0"/>
        <v>6.4750320000000006</v>
      </c>
      <c r="J19" s="15">
        <f t="shared" si="1"/>
        <v>35.485032000000004</v>
      </c>
      <c r="K19" s="15">
        <f t="shared" si="2"/>
        <v>1.06455096E-2</v>
      </c>
      <c r="L19" s="15">
        <f t="shared" si="3"/>
        <v>35.474386490400001</v>
      </c>
      <c r="M19" s="15">
        <f t="shared" si="4"/>
        <v>6385.3895682720004</v>
      </c>
      <c r="N19" s="15">
        <f t="shared" si="5"/>
        <v>9.0497878712253538E-2</v>
      </c>
      <c r="O19" s="142"/>
    </row>
    <row r="20" spans="1:15" ht="26.25" customHeight="1" x14ac:dyDescent="0.25">
      <c r="A20" s="18" t="s">
        <v>76</v>
      </c>
      <c r="B20" s="18" t="s">
        <v>33</v>
      </c>
      <c r="C20" s="11" t="s">
        <v>64</v>
      </c>
      <c r="D20" s="11" t="s">
        <v>34</v>
      </c>
      <c r="E20" s="26" t="s">
        <v>65</v>
      </c>
      <c r="F20" s="13" t="s">
        <v>35</v>
      </c>
      <c r="G20" s="18">
        <v>180</v>
      </c>
      <c r="H20" s="95">
        <v>24.94</v>
      </c>
      <c r="I20" s="15">
        <f t="shared" si="0"/>
        <v>5.5666080000000004</v>
      </c>
      <c r="J20" s="15">
        <f t="shared" si="1"/>
        <v>30.506608</v>
      </c>
      <c r="K20" s="15">
        <f t="shared" si="2"/>
        <v>9.1519823999999996E-3</v>
      </c>
      <c r="L20" s="15">
        <f t="shared" si="3"/>
        <v>30.497456017600001</v>
      </c>
      <c r="M20" s="15">
        <f t="shared" si="4"/>
        <v>5489.5420831680003</v>
      </c>
      <c r="N20" s="15">
        <f t="shared" si="5"/>
        <v>7.7801347641627133E-2</v>
      </c>
      <c r="O20" s="142"/>
    </row>
    <row r="21" spans="1:15" ht="26.25" customHeight="1" x14ac:dyDescent="0.25">
      <c r="A21" s="18" t="s">
        <v>77</v>
      </c>
      <c r="B21" s="18" t="s">
        <v>33</v>
      </c>
      <c r="C21" s="11" t="s">
        <v>64</v>
      </c>
      <c r="D21" s="11" t="s">
        <v>34</v>
      </c>
      <c r="E21" s="26" t="s">
        <v>65</v>
      </c>
      <c r="F21" s="13" t="s">
        <v>35</v>
      </c>
      <c r="G21" s="18">
        <v>180</v>
      </c>
      <c r="H21" s="95">
        <v>24.94</v>
      </c>
      <c r="I21" s="15">
        <f t="shared" si="0"/>
        <v>5.5666080000000004</v>
      </c>
      <c r="J21" s="15">
        <f t="shared" si="1"/>
        <v>30.506608</v>
      </c>
      <c r="K21" s="15">
        <f t="shared" si="2"/>
        <v>9.1519823999999996E-3</v>
      </c>
      <c r="L21" s="15">
        <f t="shared" si="3"/>
        <v>30.497456017600001</v>
      </c>
      <c r="M21" s="15">
        <f t="shared" si="4"/>
        <v>5489.5420831680003</v>
      </c>
      <c r="N21" s="15">
        <f t="shared" si="5"/>
        <v>7.7801347641627133E-2</v>
      </c>
      <c r="O21" s="142"/>
    </row>
    <row r="22" spans="1:15" ht="26.25" customHeight="1" x14ac:dyDescent="0.25">
      <c r="A22" s="18" t="s">
        <v>78</v>
      </c>
      <c r="B22" s="18" t="s">
        <v>33</v>
      </c>
      <c r="C22" s="11" t="s">
        <v>66</v>
      </c>
      <c r="D22" s="11" t="s">
        <v>34</v>
      </c>
      <c r="E22" s="26" t="s">
        <v>67</v>
      </c>
      <c r="F22" s="13" t="s">
        <v>35</v>
      </c>
      <c r="G22" s="18">
        <v>180</v>
      </c>
      <c r="H22" s="95">
        <v>28.4</v>
      </c>
      <c r="I22" s="15">
        <f t="shared" si="0"/>
        <v>6.3388799999999996</v>
      </c>
      <c r="J22" s="15">
        <f t="shared" si="1"/>
        <v>34.738879999999995</v>
      </c>
      <c r="K22" s="15">
        <f t="shared" si="2"/>
        <v>1.0421663999999997E-2</v>
      </c>
      <c r="L22" s="15">
        <f t="shared" si="3"/>
        <v>34.728458335999996</v>
      </c>
      <c r="M22" s="15">
        <f t="shared" si="4"/>
        <v>6251.122500479999</v>
      </c>
      <c r="N22" s="15">
        <f t="shared" si="5"/>
        <v>8.8594958822061365E-2</v>
      </c>
      <c r="O22" s="142"/>
    </row>
    <row r="23" spans="1:15" ht="26.25" customHeight="1" x14ac:dyDescent="0.25">
      <c r="A23" s="18" t="s">
        <v>79</v>
      </c>
      <c r="B23" s="18" t="s">
        <v>33</v>
      </c>
      <c r="C23" s="11" t="s">
        <v>66</v>
      </c>
      <c r="D23" s="11" t="s">
        <v>34</v>
      </c>
      <c r="E23" s="26" t="s">
        <v>67</v>
      </c>
      <c r="F23" s="13" t="s">
        <v>35</v>
      </c>
      <c r="G23" s="18">
        <v>180</v>
      </c>
      <c r="H23" s="95">
        <v>28.4</v>
      </c>
      <c r="I23" s="15">
        <f t="shared" si="0"/>
        <v>6.3388799999999996</v>
      </c>
      <c r="J23" s="15">
        <f t="shared" si="1"/>
        <v>34.738879999999995</v>
      </c>
      <c r="K23" s="15">
        <f t="shared" si="2"/>
        <v>1.0421663999999997E-2</v>
      </c>
      <c r="L23" s="15">
        <f t="shared" si="3"/>
        <v>34.728458335999996</v>
      </c>
      <c r="M23" s="15">
        <f t="shared" si="4"/>
        <v>6251.122500479999</v>
      </c>
      <c r="N23" s="15">
        <f t="shared" si="5"/>
        <v>8.8594958822061365E-2</v>
      </c>
      <c r="O23" s="142"/>
    </row>
    <row r="24" spans="1:15" ht="26.25" customHeight="1" x14ac:dyDescent="0.25">
      <c r="A24" s="18" t="s">
        <v>80</v>
      </c>
      <c r="B24" s="18" t="s">
        <v>33</v>
      </c>
      <c r="C24" s="11" t="s">
        <v>68</v>
      </c>
      <c r="D24" s="11" t="s">
        <v>34</v>
      </c>
      <c r="E24" s="26" t="s">
        <v>69</v>
      </c>
      <c r="F24" s="13" t="s">
        <v>35</v>
      </c>
      <c r="G24" s="18">
        <v>180</v>
      </c>
      <c r="H24" s="95">
        <v>24.45</v>
      </c>
      <c r="I24" s="15">
        <f t="shared" si="0"/>
        <v>5.4572399999999996</v>
      </c>
      <c r="J24" s="15">
        <f t="shared" si="1"/>
        <v>29.907239999999998</v>
      </c>
      <c r="K24" s="15">
        <f t="shared" si="2"/>
        <v>8.9721719999999987E-3</v>
      </c>
      <c r="L24" s="15">
        <f t="shared" si="3"/>
        <v>29.898267827999998</v>
      </c>
      <c r="M24" s="15">
        <f t="shared" si="4"/>
        <v>5381.6882090399995</v>
      </c>
      <c r="N24" s="15">
        <f t="shared" si="5"/>
        <v>7.6272772647866208E-2</v>
      </c>
      <c r="O24" s="142"/>
    </row>
    <row r="25" spans="1:15" ht="26.25" customHeight="1" x14ac:dyDescent="0.25">
      <c r="A25" s="18" t="s">
        <v>81</v>
      </c>
      <c r="B25" s="18" t="s">
        <v>33</v>
      </c>
      <c r="C25" s="11" t="s">
        <v>68</v>
      </c>
      <c r="D25" s="11" t="s">
        <v>34</v>
      </c>
      <c r="E25" s="26" t="s">
        <v>69</v>
      </c>
      <c r="F25" s="13" t="s">
        <v>35</v>
      </c>
      <c r="G25" s="18">
        <v>180</v>
      </c>
      <c r="H25" s="95">
        <v>24.45</v>
      </c>
      <c r="I25" s="15">
        <f t="shared" si="0"/>
        <v>5.4572399999999996</v>
      </c>
      <c r="J25" s="15">
        <f t="shared" si="1"/>
        <v>29.907239999999998</v>
      </c>
      <c r="K25" s="15">
        <f t="shared" si="2"/>
        <v>8.9721719999999987E-3</v>
      </c>
      <c r="L25" s="15">
        <f t="shared" si="3"/>
        <v>29.898267827999998</v>
      </c>
      <c r="M25" s="15">
        <f t="shared" si="4"/>
        <v>5381.6882090399995</v>
      </c>
      <c r="N25" s="15">
        <f t="shared" si="5"/>
        <v>7.6272772647866208E-2</v>
      </c>
      <c r="O25" s="142"/>
    </row>
    <row r="26" spans="1:15" ht="26.25" customHeight="1" x14ac:dyDescent="0.25">
      <c r="A26" s="18" t="s">
        <v>82</v>
      </c>
      <c r="B26" s="18" t="s">
        <v>33</v>
      </c>
      <c r="C26" s="11" t="s">
        <v>68</v>
      </c>
      <c r="D26" s="11" t="s">
        <v>34</v>
      </c>
      <c r="E26" s="26" t="s">
        <v>69</v>
      </c>
      <c r="F26" s="13" t="s">
        <v>35</v>
      </c>
      <c r="G26" s="18">
        <v>180</v>
      </c>
      <c r="H26" s="95">
        <v>24.45</v>
      </c>
      <c r="I26" s="15">
        <f t="shared" si="0"/>
        <v>5.4572399999999996</v>
      </c>
      <c r="J26" s="15">
        <f t="shared" si="1"/>
        <v>29.907239999999998</v>
      </c>
      <c r="K26" s="15">
        <f t="shared" si="2"/>
        <v>8.9721719999999987E-3</v>
      </c>
      <c r="L26" s="15">
        <f t="shared" si="3"/>
        <v>29.898267827999998</v>
      </c>
      <c r="M26" s="15">
        <f t="shared" si="4"/>
        <v>5381.6882090399995</v>
      </c>
      <c r="N26" s="15">
        <f t="shared" si="5"/>
        <v>7.6272772647866208E-2</v>
      </c>
      <c r="O26" s="142"/>
    </row>
    <row r="27" spans="1:15" ht="26.25" customHeight="1" x14ac:dyDescent="0.25">
      <c r="A27" s="18" t="s">
        <v>83</v>
      </c>
      <c r="B27" s="18" t="s">
        <v>33</v>
      </c>
      <c r="C27" s="11" t="s">
        <v>72</v>
      </c>
      <c r="D27" s="11" t="s">
        <v>34</v>
      </c>
      <c r="E27" s="12" t="s">
        <v>73</v>
      </c>
      <c r="F27" s="13" t="s">
        <v>35</v>
      </c>
      <c r="G27" s="18">
        <v>180</v>
      </c>
      <c r="H27" s="95">
        <v>24.41</v>
      </c>
      <c r="I27" s="15">
        <f t="shared" si="0"/>
        <v>5.4483120000000005</v>
      </c>
      <c r="J27" s="15">
        <f t="shared" si="1"/>
        <v>29.858312000000002</v>
      </c>
      <c r="K27" s="15">
        <f t="shared" si="2"/>
        <v>8.9574935999999997E-3</v>
      </c>
      <c r="L27" s="15">
        <f t="shared" si="3"/>
        <v>29.849354506400001</v>
      </c>
      <c r="M27" s="15">
        <f t="shared" si="4"/>
        <v>5372.8838111519999</v>
      </c>
      <c r="N27" s="15">
        <f t="shared" si="5"/>
        <v>7.6147991015722463E-2</v>
      </c>
      <c r="O27" s="142"/>
    </row>
    <row r="28" spans="1:15" ht="26.25" customHeight="1" x14ac:dyDescent="0.25">
      <c r="A28" s="18" t="s">
        <v>84</v>
      </c>
      <c r="B28" s="18" t="s">
        <v>33</v>
      </c>
      <c r="C28" s="11" t="s">
        <v>72</v>
      </c>
      <c r="D28" s="11" t="s">
        <v>34</v>
      </c>
      <c r="E28" s="12" t="s">
        <v>73</v>
      </c>
      <c r="F28" s="13" t="s">
        <v>35</v>
      </c>
      <c r="G28" s="18">
        <v>180</v>
      </c>
      <c r="H28" s="95">
        <v>24.41</v>
      </c>
      <c r="I28" s="15">
        <f t="shared" si="0"/>
        <v>5.4483120000000005</v>
      </c>
      <c r="J28" s="15">
        <f t="shared" si="1"/>
        <v>29.858312000000002</v>
      </c>
      <c r="K28" s="15">
        <f t="shared" si="2"/>
        <v>8.9574935999999997E-3</v>
      </c>
      <c r="L28" s="15">
        <f t="shared" si="3"/>
        <v>29.849354506400001</v>
      </c>
      <c r="M28" s="15">
        <f t="shared" si="4"/>
        <v>5372.8838111519999</v>
      </c>
      <c r="N28" s="15">
        <f t="shared" si="5"/>
        <v>7.6147991015722463E-2</v>
      </c>
      <c r="O28" s="142"/>
    </row>
    <row r="29" spans="1:15" x14ac:dyDescent="0.25">
      <c r="A29" s="136" t="s">
        <v>16</v>
      </c>
      <c r="B29" s="138" t="s">
        <v>17</v>
      </c>
      <c r="C29" s="138" t="s">
        <v>18</v>
      </c>
      <c r="D29" s="138" t="s">
        <v>19</v>
      </c>
      <c r="E29" s="138" t="s">
        <v>20</v>
      </c>
      <c r="F29" s="138" t="s">
        <v>21</v>
      </c>
      <c r="G29" s="138" t="s">
        <v>22</v>
      </c>
      <c r="H29" s="140" t="s">
        <v>23</v>
      </c>
      <c r="I29" s="140"/>
      <c r="J29" s="140"/>
      <c r="K29" s="140"/>
      <c r="L29" s="141"/>
      <c r="M29" s="138" t="s">
        <v>24</v>
      </c>
      <c r="N29" s="138" t="s">
        <v>25</v>
      </c>
      <c r="O29" s="142"/>
    </row>
    <row r="30" spans="1:15" ht="17.100000000000001" customHeight="1" x14ac:dyDescent="0.25">
      <c r="A30" s="137"/>
      <c r="B30" s="139"/>
      <c r="C30" s="139"/>
      <c r="D30" s="139"/>
      <c r="E30" s="139"/>
      <c r="F30" s="139"/>
      <c r="G30" s="139"/>
      <c r="H30" s="3" t="s">
        <v>27</v>
      </c>
      <c r="I30" s="68" t="s">
        <v>36</v>
      </c>
      <c r="J30" s="3" t="s">
        <v>29</v>
      </c>
      <c r="K30" s="4" t="s">
        <v>58</v>
      </c>
      <c r="L30" s="3" t="s">
        <v>30</v>
      </c>
      <c r="M30" s="139"/>
      <c r="N30" s="139"/>
      <c r="O30" s="113"/>
    </row>
    <row r="31" spans="1:15" ht="17.100000000000001" customHeight="1" x14ac:dyDescent="0.25">
      <c r="A31" s="16">
        <v>2</v>
      </c>
      <c r="B31" s="143" t="s">
        <v>37</v>
      </c>
      <c r="C31" s="143"/>
      <c r="D31" s="144"/>
      <c r="E31" s="144"/>
      <c r="F31" s="144"/>
      <c r="G31" s="17"/>
      <c r="H31" s="17"/>
      <c r="I31" s="17"/>
      <c r="J31" s="17"/>
      <c r="K31" s="17"/>
      <c r="L31" s="17"/>
      <c r="M31" s="29">
        <f>SUM(M32:M61)</f>
        <v>20396.120747573998</v>
      </c>
      <c r="N31" s="17"/>
      <c r="O31" s="142"/>
    </row>
    <row r="32" spans="1:15" s="20" customFormat="1" ht="17.100000000000001" customHeight="1" x14ac:dyDescent="0.2">
      <c r="A32" s="19" t="s">
        <v>50</v>
      </c>
      <c r="B32" s="19" t="s">
        <v>53</v>
      </c>
      <c r="C32" s="19">
        <v>366</v>
      </c>
      <c r="D32" s="19" t="s">
        <v>34</v>
      </c>
      <c r="E32" s="49" t="s">
        <v>206</v>
      </c>
      <c r="F32" s="19" t="s">
        <v>127</v>
      </c>
      <c r="G32" s="19">
        <v>3</v>
      </c>
      <c r="H32" s="99">
        <v>52.45</v>
      </c>
      <c r="I32" s="15">
        <f t="shared" ref="I32:I46" si="6">H32*0.1532</f>
        <v>8.0353399999999997</v>
      </c>
      <c r="J32" s="15">
        <f t="shared" ref="J32" si="7">H32+I32</f>
        <v>60.485340000000001</v>
      </c>
      <c r="K32" s="15">
        <f t="shared" ref="K32:K39" si="8">J32*(0.03%)</f>
        <v>1.8145602E-2</v>
      </c>
      <c r="L32" s="15">
        <f t="shared" ref="L32" si="9">J32-K32</f>
        <v>60.467194398000004</v>
      </c>
      <c r="M32" s="15">
        <f t="shared" ref="M32:M36" si="10">L32*G32</f>
        <v>181.40158319400001</v>
      </c>
      <c r="N32" s="15" t="e">
        <f>M32/#REF!</f>
        <v>#REF!</v>
      </c>
      <c r="O32" s="142"/>
    </row>
    <row r="33" spans="1:15" s="20" customFormat="1" ht="17.100000000000001" customHeight="1" x14ac:dyDescent="0.2">
      <c r="A33" s="19" t="s">
        <v>51</v>
      </c>
      <c r="B33" s="19" t="s">
        <v>53</v>
      </c>
      <c r="C33" s="19">
        <v>4720</v>
      </c>
      <c r="D33" s="19" t="s">
        <v>34</v>
      </c>
      <c r="E33" s="49" t="s">
        <v>128</v>
      </c>
      <c r="F33" s="19" t="s">
        <v>127</v>
      </c>
      <c r="G33" s="19">
        <v>5</v>
      </c>
      <c r="H33" s="98">
        <v>80.39</v>
      </c>
      <c r="I33" s="15">
        <f t="shared" si="6"/>
        <v>12.315748000000001</v>
      </c>
      <c r="J33" s="15">
        <f>H33+I33</f>
        <v>92.705748</v>
      </c>
      <c r="K33" s="15">
        <f t="shared" si="8"/>
        <v>2.7811724399999998E-2</v>
      </c>
      <c r="L33" s="15">
        <f>J33-K33</f>
        <v>92.677936275600004</v>
      </c>
      <c r="M33" s="15">
        <f t="shared" si="10"/>
        <v>463.38968137800003</v>
      </c>
      <c r="N33" s="15">
        <f t="shared" ref="N33:N58" si="11">M33/M32</f>
        <v>2.5544963457260885</v>
      </c>
      <c r="O33" s="142"/>
    </row>
    <row r="34" spans="1:15" s="20" customFormat="1" ht="17.100000000000001" customHeight="1" x14ac:dyDescent="0.2">
      <c r="A34" s="19" t="s">
        <v>52</v>
      </c>
      <c r="B34" s="19" t="s">
        <v>53</v>
      </c>
      <c r="C34" s="19">
        <v>367</v>
      </c>
      <c r="D34" s="19" t="s">
        <v>34</v>
      </c>
      <c r="E34" s="52" t="s">
        <v>126</v>
      </c>
      <c r="F34" s="19" t="s">
        <v>127</v>
      </c>
      <c r="G34" s="19">
        <v>5</v>
      </c>
      <c r="H34" s="99">
        <v>53.13</v>
      </c>
      <c r="I34" s="15">
        <f t="shared" si="6"/>
        <v>8.1395160000000004</v>
      </c>
      <c r="J34" s="15">
        <f t="shared" ref="J34:J46" si="12">H34+I34</f>
        <v>61.269516000000003</v>
      </c>
      <c r="K34" s="15">
        <f t="shared" si="8"/>
        <v>1.8380854799999999E-2</v>
      </c>
      <c r="L34" s="15">
        <f t="shared" ref="L34:L46" si="13">J34-K34</f>
        <v>61.251135145200003</v>
      </c>
      <c r="M34" s="15">
        <f t="shared" si="10"/>
        <v>306.25567572599999</v>
      </c>
      <c r="N34" s="15">
        <f t="shared" si="11"/>
        <v>0.66090309740017406</v>
      </c>
      <c r="O34" s="142"/>
    </row>
    <row r="35" spans="1:15" s="20" customFormat="1" ht="17.100000000000001" customHeight="1" x14ac:dyDescent="0.2">
      <c r="A35" s="19" t="s">
        <v>85</v>
      </c>
      <c r="B35" s="19" t="s">
        <v>53</v>
      </c>
      <c r="C35" s="19">
        <v>1379</v>
      </c>
      <c r="D35" s="19" t="s">
        <v>34</v>
      </c>
      <c r="E35" s="51" t="s">
        <v>118</v>
      </c>
      <c r="F35" s="19" t="s">
        <v>110</v>
      </c>
      <c r="G35" s="19">
        <v>2750</v>
      </c>
      <c r="H35" s="98">
        <v>0.66</v>
      </c>
      <c r="I35" s="15">
        <f t="shared" si="6"/>
        <v>0.10111200000000001</v>
      </c>
      <c r="J35" s="15">
        <f t="shared" si="12"/>
        <v>0.76111200000000001</v>
      </c>
      <c r="K35" s="15">
        <f t="shared" si="8"/>
        <v>2.2833359999999999E-4</v>
      </c>
      <c r="L35" s="15">
        <f t="shared" si="13"/>
        <v>0.76088366640000005</v>
      </c>
      <c r="M35" s="15">
        <f t="shared" si="10"/>
        <v>2092.4300826000003</v>
      </c>
      <c r="N35" s="15">
        <f t="shared" si="11"/>
        <v>6.8322981366459636</v>
      </c>
      <c r="O35" s="142"/>
    </row>
    <row r="36" spans="1:15" s="20" customFormat="1" ht="17.100000000000001" customHeight="1" x14ac:dyDescent="0.2">
      <c r="A36" s="19" t="s">
        <v>86</v>
      </c>
      <c r="B36" s="19" t="s">
        <v>53</v>
      </c>
      <c r="C36" s="19">
        <v>43132</v>
      </c>
      <c r="D36" s="19" t="s">
        <v>34</v>
      </c>
      <c r="E36" s="52" t="s">
        <v>129</v>
      </c>
      <c r="F36" s="19" t="s">
        <v>130</v>
      </c>
      <c r="G36" s="19">
        <v>5</v>
      </c>
      <c r="H36" s="98">
        <v>22.83</v>
      </c>
      <c r="I36" s="15">
        <f t="shared" si="6"/>
        <v>3.4975559999999999</v>
      </c>
      <c r="J36" s="15">
        <f t="shared" si="12"/>
        <v>26.327555999999998</v>
      </c>
      <c r="K36" s="15">
        <f t="shared" si="8"/>
        <v>7.8982667999999978E-3</v>
      </c>
      <c r="L36" s="15">
        <f t="shared" si="13"/>
        <v>26.319657733199996</v>
      </c>
      <c r="M36" s="15">
        <f t="shared" si="10"/>
        <v>131.59828866599997</v>
      </c>
      <c r="N36" s="15">
        <f t="shared" si="11"/>
        <v>6.2892561983471054E-2</v>
      </c>
      <c r="O36" s="142"/>
    </row>
    <row r="37" spans="1:15" s="20" customFormat="1" ht="17.100000000000001" customHeight="1" x14ac:dyDescent="0.2">
      <c r="A37" s="19" t="s">
        <v>87</v>
      </c>
      <c r="B37" s="19" t="s">
        <v>53</v>
      </c>
      <c r="C37" s="30">
        <v>377</v>
      </c>
      <c r="D37" s="19" t="s">
        <v>34</v>
      </c>
      <c r="E37" s="51" t="s">
        <v>112</v>
      </c>
      <c r="F37" s="19" t="s">
        <v>21</v>
      </c>
      <c r="G37" s="19">
        <v>10</v>
      </c>
      <c r="H37" s="100">
        <v>42.48</v>
      </c>
      <c r="I37" s="15">
        <f t="shared" si="6"/>
        <v>6.5079359999999999</v>
      </c>
      <c r="J37" s="15">
        <f t="shared" si="12"/>
        <v>48.987935999999998</v>
      </c>
      <c r="K37" s="15">
        <f t="shared" si="8"/>
        <v>1.4696380799999999E-2</v>
      </c>
      <c r="L37" s="15">
        <f t="shared" si="13"/>
        <v>48.973239619200001</v>
      </c>
      <c r="M37" s="15">
        <f t="shared" ref="M37:M46" si="14">L37*G37</f>
        <v>489.73239619200001</v>
      </c>
      <c r="N37" s="15" t="e">
        <f>M37/#REF!</f>
        <v>#REF!</v>
      </c>
      <c r="O37" s="142"/>
    </row>
    <row r="38" spans="1:15" s="20" customFormat="1" ht="17.100000000000001" customHeight="1" x14ac:dyDescent="0.2">
      <c r="A38" s="19" t="s">
        <v>88</v>
      </c>
      <c r="B38" s="19" t="s">
        <v>53</v>
      </c>
      <c r="C38" s="19">
        <v>6148</v>
      </c>
      <c r="D38" s="19" t="s">
        <v>34</v>
      </c>
      <c r="E38" s="57" t="s">
        <v>61</v>
      </c>
      <c r="F38" s="19" t="s">
        <v>21</v>
      </c>
      <c r="G38" s="19">
        <v>20</v>
      </c>
      <c r="H38" s="98">
        <v>10.8</v>
      </c>
      <c r="I38" s="15">
        <f t="shared" si="6"/>
        <v>1.65456</v>
      </c>
      <c r="J38" s="15">
        <f t="shared" si="12"/>
        <v>12.454560000000001</v>
      </c>
      <c r="K38" s="15">
        <f t="shared" si="8"/>
        <v>3.7363679999999999E-3</v>
      </c>
      <c r="L38" s="15">
        <f t="shared" si="13"/>
        <v>12.450823632000001</v>
      </c>
      <c r="M38" s="15">
        <f t="shared" si="14"/>
        <v>249.01647264000002</v>
      </c>
      <c r="N38" s="15" t="e">
        <f>M38/#REF!</f>
        <v>#REF!</v>
      </c>
      <c r="O38" s="142"/>
    </row>
    <row r="39" spans="1:15" s="20" customFormat="1" ht="17.100000000000001" customHeight="1" x14ac:dyDescent="0.2">
      <c r="A39" s="19" t="s">
        <v>89</v>
      </c>
      <c r="B39" s="19" t="s">
        <v>53</v>
      </c>
      <c r="C39" s="30">
        <v>142</v>
      </c>
      <c r="D39" s="19" t="s">
        <v>34</v>
      </c>
      <c r="E39" s="32" t="s">
        <v>113</v>
      </c>
      <c r="F39" s="19" t="s">
        <v>21</v>
      </c>
      <c r="G39" s="19">
        <v>120</v>
      </c>
      <c r="H39" s="95">
        <v>36.299999999999997</v>
      </c>
      <c r="I39" s="15">
        <f t="shared" si="6"/>
        <v>5.5611600000000001</v>
      </c>
      <c r="J39" s="15">
        <f t="shared" si="12"/>
        <v>41.861159999999998</v>
      </c>
      <c r="K39" s="15">
        <f t="shared" si="8"/>
        <v>1.2558347999999999E-2</v>
      </c>
      <c r="L39" s="15">
        <f t="shared" si="13"/>
        <v>41.848601651999999</v>
      </c>
      <c r="M39" s="15">
        <f t="shared" si="14"/>
        <v>5021.8321982400003</v>
      </c>
      <c r="N39" s="15" t="e">
        <f>M39/#REF!</f>
        <v>#REF!</v>
      </c>
      <c r="O39" s="142"/>
    </row>
    <row r="40" spans="1:15" s="20" customFormat="1" ht="17.100000000000001" customHeight="1" x14ac:dyDescent="0.2">
      <c r="A40" s="19" t="s">
        <v>90</v>
      </c>
      <c r="B40" s="19" t="s">
        <v>53</v>
      </c>
      <c r="C40" s="19">
        <v>40304</v>
      </c>
      <c r="D40" s="19" t="s">
        <v>34</v>
      </c>
      <c r="E40" s="32" t="s">
        <v>202</v>
      </c>
      <c r="F40" s="19" t="s">
        <v>130</v>
      </c>
      <c r="G40" s="19">
        <v>2</v>
      </c>
      <c r="H40" s="98">
        <v>21.84</v>
      </c>
      <c r="I40" s="15">
        <f t="shared" si="6"/>
        <v>3.345888</v>
      </c>
      <c r="J40" s="15">
        <f t="shared" si="12"/>
        <v>25.185887999999998</v>
      </c>
      <c r="K40" s="15">
        <f t="shared" ref="K40:K46" si="15">J40*(0.03%)</f>
        <v>7.5557663999999986E-3</v>
      </c>
      <c r="L40" s="15">
        <f t="shared" si="13"/>
        <v>25.178332233599999</v>
      </c>
      <c r="M40" s="15">
        <f t="shared" si="14"/>
        <v>50.356664467199998</v>
      </c>
      <c r="N40" s="15" t="e">
        <f>M40/#REF!</f>
        <v>#REF!</v>
      </c>
      <c r="O40" s="142"/>
    </row>
    <row r="41" spans="1:15" s="20" customFormat="1" ht="17.100000000000001" customHeight="1" x14ac:dyDescent="0.2">
      <c r="A41" s="19" t="s">
        <v>91</v>
      </c>
      <c r="B41" s="19" t="s">
        <v>53</v>
      </c>
      <c r="C41" s="19">
        <v>21112</v>
      </c>
      <c r="D41" s="19" t="s">
        <v>34</v>
      </c>
      <c r="E41" s="32" t="s">
        <v>203</v>
      </c>
      <c r="F41" s="19" t="s">
        <v>21</v>
      </c>
      <c r="G41" s="19">
        <v>15</v>
      </c>
      <c r="H41" s="98">
        <v>266.76</v>
      </c>
      <c r="I41" s="15">
        <f t="shared" si="6"/>
        <v>40.867632</v>
      </c>
      <c r="J41" s="15">
        <f t="shared" si="12"/>
        <v>307.62763200000001</v>
      </c>
      <c r="K41" s="15">
        <f t="shared" si="15"/>
        <v>9.228828959999999E-2</v>
      </c>
      <c r="L41" s="15">
        <f t="shared" si="13"/>
        <v>307.53534371040001</v>
      </c>
      <c r="M41" s="15">
        <f t="shared" si="14"/>
        <v>4613.0301556559998</v>
      </c>
      <c r="N41" s="15">
        <f t="shared" si="11"/>
        <v>91.607142857142861</v>
      </c>
      <c r="O41" s="142"/>
    </row>
    <row r="42" spans="1:15" s="20" customFormat="1" ht="17.100000000000001" customHeight="1" x14ac:dyDescent="0.2">
      <c r="A42" s="19" t="s">
        <v>92</v>
      </c>
      <c r="B42" s="19" t="s">
        <v>53</v>
      </c>
      <c r="C42" s="19">
        <v>11621</v>
      </c>
      <c r="D42" s="19" t="s">
        <v>34</v>
      </c>
      <c r="E42" s="32" t="s">
        <v>204</v>
      </c>
      <c r="F42" s="19" t="s">
        <v>205</v>
      </c>
      <c r="G42" s="19">
        <v>20</v>
      </c>
      <c r="H42" s="98">
        <v>53.07</v>
      </c>
      <c r="I42" s="15">
        <f t="shared" si="6"/>
        <v>8.1303239999999999</v>
      </c>
      <c r="J42" s="15">
        <f t="shared" si="12"/>
        <v>61.200324000000002</v>
      </c>
      <c r="K42" s="15">
        <f t="shared" si="15"/>
        <v>1.8360097199999998E-2</v>
      </c>
      <c r="L42" s="15">
        <f t="shared" si="13"/>
        <v>61.1819639028</v>
      </c>
      <c r="M42" s="15">
        <f t="shared" si="14"/>
        <v>1223.639278056</v>
      </c>
      <c r="N42" s="15">
        <f t="shared" si="11"/>
        <v>0.26525715999400212</v>
      </c>
      <c r="O42" s="142"/>
    </row>
    <row r="43" spans="1:15" s="20" customFormat="1" ht="17.100000000000001" customHeight="1" x14ac:dyDescent="0.2">
      <c r="A43" s="19" t="s">
        <v>93</v>
      </c>
      <c r="B43" s="19" t="s">
        <v>53</v>
      </c>
      <c r="C43" s="19">
        <v>21141</v>
      </c>
      <c r="D43" s="19" t="s">
        <v>34</v>
      </c>
      <c r="E43" s="32" t="s">
        <v>207</v>
      </c>
      <c r="F43" s="19" t="s">
        <v>205</v>
      </c>
      <c r="G43" s="19">
        <v>6</v>
      </c>
      <c r="H43" s="98">
        <v>16.95</v>
      </c>
      <c r="I43" s="15">
        <f t="shared" si="6"/>
        <v>2.59674</v>
      </c>
      <c r="J43" s="15">
        <f t="shared" si="12"/>
        <v>19.54674</v>
      </c>
      <c r="K43" s="15">
        <f t="shared" si="15"/>
        <v>5.8640219999999991E-3</v>
      </c>
      <c r="L43" s="15">
        <f t="shared" si="13"/>
        <v>19.540875977999999</v>
      </c>
      <c r="M43" s="15">
        <f t="shared" si="14"/>
        <v>117.24525586799999</v>
      </c>
      <c r="N43" s="15">
        <f t="shared" si="11"/>
        <v>9.5816845675522885E-2</v>
      </c>
      <c r="O43" s="142"/>
    </row>
    <row r="44" spans="1:15" s="20" customFormat="1" ht="17.100000000000001" customHeight="1" x14ac:dyDescent="0.2">
      <c r="A44" s="19" t="s">
        <v>94</v>
      </c>
      <c r="B44" s="19" t="s">
        <v>53</v>
      </c>
      <c r="C44" s="19">
        <v>11762</v>
      </c>
      <c r="D44" s="19" t="s">
        <v>34</v>
      </c>
      <c r="E44" s="92" t="s">
        <v>116</v>
      </c>
      <c r="F44" s="19" t="s">
        <v>21</v>
      </c>
      <c r="G44" s="19">
        <v>15</v>
      </c>
      <c r="H44" s="98">
        <v>49.2</v>
      </c>
      <c r="I44" s="15">
        <f t="shared" si="6"/>
        <v>7.5374400000000001</v>
      </c>
      <c r="J44" s="15">
        <f t="shared" si="12"/>
        <v>56.737440000000007</v>
      </c>
      <c r="K44" s="15">
        <f t="shared" si="15"/>
        <v>1.7021232000000001E-2</v>
      </c>
      <c r="L44" s="15">
        <f t="shared" si="13"/>
        <v>56.720418768000009</v>
      </c>
      <c r="M44" s="15">
        <f t="shared" si="14"/>
        <v>850.80628152000008</v>
      </c>
      <c r="N44" s="15">
        <f t="shared" si="11"/>
        <v>7.2566371681415944</v>
      </c>
      <c r="O44" s="142"/>
    </row>
    <row r="45" spans="1:15" s="20" customFormat="1" ht="17.100000000000001" customHeight="1" x14ac:dyDescent="0.2">
      <c r="A45" s="19" t="s">
        <v>95</v>
      </c>
      <c r="B45" s="19" t="s">
        <v>53</v>
      </c>
      <c r="C45" s="30">
        <v>3873</v>
      </c>
      <c r="D45" s="19" t="s">
        <v>34</v>
      </c>
      <c r="E45" s="32" t="s">
        <v>208</v>
      </c>
      <c r="F45" s="93" t="s">
        <v>21</v>
      </c>
      <c r="G45" s="19">
        <v>15</v>
      </c>
      <c r="H45" s="99">
        <v>14.14</v>
      </c>
      <c r="I45" s="15">
        <f t="shared" si="6"/>
        <v>2.166248</v>
      </c>
      <c r="J45" s="15">
        <f t="shared" si="12"/>
        <v>16.306248</v>
      </c>
      <c r="K45" s="15">
        <f t="shared" si="15"/>
        <v>4.8918743999999993E-3</v>
      </c>
      <c r="L45" s="15">
        <f t="shared" si="13"/>
        <v>16.301356125600002</v>
      </c>
      <c r="M45" s="15">
        <f t="shared" si="14"/>
        <v>244.52034188400003</v>
      </c>
      <c r="N45" s="15">
        <f t="shared" si="11"/>
        <v>0.28739837398373985</v>
      </c>
      <c r="O45" s="142"/>
    </row>
    <row r="46" spans="1:15" s="20" customFormat="1" ht="17.100000000000001" customHeight="1" x14ac:dyDescent="0.2">
      <c r="A46" s="19" t="s">
        <v>96</v>
      </c>
      <c r="B46" s="19" t="s">
        <v>53</v>
      </c>
      <c r="C46" s="19">
        <v>3904</v>
      </c>
      <c r="D46" s="19" t="s">
        <v>34</v>
      </c>
      <c r="E46" s="32" t="s">
        <v>146</v>
      </c>
      <c r="F46" s="19" t="s">
        <v>21</v>
      </c>
      <c r="G46" s="19">
        <v>15</v>
      </c>
      <c r="H46" s="99">
        <v>1.0900000000000001</v>
      </c>
      <c r="I46" s="15">
        <f t="shared" si="6"/>
        <v>0.16698800000000003</v>
      </c>
      <c r="J46" s="15">
        <f t="shared" si="12"/>
        <v>1.2569880000000002</v>
      </c>
      <c r="K46" s="15">
        <f t="shared" si="15"/>
        <v>3.7709640000000002E-4</v>
      </c>
      <c r="L46" s="15">
        <f t="shared" si="13"/>
        <v>1.2566109036000002</v>
      </c>
      <c r="M46" s="15">
        <f t="shared" si="14"/>
        <v>18.849163554000004</v>
      </c>
      <c r="N46" s="15">
        <f t="shared" si="11"/>
        <v>7.7086280056577097E-2</v>
      </c>
      <c r="O46" s="142"/>
    </row>
    <row r="47" spans="1:15" s="20" customFormat="1" ht="17.100000000000001" customHeight="1" x14ac:dyDescent="0.2">
      <c r="A47" s="19" t="s">
        <v>97</v>
      </c>
      <c r="B47" s="19" t="s">
        <v>53</v>
      </c>
      <c r="C47" s="19">
        <v>1953</v>
      </c>
      <c r="D47" s="19" t="s">
        <v>34</v>
      </c>
      <c r="E47" s="32" t="s">
        <v>209</v>
      </c>
      <c r="F47" s="19" t="s">
        <v>21</v>
      </c>
      <c r="G47" s="19">
        <v>4</v>
      </c>
      <c r="H47" s="98">
        <v>76.28</v>
      </c>
      <c r="I47" s="15">
        <f t="shared" ref="I47:I58" si="16">H47*0.1532</f>
        <v>11.686096000000001</v>
      </c>
      <c r="J47" s="15">
        <f t="shared" ref="J47:J58" si="17">H47+I47</f>
        <v>87.966096000000007</v>
      </c>
      <c r="K47" s="15">
        <f t="shared" ref="K47:K58" si="18">J47*(0.03%)</f>
        <v>2.6389828800000001E-2</v>
      </c>
      <c r="L47" s="15">
        <f t="shared" ref="L47:L58" si="19">J47-K47</f>
        <v>87.939706171200001</v>
      </c>
      <c r="M47" s="15">
        <f t="shared" ref="M47:M58" si="20">L47*G47</f>
        <v>351.7588246848</v>
      </c>
      <c r="N47" s="15">
        <f t="shared" si="11"/>
        <v>18.661773700305808</v>
      </c>
      <c r="O47" s="142"/>
    </row>
    <row r="48" spans="1:15" s="20" customFormat="1" ht="17.100000000000001" customHeight="1" x14ac:dyDescent="0.2">
      <c r="A48" s="19" t="s">
        <v>98</v>
      </c>
      <c r="B48" s="19" t="s">
        <v>53</v>
      </c>
      <c r="C48" s="19">
        <v>4896</v>
      </c>
      <c r="D48" s="19" t="s">
        <v>34</v>
      </c>
      <c r="E48" s="32" t="s">
        <v>210</v>
      </c>
      <c r="F48" s="19" t="s">
        <v>21</v>
      </c>
      <c r="G48" s="19">
        <v>15</v>
      </c>
      <c r="H48" s="98">
        <v>1.1399999999999999</v>
      </c>
      <c r="I48" s="15">
        <f t="shared" si="16"/>
        <v>0.174648</v>
      </c>
      <c r="J48" s="15">
        <f t="shared" si="17"/>
        <v>1.3146479999999998</v>
      </c>
      <c r="K48" s="15">
        <f t="shared" si="18"/>
        <v>3.9439439999999992E-4</v>
      </c>
      <c r="L48" s="15">
        <f t="shared" si="19"/>
        <v>1.3142536055999998</v>
      </c>
      <c r="M48" s="15">
        <f t="shared" si="20"/>
        <v>19.713804083999996</v>
      </c>
      <c r="N48" s="15">
        <f t="shared" si="11"/>
        <v>5.6043523859465115E-2</v>
      </c>
      <c r="O48" s="142"/>
    </row>
    <row r="49" spans="1:15" s="20" customFormat="1" ht="17.100000000000001" customHeight="1" x14ac:dyDescent="0.2">
      <c r="A49" s="19" t="s">
        <v>99</v>
      </c>
      <c r="B49" s="19" t="s">
        <v>53</v>
      </c>
      <c r="C49" s="19">
        <v>4895</v>
      </c>
      <c r="D49" s="19" t="s">
        <v>34</v>
      </c>
      <c r="E49" s="32" t="s">
        <v>211</v>
      </c>
      <c r="F49" s="19" t="s">
        <v>21</v>
      </c>
      <c r="G49" s="19">
        <v>15</v>
      </c>
      <c r="H49" s="98">
        <v>0.76</v>
      </c>
      <c r="I49" s="15">
        <f t="shared" si="16"/>
        <v>0.11643200000000001</v>
      </c>
      <c r="J49" s="15">
        <f t="shared" si="17"/>
        <v>0.87643199999999999</v>
      </c>
      <c r="K49" s="15">
        <f t="shared" si="18"/>
        <v>2.6292959999999995E-4</v>
      </c>
      <c r="L49" s="15">
        <f t="shared" si="19"/>
        <v>0.87616907040000003</v>
      </c>
      <c r="M49" s="15">
        <f t="shared" si="20"/>
        <v>13.142536056000001</v>
      </c>
      <c r="N49" s="15">
        <f t="shared" si="11"/>
        <v>0.66666666666666685</v>
      </c>
      <c r="O49" s="142"/>
    </row>
    <row r="50" spans="1:15" s="20" customFormat="1" ht="17.100000000000001" customHeight="1" x14ac:dyDescent="0.2">
      <c r="A50" s="19" t="s">
        <v>100</v>
      </c>
      <c r="B50" s="19" t="s">
        <v>53</v>
      </c>
      <c r="C50" s="30">
        <v>11674</v>
      </c>
      <c r="D50" s="19" t="s">
        <v>34</v>
      </c>
      <c r="E50" s="32" t="s">
        <v>212</v>
      </c>
      <c r="F50" s="19" t="s">
        <v>21</v>
      </c>
      <c r="G50" s="19">
        <v>10</v>
      </c>
      <c r="H50" s="95">
        <v>31.22</v>
      </c>
      <c r="I50" s="15">
        <f t="shared" si="16"/>
        <v>4.7829040000000003</v>
      </c>
      <c r="J50" s="15">
        <f t="shared" si="17"/>
        <v>36.002904000000001</v>
      </c>
      <c r="K50" s="15">
        <f t="shared" si="18"/>
        <v>1.0800871199999999E-2</v>
      </c>
      <c r="L50" s="15">
        <f t="shared" si="19"/>
        <v>35.992103128800004</v>
      </c>
      <c r="M50" s="15">
        <f t="shared" si="20"/>
        <v>359.92103128800005</v>
      </c>
      <c r="N50" s="15">
        <f t="shared" si="11"/>
        <v>27.385964912280706</v>
      </c>
      <c r="O50" s="142"/>
    </row>
    <row r="51" spans="1:15" s="20" customFormat="1" ht="17.100000000000001" customHeight="1" x14ac:dyDescent="0.2">
      <c r="A51" s="19" t="s">
        <v>101</v>
      </c>
      <c r="B51" s="19" t="s">
        <v>53</v>
      </c>
      <c r="C51" s="19">
        <v>38383</v>
      </c>
      <c r="D51" s="19" t="s">
        <v>34</v>
      </c>
      <c r="E51" s="94" t="s">
        <v>213</v>
      </c>
      <c r="F51" s="19" t="s">
        <v>21</v>
      </c>
      <c r="G51" s="19">
        <v>30</v>
      </c>
      <c r="H51" s="98">
        <v>2.54</v>
      </c>
      <c r="I51" s="15">
        <f t="shared" si="16"/>
        <v>0.38912800000000003</v>
      </c>
      <c r="J51" s="15">
        <f t="shared" si="17"/>
        <v>2.929128</v>
      </c>
      <c r="K51" s="15">
        <f t="shared" si="18"/>
        <v>8.7873839999999992E-4</v>
      </c>
      <c r="L51" s="15">
        <f t="shared" si="19"/>
        <v>2.9282492616</v>
      </c>
      <c r="M51" s="15">
        <f t="shared" si="20"/>
        <v>87.847477847999997</v>
      </c>
      <c r="N51" s="15">
        <f t="shared" si="11"/>
        <v>0.2440743113388853</v>
      </c>
      <c r="O51" s="142"/>
    </row>
    <row r="52" spans="1:15" s="20" customFormat="1" ht="17.100000000000001" customHeight="1" x14ac:dyDescent="0.2">
      <c r="A52" s="19" t="s">
        <v>102</v>
      </c>
      <c r="B52" s="19" t="s">
        <v>53</v>
      </c>
      <c r="C52" s="19">
        <v>10432</v>
      </c>
      <c r="D52" s="19" t="s">
        <v>34</v>
      </c>
      <c r="E52" s="36" t="s">
        <v>214</v>
      </c>
      <c r="F52" s="19" t="s">
        <v>21</v>
      </c>
      <c r="G52" s="19">
        <v>5</v>
      </c>
      <c r="H52" s="98">
        <v>269.69</v>
      </c>
      <c r="I52" s="15">
        <f t="shared" si="16"/>
        <v>41.316507999999999</v>
      </c>
      <c r="J52" s="15">
        <f t="shared" si="17"/>
        <v>311.006508</v>
      </c>
      <c r="K52" s="15">
        <f t="shared" si="18"/>
        <v>9.3301952399999985E-2</v>
      </c>
      <c r="L52" s="15">
        <f t="shared" si="19"/>
        <v>310.9132060476</v>
      </c>
      <c r="M52" s="15">
        <f t="shared" si="20"/>
        <v>1554.5660302379999</v>
      </c>
      <c r="N52" s="15">
        <f t="shared" si="11"/>
        <v>17.696194225721786</v>
      </c>
      <c r="O52" s="142"/>
    </row>
    <row r="53" spans="1:15" s="20" customFormat="1" ht="17.100000000000001" customHeight="1" x14ac:dyDescent="0.2">
      <c r="A53" s="19" t="s">
        <v>103</v>
      </c>
      <c r="B53" s="19" t="s">
        <v>53</v>
      </c>
      <c r="C53" s="19">
        <v>6138</v>
      </c>
      <c r="D53" s="19" t="s">
        <v>34</v>
      </c>
      <c r="E53" s="33" t="s">
        <v>215</v>
      </c>
      <c r="F53" s="19" t="s">
        <v>21</v>
      </c>
      <c r="G53" s="19">
        <v>10</v>
      </c>
      <c r="H53" s="98">
        <v>12.26</v>
      </c>
      <c r="I53" s="15">
        <f t="shared" si="16"/>
        <v>1.8782319999999999</v>
      </c>
      <c r="J53" s="15">
        <f t="shared" si="17"/>
        <v>14.138232</v>
      </c>
      <c r="K53" s="15">
        <f t="shared" si="18"/>
        <v>4.2414695999999997E-3</v>
      </c>
      <c r="L53" s="15">
        <f t="shared" si="19"/>
        <v>14.1339905304</v>
      </c>
      <c r="M53" s="15">
        <f t="shared" si="20"/>
        <v>141.33990530400001</v>
      </c>
      <c r="N53" s="15">
        <f t="shared" si="11"/>
        <v>9.091920352997887E-2</v>
      </c>
      <c r="O53" s="142"/>
    </row>
    <row r="54" spans="1:15" s="20" customFormat="1" ht="17.100000000000001" customHeight="1" x14ac:dyDescent="0.2">
      <c r="A54" s="19" t="s">
        <v>104</v>
      </c>
      <c r="B54" s="19" t="s">
        <v>53</v>
      </c>
      <c r="C54" s="19">
        <v>3540</v>
      </c>
      <c r="D54" s="19" t="s">
        <v>34</v>
      </c>
      <c r="E54" s="32" t="s">
        <v>216</v>
      </c>
      <c r="F54" s="19" t="s">
        <v>21</v>
      </c>
      <c r="G54" s="19">
        <v>15</v>
      </c>
      <c r="H54" s="98">
        <v>7.77</v>
      </c>
      <c r="I54" s="15">
        <f t="shared" si="16"/>
        <v>1.190364</v>
      </c>
      <c r="J54" s="15">
        <f t="shared" si="17"/>
        <v>8.9603640000000002</v>
      </c>
      <c r="K54" s="15">
        <f t="shared" si="18"/>
        <v>2.6881091999999998E-3</v>
      </c>
      <c r="L54" s="15">
        <f t="shared" si="19"/>
        <v>8.9576758908000009</v>
      </c>
      <c r="M54" s="15">
        <f t="shared" si="20"/>
        <v>134.36513836200001</v>
      </c>
      <c r="N54" s="15">
        <f t="shared" si="11"/>
        <v>0.95065252854812399</v>
      </c>
      <c r="O54" s="142"/>
    </row>
    <row r="55" spans="1:15" s="20" customFormat="1" ht="17.100000000000001" customHeight="1" x14ac:dyDescent="0.2">
      <c r="A55" s="19" t="s">
        <v>106</v>
      </c>
      <c r="B55" s="19" t="s">
        <v>53</v>
      </c>
      <c r="C55" s="19">
        <v>3526</v>
      </c>
      <c r="D55" s="19" t="s">
        <v>34</v>
      </c>
      <c r="E55" s="32" t="s">
        <v>217</v>
      </c>
      <c r="F55" s="19" t="s">
        <v>21</v>
      </c>
      <c r="G55" s="19">
        <v>10</v>
      </c>
      <c r="H55" s="98">
        <v>3.25</v>
      </c>
      <c r="I55" s="15">
        <f t="shared" si="16"/>
        <v>0.49790000000000001</v>
      </c>
      <c r="J55" s="15">
        <f t="shared" si="17"/>
        <v>3.7479</v>
      </c>
      <c r="K55" s="15">
        <f t="shared" si="18"/>
        <v>1.12437E-3</v>
      </c>
      <c r="L55" s="15">
        <f t="shared" si="19"/>
        <v>3.7467756300000001</v>
      </c>
      <c r="M55" s="15">
        <f t="shared" si="20"/>
        <v>37.467756300000005</v>
      </c>
      <c r="N55" s="15">
        <f t="shared" si="11"/>
        <v>0.27885027885027885</v>
      </c>
      <c r="O55" s="142"/>
    </row>
    <row r="56" spans="1:15" s="20" customFormat="1" ht="17.100000000000001" customHeight="1" x14ac:dyDescent="0.2">
      <c r="A56" s="19" t="s">
        <v>107</v>
      </c>
      <c r="B56" s="19" t="s">
        <v>53</v>
      </c>
      <c r="C56" s="19">
        <v>11681</v>
      </c>
      <c r="D56" s="19" t="s">
        <v>34</v>
      </c>
      <c r="E56" s="36" t="s">
        <v>218</v>
      </c>
      <c r="F56" s="19" t="s">
        <v>21</v>
      </c>
      <c r="G56" s="19">
        <v>20</v>
      </c>
      <c r="H56" s="98">
        <v>9.0500000000000007</v>
      </c>
      <c r="I56" s="15">
        <f t="shared" si="16"/>
        <v>1.38646</v>
      </c>
      <c r="J56" s="15">
        <f t="shared" si="17"/>
        <v>10.43646</v>
      </c>
      <c r="K56" s="15">
        <f t="shared" si="18"/>
        <v>3.1309379999999998E-3</v>
      </c>
      <c r="L56" s="15">
        <f t="shared" si="19"/>
        <v>10.433329062</v>
      </c>
      <c r="M56" s="15">
        <f t="shared" si="20"/>
        <v>208.66658124</v>
      </c>
      <c r="N56" s="15">
        <f t="shared" si="11"/>
        <v>5.5692307692307681</v>
      </c>
      <c r="O56" s="142"/>
    </row>
    <row r="57" spans="1:15" s="20" customFormat="1" ht="17.100000000000001" customHeight="1" x14ac:dyDescent="0.2">
      <c r="A57" s="19" t="s">
        <v>108</v>
      </c>
      <c r="B57" s="19" t="s">
        <v>53</v>
      </c>
      <c r="C57" s="19">
        <v>10228</v>
      </c>
      <c r="D57" s="19" t="s">
        <v>34</v>
      </c>
      <c r="E57" s="49" t="s">
        <v>219</v>
      </c>
      <c r="F57" s="19" t="s">
        <v>21</v>
      </c>
      <c r="G57" s="19">
        <v>2</v>
      </c>
      <c r="H57" s="98">
        <v>309.89999999999998</v>
      </c>
      <c r="I57" s="15">
        <f t="shared" si="16"/>
        <v>47.476679999999995</v>
      </c>
      <c r="J57" s="15">
        <f t="shared" si="17"/>
        <v>357.37667999999996</v>
      </c>
      <c r="K57" s="15">
        <f t="shared" si="18"/>
        <v>0.10721300399999999</v>
      </c>
      <c r="L57" s="15">
        <f t="shared" si="19"/>
        <v>357.26946699599995</v>
      </c>
      <c r="M57" s="15">
        <f t="shared" si="20"/>
        <v>714.5389339919999</v>
      </c>
      <c r="N57" s="15">
        <f t="shared" si="11"/>
        <v>3.4243093922651928</v>
      </c>
      <c r="O57" s="142"/>
    </row>
    <row r="58" spans="1:15" s="20" customFormat="1" ht="17.100000000000001" customHeight="1" x14ac:dyDescent="0.2">
      <c r="A58" s="19" t="s">
        <v>163</v>
      </c>
      <c r="B58" s="19" t="s">
        <v>53</v>
      </c>
      <c r="C58" s="19" t="s">
        <v>164</v>
      </c>
      <c r="D58" s="97" t="s">
        <v>230</v>
      </c>
      <c r="E58" s="32" t="s">
        <v>165</v>
      </c>
      <c r="F58" s="19" t="s">
        <v>21</v>
      </c>
      <c r="G58" s="19">
        <v>10</v>
      </c>
      <c r="H58" s="96">
        <v>62.34</v>
      </c>
      <c r="I58" s="15">
        <f t="shared" si="16"/>
        <v>9.5504880000000014</v>
      </c>
      <c r="J58" s="15">
        <f t="shared" si="17"/>
        <v>71.890488000000005</v>
      </c>
      <c r="K58" s="15">
        <f t="shared" si="18"/>
        <v>2.1567146400000001E-2</v>
      </c>
      <c r="L58" s="15">
        <f t="shared" si="19"/>
        <v>71.868920853600002</v>
      </c>
      <c r="M58" s="15">
        <f t="shared" si="20"/>
        <v>718.68920853600002</v>
      </c>
      <c r="N58" s="15">
        <f t="shared" si="11"/>
        <v>1.0058083252662151</v>
      </c>
      <c r="O58" s="142"/>
    </row>
    <row r="59" spans="1:15" s="20" customFormat="1" ht="17.100000000000001" customHeight="1" x14ac:dyDescent="0.2">
      <c r="A59" s="19"/>
      <c r="B59" s="19"/>
      <c r="C59" s="19"/>
      <c r="D59" s="19"/>
      <c r="E59" s="32"/>
      <c r="F59" s="19"/>
      <c r="G59" s="19"/>
      <c r="H59" s="34"/>
      <c r="I59" s="15"/>
      <c r="J59" s="15"/>
      <c r="K59" s="15"/>
      <c r="L59" s="15"/>
      <c r="M59" s="15"/>
      <c r="N59" s="15"/>
      <c r="O59" s="142"/>
    </row>
    <row r="60" spans="1:15" s="20" customFormat="1" ht="17.100000000000001" customHeight="1" x14ac:dyDescent="0.2">
      <c r="A60" s="19"/>
      <c r="B60" s="19"/>
      <c r="C60" s="19"/>
      <c r="D60" s="19"/>
      <c r="E60" s="32"/>
      <c r="F60" s="19"/>
      <c r="G60" s="19"/>
      <c r="H60" s="34"/>
      <c r="I60" s="15"/>
      <c r="J60" s="15"/>
      <c r="K60" s="15"/>
      <c r="L60" s="15"/>
      <c r="M60" s="15"/>
      <c r="N60" s="15"/>
      <c r="O60" s="142"/>
    </row>
    <row r="61" spans="1:15" s="20" customFormat="1" ht="17.100000000000001" customHeight="1" x14ac:dyDescent="0.2">
      <c r="A61" s="19"/>
      <c r="B61" s="19"/>
      <c r="C61" s="19"/>
      <c r="D61" s="19"/>
      <c r="E61" s="32"/>
      <c r="F61" s="19"/>
      <c r="G61" s="19"/>
      <c r="H61" s="34"/>
      <c r="I61" s="15"/>
      <c r="J61" s="15"/>
      <c r="K61" s="15"/>
      <c r="L61" s="15"/>
      <c r="M61" s="15"/>
      <c r="N61" s="15"/>
      <c r="O61" s="142"/>
    </row>
    <row r="62" spans="1:15" ht="17.100000000000001" customHeight="1" x14ac:dyDescent="0.25">
      <c r="A62" s="136" t="s">
        <v>16</v>
      </c>
      <c r="B62" s="138" t="s">
        <v>17</v>
      </c>
      <c r="C62" s="138" t="s">
        <v>18</v>
      </c>
      <c r="D62" s="138" t="s">
        <v>19</v>
      </c>
      <c r="E62" s="138" t="s">
        <v>20</v>
      </c>
      <c r="F62" s="138" t="s">
        <v>21</v>
      </c>
      <c r="G62" s="138" t="s">
        <v>22</v>
      </c>
      <c r="H62" s="140" t="s">
        <v>23</v>
      </c>
      <c r="I62" s="140"/>
      <c r="J62" s="140"/>
      <c r="K62" s="140"/>
      <c r="L62" s="141"/>
      <c r="M62" s="138" t="s">
        <v>24</v>
      </c>
      <c r="N62" s="138" t="s">
        <v>25</v>
      </c>
      <c r="O62" s="113"/>
    </row>
    <row r="63" spans="1:15" ht="17.100000000000001" customHeight="1" x14ac:dyDescent="0.25">
      <c r="A63" s="137"/>
      <c r="B63" s="139"/>
      <c r="C63" s="139"/>
      <c r="D63" s="139"/>
      <c r="E63" s="139"/>
      <c r="F63" s="139"/>
      <c r="G63" s="139"/>
      <c r="H63" s="3" t="s">
        <v>27</v>
      </c>
      <c r="I63" s="4" t="s">
        <v>28</v>
      </c>
      <c r="J63" s="3" t="s">
        <v>29</v>
      </c>
      <c r="K63" s="4" t="s">
        <v>59</v>
      </c>
      <c r="L63" s="3" t="s">
        <v>30</v>
      </c>
      <c r="M63" s="139"/>
      <c r="N63" s="139"/>
      <c r="O63" s="113"/>
    </row>
    <row r="64" spans="1:15" ht="17.100000000000001" customHeight="1" x14ac:dyDescent="0.25">
      <c r="A64" s="5">
        <v>3</v>
      </c>
      <c r="B64" s="145" t="s">
        <v>38</v>
      </c>
      <c r="C64" s="146"/>
      <c r="D64" s="146"/>
      <c r="E64" s="146"/>
      <c r="F64" s="147"/>
      <c r="G64" s="9"/>
      <c r="H64" s="9"/>
      <c r="I64" s="9"/>
      <c r="J64" s="9"/>
      <c r="K64" s="9"/>
      <c r="L64" s="9"/>
      <c r="M64" s="28">
        <f>SUM(M65:M85)</f>
        <v>40656.928806224474</v>
      </c>
      <c r="N64" s="9"/>
      <c r="O64" s="113"/>
    </row>
    <row r="65" spans="1:15" ht="26.25" customHeight="1" x14ac:dyDescent="0.25">
      <c r="A65" s="18" t="s">
        <v>187</v>
      </c>
      <c r="B65" s="18" t="s">
        <v>33</v>
      </c>
      <c r="C65" s="11" t="s">
        <v>66</v>
      </c>
      <c r="D65" s="11" t="s">
        <v>34</v>
      </c>
      <c r="E65" s="26" t="s">
        <v>67</v>
      </c>
      <c r="F65" s="13" t="s">
        <v>35</v>
      </c>
      <c r="G65" s="18">
        <v>180</v>
      </c>
      <c r="H65" s="95">
        <v>28.4</v>
      </c>
      <c r="I65" s="15">
        <f>H65*0.2232</f>
        <v>6.3388799999999996</v>
      </c>
      <c r="J65" s="15">
        <f>H65+I65</f>
        <v>34.738879999999995</v>
      </c>
      <c r="K65" s="15">
        <f>J65*(0.03%)</f>
        <v>1.0421663999999997E-2</v>
      </c>
      <c r="L65" s="15">
        <f>J65-K65</f>
        <v>34.728458335999996</v>
      </c>
      <c r="M65" s="15">
        <f>L65*G65</f>
        <v>6251.122500479999</v>
      </c>
      <c r="N65" s="15">
        <f>M65/M$16</f>
        <v>8.8594958822061365E-2</v>
      </c>
      <c r="O65" s="142"/>
    </row>
    <row r="66" spans="1:15" ht="26.25" customHeight="1" x14ac:dyDescent="0.25">
      <c r="A66" s="18" t="s">
        <v>188</v>
      </c>
      <c r="B66" s="18" t="s">
        <v>33</v>
      </c>
      <c r="C66" s="11" t="s">
        <v>68</v>
      </c>
      <c r="D66" s="11" t="s">
        <v>34</v>
      </c>
      <c r="E66" s="26" t="s">
        <v>69</v>
      </c>
      <c r="F66" s="13" t="s">
        <v>35</v>
      </c>
      <c r="G66" s="18">
        <v>180</v>
      </c>
      <c r="H66" s="95">
        <v>24.45</v>
      </c>
      <c r="I66" s="15">
        <f>H66*0.2232</f>
        <v>5.4572399999999996</v>
      </c>
      <c r="J66" s="15">
        <f>H66+I66</f>
        <v>29.907239999999998</v>
      </c>
      <c r="K66" s="15">
        <f>J66*(0.03%)</f>
        <v>8.9721719999999987E-3</v>
      </c>
      <c r="L66" s="15">
        <f>J66-K66</f>
        <v>29.898267827999998</v>
      </c>
      <c r="M66" s="15">
        <f>L66*G66</f>
        <v>5381.6882090399995</v>
      </c>
      <c r="N66" s="15">
        <f>M66/M$16</f>
        <v>7.6272772647866208E-2</v>
      </c>
      <c r="O66" s="142"/>
    </row>
    <row r="67" spans="1:15" s="25" customFormat="1" ht="23.25" customHeight="1" x14ac:dyDescent="0.2">
      <c r="A67" s="11" t="s">
        <v>187</v>
      </c>
      <c r="B67" s="18" t="s">
        <v>33</v>
      </c>
      <c r="C67" s="66">
        <v>93588</v>
      </c>
      <c r="D67" s="66" t="s">
        <v>34</v>
      </c>
      <c r="E67" s="54" t="s">
        <v>195</v>
      </c>
      <c r="F67" s="67" t="s">
        <v>196</v>
      </c>
      <c r="G67" s="66">
        <f>13*34</f>
        <v>442</v>
      </c>
      <c r="H67" s="101">
        <v>3</v>
      </c>
      <c r="I67" s="21">
        <f>H67*0.2232</f>
        <v>0.66959999999999997</v>
      </c>
      <c r="J67" s="21">
        <f>H67+I67</f>
        <v>3.6696</v>
      </c>
      <c r="K67" s="21">
        <f>J67*(0.03%)</f>
        <v>1.1008799999999998E-3</v>
      </c>
      <c r="L67" s="21">
        <f>J67-K67</f>
        <v>3.6684991199999999</v>
      </c>
      <c r="M67" s="21">
        <f>L67*G67</f>
        <v>1621.4766110399999</v>
      </c>
      <c r="N67" s="21">
        <f>M67/M66</f>
        <v>0.30129516019086572</v>
      </c>
      <c r="O67" s="142"/>
    </row>
    <row r="68" spans="1:15" s="25" customFormat="1" ht="23.25" customHeight="1" x14ac:dyDescent="0.2">
      <c r="A68" s="154" t="s">
        <v>185</v>
      </c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6"/>
      <c r="O68" s="142"/>
    </row>
    <row r="69" spans="1:15" s="25" customFormat="1" ht="26.25" customHeight="1" x14ac:dyDescent="0.2">
      <c r="A69" s="11" t="s">
        <v>189</v>
      </c>
      <c r="B69" s="18" t="s">
        <v>33</v>
      </c>
      <c r="C69" s="35">
        <v>90822</v>
      </c>
      <c r="D69" s="89" t="s">
        <v>34</v>
      </c>
      <c r="E69" s="64" t="s">
        <v>181</v>
      </c>
      <c r="F69" s="35" t="s">
        <v>182</v>
      </c>
      <c r="G69" s="35">
        <v>3</v>
      </c>
      <c r="H69" s="102">
        <v>404.45</v>
      </c>
      <c r="I69" s="15">
        <f t="shared" ref="I69:I77" si="21">H69*0.2232</f>
        <v>90.273240000000001</v>
      </c>
      <c r="J69" s="15">
        <f>H69+I69</f>
        <v>494.72323999999998</v>
      </c>
      <c r="K69" s="15">
        <f t="shared" ref="K69:K77" si="22">J69*(0.03%)</f>
        <v>0.14841697199999998</v>
      </c>
      <c r="L69" s="15">
        <f>J69-K69</f>
        <v>494.57482302799997</v>
      </c>
      <c r="M69" s="15">
        <f>L69*G69</f>
        <v>1483.7244690839998</v>
      </c>
      <c r="N69" s="15">
        <f t="shared" ref="N69:N77" si="23">M69/M$16</f>
        <v>2.1028304633557933E-2</v>
      </c>
      <c r="O69" s="142"/>
    </row>
    <row r="70" spans="1:15" s="25" customFormat="1" ht="26.25" customHeight="1" x14ac:dyDescent="0.2">
      <c r="A70" s="11" t="s">
        <v>190</v>
      </c>
      <c r="B70" s="18" t="s">
        <v>33</v>
      </c>
      <c r="C70" s="35">
        <v>91306</v>
      </c>
      <c r="D70" s="89" t="s">
        <v>34</v>
      </c>
      <c r="E70" s="64" t="s">
        <v>183</v>
      </c>
      <c r="F70" s="35" t="s">
        <v>182</v>
      </c>
      <c r="G70" s="35">
        <v>4</v>
      </c>
      <c r="H70" s="102">
        <v>173.38</v>
      </c>
      <c r="I70" s="15">
        <f t="shared" si="21"/>
        <v>38.698416000000002</v>
      </c>
      <c r="J70" s="15">
        <f>H70+I70</f>
        <v>212.078416</v>
      </c>
      <c r="K70" s="15">
        <f t="shared" si="22"/>
        <v>6.3623524799999998E-2</v>
      </c>
      <c r="L70" s="15">
        <f>J70-K70</f>
        <v>212.01479247520001</v>
      </c>
      <c r="M70" s="15">
        <f>L70*G70</f>
        <v>848.05916990080004</v>
      </c>
      <c r="N70" s="15">
        <f t="shared" si="23"/>
        <v>1.2019244100601723E-2</v>
      </c>
      <c r="O70" s="142"/>
    </row>
    <row r="71" spans="1:15" s="25" customFormat="1" ht="26.25" customHeight="1" x14ac:dyDescent="0.2">
      <c r="A71" s="11" t="s">
        <v>191</v>
      </c>
      <c r="B71" s="18" t="s">
        <v>33</v>
      </c>
      <c r="C71" s="35">
        <v>90823</v>
      </c>
      <c r="D71" s="89" t="s">
        <v>34</v>
      </c>
      <c r="E71" s="64" t="s">
        <v>199</v>
      </c>
      <c r="F71" s="35" t="s">
        <v>182</v>
      </c>
      <c r="G71" s="35">
        <v>2</v>
      </c>
      <c r="H71" s="102">
        <v>490.07</v>
      </c>
      <c r="I71" s="15">
        <f>H71*0.2232</f>
        <v>109.383624</v>
      </c>
      <c r="J71" s="15">
        <f>H71+I71</f>
        <v>599.45362399999999</v>
      </c>
      <c r="K71" s="15">
        <f>J71*(0.03%)</f>
        <v>0.17983608719999999</v>
      </c>
      <c r="L71" s="15">
        <f>J71-K71</f>
        <v>599.2737879128</v>
      </c>
      <c r="M71" s="15">
        <f>L71*G71</f>
        <v>1198.5475758256</v>
      </c>
      <c r="N71" s="15">
        <f>M71/M$16</f>
        <v>1.6986592906857442E-2</v>
      </c>
      <c r="O71" s="142"/>
    </row>
    <row r="72" spans="1:15" s="25" customFormat="1" ht="26.25" customHeight="1" x14ac:dyDescent="0.2">
      <c r="A72" s="11" t="s">
        <v>191</v>
      </c>
      <c r="B72" s="18" t="s">
        <v>33</v>
      </c>
      <c r="C72" s="35">
        <v>97644</v>
      </c>
      <c r="D72" s="89" t="s">
        <v>34</v>
      </c>
      <c r="E72" s="64" t="s">
        <v>184</v>
      </c>
      <c r="F72" s="35" t="s">
        <v>105</v>
      </c>
      <c r="G72" s="90">
        <f>(2.1*0.8*3)+(2.1*0.09*2)</f>
        <v>5.418000000000001</v>
      </c>
      <c r="H72" s="103">
        <v>10.029999999999999</v>
      </c>
      <c r="I72" s="15">
        <f t="shared" si="21"/>
        <v>2.238696</v>
      </c>
      <c r="J72" s="15">
        <f>H72+I72</f>
        <v>12.268695999999998</v>
      </c>
      <c r="K72" s="15">
        <f t="shared" si="22"/>
        <v>3.6806087999999991E-3</v>
      </c>
      <c r="L72" s="15">
        <f>J72-K72</f>
        <v>12.265015391199999</v>
      </c>
      <c r="M72" s="15">
        <f>L72*G72</f>
        <v>66.451853389521602</v>
      </c>
      <c r="N72" s="15">
        <f t="shared" si="23"/>
        <v>9.41798727227352E-4</v>
      </c>
      <c r="O72" s="142"/>
    </row>
    <row r="73" spans="1:15" s="25" customFormat="1" ht="23.25" customHeight="1" x14ac:dyDescent="0.2">
      <c r="A73" s="157" t="s">
        <v>200</v>
      </c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9"/>
      <c r="O73" s="142"/>
    </row>
    <row r="74" spans="1:15" s="25" customFormat="1" ht="23.25" customHeight="1" x14ac:dyDescent="0.2">
      <c r="A74" s="65" t="s">
        <v>192</v>
      </c>
      <c r="B74" s="18" t="s">
        <v>33</v>
      </c>
      <c r="C74" s="91" t="s">
        <v>114</v>
      </c>
      <c r="D74" s="64" t="s">
        <v>34</v>
      </c>
      <c r="E74" s="64" t="s">
        <v>115</v>
      </c>
      <c r="F74" s="88" t="s">
        <v>105</v>
      </c>
      <c r="G74" s="88">
        <v>82.75</v>
      </c>
      <c r="H74" s="104">
        <v>16.190000000000001</v>
      </c>
      <c r="I74" s="15">
        <f t="shared" si="21"/>
        <v>3.6136080000000006</v>
      </c>
      <c r="J74" s="15">
        <f>H74+I74</f>
        <v>19.803608000000001</v>
      </c>
      <c r="K74" s="15">
        <f t="shared" si="22"/>
        <v>5.9410823999999996E-3</v>
      </c>
      <c r="L74" s="15">
        <f>J74-K74</f>
        <v>19.797666917600001</v>
      </c>
      <c r="M74" s="15">
        <f>L74*G74</f>
        <v>1638.2569374314</v>
      </c>
      <c r="N74" s="15">
        <f t="shared" si="23"/>
        <v>2.3218438912458748E-2</v>
      </c>
      <c r="O74" s="142"/>
    </row>
    <row r="75" spans="1:15" s="25" customFormat="1" ht="23.25" customHeight="1" x14ac:dyDescent="0.2">
      <c r="A75" s="157" t="s">
        <v>201</v>
      </c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9"/>
      <c r="O75" s="142"/>
    </row>
    <row r="76" spans="1:15" s="25" customFormat="1" ht="23.25" customHeight="1" x14ac:dyDescent="0.2">
      <c r="A76" s="65" t="s">
        <v>226</v>
      </c>
      <c r="B76" s="18" t="s">
        <v>33</v>
      </c>
      <c r="C76" s="35">
        <v>88488</v>
      </c>
      <c r="D76" s="35" t="s">
        <v>34</v>
      </c>
      <c r="E76" s="64" t="s">
        <v>186</v>
      </c>
      <c r="F76" s="35" t="s">
        <v>105</v>
      </c>
      <c r="G76" s="35">
        <f>16.2+11.84+11.2</f>
        <v>39.239999999999995</v>
      </c>
      <c r="H76" s="102">
        <v>18.53</v>
      </c>
      <c r="I76" s="15">
        <f t="shared" si="21"/>
        <v>4.1358960000000007</v>
      </c>
      <c r="J76" s="15">
        <f>H76+I76</f>
        <v>22.665896000000004</v>
      </c>
      <c r="K76" s="15">
        <f t="shared" si="22"/>
        <v>6.7997688000000006E-3</v>
      </c>
      <c r="L76" s="15">
        <f>J76-K76</f>
        <v>22.659096231200003</v>
      </c>
      <c r="M76" s="15">
        <f>L76*G76</f>
        <v>889.142936112288</v>
      </c>
      <c r="N76" s="15">
        <f t="shared" si="23"/>
        <v>1.2601509857748936E-2</v>
      </c>
      <c r="O76" s="142"/>
    </row>
    <row r="77" spans="1:15" s="25" customFormat="1" ht="23.25" customHeight="1" x14ac:dyDescent="0.2">
      <c r="A77" s="65" t="s">
        <v>227</v>
      </c>
      <c r="B77" s="18" t="s">
        <v>33</v>
      </c>
      <c r="C77" s="35" t="s">
        <v>114</v>
      </c>
      <c r="D77" s="35" t="s">
        <v>34</v>
      </c>
      <c r="E77" s="64" t="s">
        <v>115</v>
      </c>
      <c r="F77" s="35" t="s">
        <v>105</v>
      </c>
      <c r="G77" s="35">
        <f>84+14.82+41.82+123.75+60</f>
        <v>324.39</v>
      </c>
      <c r="H77" s="102">
        <v>16.190000000000001</v>
      </c>
      <c r="I77" s="15">
        <f t="shared" si="21"/>
        <v>3.6136080000000006</v>
      </c>
      <c r="J77" s="15">
        <f>H77+I77</f>
        <v>19.803608000000001</v>
      </c>
      <c r="K77" s="15">
        <f t="shared" si="22"/>
        <v>5.9410823999999996E-3</v>
      </c>
      <c r="L77" s="15">
        <f>J77-K77</f>
        <v>19.797666917600001</v>
      </c>
      <c r="M77" s="15">
        <f>L77*G77</f>
        <v>6422.1651714002637</v>
      </c>
      <c r="N77" s="15">
        <f t="shared" si="23"/>
        <v>9.1019086390483298E-2</v>
      </c>
      <c r="O77" s="142"/>
    </row>
    <row r="78" spans="1:15" s="25" customFormat="1" ht="23.25" customHeight="1" x14ac:dyDescent="0.2">
      <c r="A78" s="157" t="s">
        <v>221</v>
      </c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9"/>
      <c r="O78" s="142"/>
    </row>
    <row r="79" spans="1:15" s="25" customFormat="1" ht="30" customHeight="1" x14ac:dyDescent="0.2">
      <c r="A79" s="65" t="s">
        <v>228</v>
      </c>
      <c r="B79" s="18" t="s">
        <v>33</v>
      </c>
      <c r="C79" s="35">
        <v>96116</v>
      </c>
      <c r="D79" s="35" t="s">
        <v>34</v>
      </c>
      <c r="E79" s="89" t="s">
        <v>220</v>
      </c>
      <c r="F79" s="35" t="s">
        <v>105</v>
      </c>
      <c r="G79" s="35">
        <v>88</v>
      </c>
      <c r="H79" s="105">
        <v>11.91</v>
      </c>
      <c r="I79" s="21">
        <f>H79*0.2232</f>
        <v>2.658312</v>
      </c>
      <c r="J79" s="21">
        <f>H79+I79</f>
        <v>14.568312000000001</v>
      </c>
      <c r="K79" s="21">
        <f>J79*(0.03%)</f>
        <v>4.3704935999999998E-3</v>
      </c>
      <c r="L79" s="21">
        <f>J79-K79</f>
        <v>14.563941506400001</v>
      </c>
      <c r="M79" s="21">
        <f>L79*G79</f>
        <v>1281.6268525632001</v>
      </c>
      <c r="N79" s="21" t="e">
        <f>M79/#REF!</f>
        <v>#REF!</v>
      </c>
      <c r="O79" s="142"/>
    </row>
    <row r="80" spans="1:15" s="25" customFormat="1" ht="23.25" customHeight="1" x14ac:dyDescent="0.2">
      <c r="A80" s="157" t="s">
        <v>222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9"/>
      <c r="O80" s="142"/>
    </row>
    <row r="81" spans="1:16" s="25" customFormat="1" ht="23.25" customHeight="1" x14ac:dyDescent="0.2">
      <c r="A81" s="11" t="s">
        <v>193</v>
      </c>
      <c r="B81" s="18" t="s">
        <v>33</v>
      </c>
      <c r="C81" s="91">
        <v>102162</v>
      </c>
      <c r="D81" s="64" t="s">
        <v>34</v>
      </c>
      <c r="E81" s="64" t="s">
        <v>223</v>
      </c>
      <c r="F81" s="35" t="s">
        <v>105</v>
      </c>
      <c r="G81" s="35">
        <f>330*0.3*0.15</f>
        <v>14.85</v>
      </c>
      <c r="H81" s="105">
        <v>353.75</v>
      </c>
      <c r="I81" s="21">
        <f>H81*0.2232</f>
        <v>78.957000000000008</v>
      </c>
      <c r="J81" s="21">
        <f>H81+I81</f>
        <v>432.70699999999999</v>
      </c>
      <c r="K81" s="21">
        <f>J81*(0.03%)</f>
        <v>0.12981209999999999</v>
      </c>
      <c r="L81" s="21">
        <f>J81-K81</f>
        <v>432.57718790000001</v>
      </c>
      <c r="M81" s="21">
        <f>L81*G81</f>
        <v>6423.7712403149999</v>
      </c>
      <c r="N81" s="21">
        <f>M81/J83</f>
        <v>14.845545</v>
      </c>
      <c r="O81" s="142"/>
    </row>
    <row r="82" spans="1:16" s="25" customFormat="1" ht="23.25" customHeight="1" x14ac:dyDescent="0.2">
      <c r="A82" s="157" t="s">
        <v>224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9"/>
      <c r="O82" s="142"/>
    </row>
    <row r="83" spans="1:16" s="25" customFormat="1" ht="23.25" customHeight="1" x14ac:dyDescent="0.2">
      <c r="A83" s="11" t="s">
        <v>194</v>
      </c>
      <c r="B83" s="18" t="s">
        <v>33</v>
      </c>
      <c r="C83" s="91">
        <v>102162</v>
      </c>
      <c r="D83" s="64" t="s">
        <v>34</v>
      </c>
      <c r="E83" s="64" t="s">
        <v>223</v>
      </c>
      <c r="F83" s="35" t="s">
        <v>105</v>
      </c>
      <c r="G83" s="35">
        <v>12</v>
      </c>
      <c r="H83" s="105">
        <v>353.75</v>
      </c>
      <c r="I83" s="21">
        <f>H83*0.2232</f>
        <v>78.957000000000008</v>
      </c>
      <c r="J83" s="21">
        <f>H83+I83</f>
        <v>432.70699999999999</v>
      </c>
      <c r="K83" s="21">
        <f>J83*(0.03%)</f>
        <v>0.12981209999999999</v>
      </c>
      <c r="L83" s="21">
        <f>J83-K83</f>
        <v>432.57718790000001</v>
      </c>
      <c r="M83" s="21">
        <f>L83*G83</f>
        <v>5190.9262548000006</v>
      </c>
      <c r="N83" s="21" t="e">
        <f>M83/#REF!</f>
        <v>#REF!</v>
      </c>
      <c r="O83" s="142"/>
    </row>
    <row r="84" spans="1:16" s="25" customFormat="1" ht="23.25" customHeight="1" x14ac:dyDescent="0.2">
      <c r="A84" s="157" t="s">
        <v>225</v>
      </c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9"/>
      <c r="O84" s="142"/>
    </row>
    <row r="85" spans="1:16" s="25" customFormat="1" ht="23.25" customHeight="1" x14ac:dyDescent="0.2">
      <c r="A85" s="11" t="s">
        <v>229</v>
      </c>
      <c r="B85" s="18" t="s">
        <v>33</v>
      </c>
      <c r="C85" s="35" t="s">
        <v>114</v>
      </c>
      <c r="D85" s="35" t="s">
        <v>34</v>
      </c>
      <c r="E85" s="64" t="s">
        <v>115</v>
      </c>
      <c r="F85" s="35" t="s">
        <v>105</v>
      </c>
      <c r="G85" s="35">
        <v>99</v>
      </c>
      <c r="H85" s="105">
        <v>16.190000000000001</v>
      </c>
      <c r="I85" s="21">
        <f>H85*0.2232</f>
        <v>3.6136080000000006</v>
      </c>
      <c r="J85" s="21">
        <f>H85+I85</f>
        <v>19.803608000000001</v>
      </c>
      <c r="K85" s="21">
        <f>J85*(0.03%)</f>
        <v>5.9410823999999996E-3</v>
      </c>
      <c r="L85" s="21">
        <f>J85-K85</f>
        <v>19.797666917600001</v>
      </c>
      <c r="M85" s="21">
        <f>L85*G85</f>
        <v>1959.9690248424001</v>
      </c>
      <c r="N85" s="21">
        <f>M85/M64</f>
        <v>4.8207503183131085E-2</v>
      </c>
      <c r="O85" s="142"/>
      <c r="P85" s="106" t="s">
        <v>231</v>
      </c>
    </row>
    <row r="86" spans="1:16" ht="17.100000000000001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142"/>
      <c r="P86" s="106"/>
    </row>
    <row r="87" spans="1:16" ht="17.100000000000001" customHeight="1" x14ac:dyDescent="0.25">
      <c r="A87" s="148"/>
      <c r="B87" s="149"/>
      <c r="C87" s="149"/>
      <c r="D87" s="149"/>
      <c r="E87" s="149"/>
      <c r="F87" s="149"/>
      <c r="G87" s="149"/>
      <c r="H87" s="22" t="s">
        <v>39</v>
      </c>
      <c r="I87" s="23"/>
      <c r="J87" s="150">
        <f>M16+M31+M64</f>
        <v>131611.4942282305</v>
      </c>
      <c r="K87" s="151"/>
      <c r="L87" s="151"/>
      <c r="M87" s="151"/>
      <c r="N87" s="152"/>
      <c r="O87" s="113"/>
      <c r="P87" s="106"/>
    </row>
    <row r="88" spans="1:16" ht="17.100000000000001" customHeight="1" x14ac:dyDescent="0.25">
      <c r="A88" s="153" t="s">
        <v>60</v>
      </c>
      <c r="B88" s="118"/>
      <c r="C88" s="118"/>
      <c r="D88" s="118"/>
      <c r="E88" s="118"/>
      <c r="F88" s="118"/>
      <c r="G88" s="118"/>
      <c r="H88" s="115"/>
      <c r="I88" s="115"/>
      <c r="J88" s="115"/>
      <c r="K88" s="115"/>
      <c r="L88" s="115"/>
      <c r="M88" s="115"/>
      <c r="N88" s="116"/>
      <c r="O88" s="113"/>
      <c r="P88" s="106"/>
    </row>
    <row r="89" spans="1:16" ht="17.100000000000001" customHeight="1" x14ac:dyDescent="0.25">
      <c r="A89" s="117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9"/>
      <c r="O89" s="113"/>
      <c r="P89" s="106"/>
    </row>
    <row r="90" spans="1:16" ht="17.100000000000001" customHeight="1" x14ac:dyDescent="0.25">
      <c r="A90" s="117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9"/>
      <c r="O90" s="113"/>
      <c r="P90" s="106"/>
    </row>
    <row r="91" spans="1:16" ht="17.100000000000001" customHeight="1" x14ac:dyDescent="0.25">
      <c r="A91" s="117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9"/>
      <c r="O91" s="113"/>
      <c r="P91" s="106"/>
    </row>
    <row r="92" spans="1:16" ht="17.100000000000001" customHeight="1" x14ac:dyDescent="0.25">
      <c r="A92" s="117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9"/>
      <c r="O92" s="113"/>
      <c r="P92" s="106"/>
    </row>
    <row r="93" spans="1:16" ht="17.100000000000001" customHeight="1" x14ac:dyDescent="0.25">
      <c r="A93" s="117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9"/>
      <c r="O93" s="113"/>
      <c r="P93" s="106"/>
    </row>
    <row r="94" spans="1:16" ht="17.100000000000001" customHeight="1" x14ac:dyDescent="0.25">
      <c r="A94" s="120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2"/>
      <c r="O94" s="113"/>
      <c r="P94" s="106"/>
    </row>
    <row r="95" spans="1:16" ht="17.100000000000001" customHeight="1" x14ac:dyDescent="0.25">
      <c r="A95" s="148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75"/>
    </row>
    <row r="96" spans="1:16" ht="17.100000000000001" customHeight="1" x14ac:dyDescent="0.25">
      <c r="A96" s="176" t="s">
        <v>40</v>
      </c>
      <c r="B96" s="177"/>
      <c r="C96" s="177"/>
      <c r="D96" s="177"/>
      <c r="E96" s="177"/>
      <c r="F96" s="177"/>
      <c r="G96" s="178" t="s">
        <v>41</v>
      </c>
      <c r="H96" s="178"/>
      <c r="I96" s="178"/>
      <c r="J96" s="178"/>
      <c r="K96" s="179"/>
      <c r="L96" s="180"/>
      <c r="M96" s="180"/>
      <c r="N96" s="181"/>
      <c r="O96" s="113" t="s">
        <v>42</v>
      </c>
    </row>
    <row r="97" spans="1:15" ht="17.100000000000001" customHeight="1" x14ac:dyDescent="0.25">
      <c r="A97" s="186" t="s">
        <v>43</v>
      </c>
      <c r="B97" s="187"/>
      <c r="C97" s="187"/>
      <c r="D97" s="187"/>
      <c r="E97" s="187"/>
      <c r="F97" s="188"/>
      <c r="G97" s="192" t="s">
        <v>44</v>
      </c>
      <c r="H97" s="187"/>
      <c r="I97" s="187"/>
      <c r="J97" s="188"/>
      <c r="K97" s="182"/>
      <c r="L97" s="183"/>
      <c r="M97" s="183"/>
      <c r="N97" s="184"/>
      <c r="O97" s="113"/>
    </row>
    <row r="98" spans="1:15" ht="17.100000000000001" customHeight="1" x14ac:dyDescent="0.25">
      <c r="A98" s="189"/>
      <c r="B98" s="190"/>
      <c r="C98" s="190"/>
      <c r="D98" s="190"/>
      <c r="E98" s="190"/>
      <c r="F98" s="191"/>
      <c r="G98" s="193"/>
      <c r="H98" s="190"/>
      <c r="I98" s="190"/>
      <c r="J98" s="191"/>
      <c r="K98" s="182"/>
      <c r="L98" s="183"/>
      <c r="M98" s="183"/>
      <c r="N98" s="184"/>
      <c r="O98" s="113"/>
    </row>
    <row r="99" spans="1:15" ht="17.100000000000001" customHeight="1" x14ac:dyDescent="0.25">
      <c r="A99" s="189"/>
      <c r="B99" s="190"/>
      <c r="C99" s="190"/>
      <c r="D99" s="190"/>
      <c r="E99" s="190"/>
      <c r="F99" s="191"/>
      <c r="G99" s="193"/>
      <c r="H99" s="190"/>
      <c r="I99" s="190"/>
      <c r="J99" s="191"/>
      <c r="K99" s="182"/>
      <c r="L99" s="183"/>
      <c r="M99" s="183"/>
      <c r="N99" s="184"/>
      <c r="O99" s="113"/>
    </row>
    <row r="100" spans="1:15" ht="17.100000000000001" customHeight="1" x14ac:dyDescent="0.25">
      <c r="A100" s="189"/>
      <c r="B100" s="190"/>
      <c r="C100" s="190"/>
      <c r="D100" s="190"/>
      <c r="E100" s="190"/>
      <c r="F100" s="191"/>
      <c r="G100" s="193"/>
      <c r="H100" s="190"/>
      <c r="I100" s="190"/>
      <c r="J100" s="191"/>
      <c r="K100" s="182"/>
      <c r="L100" s="183"/>
      <c r="M100" s="183"/>
      <c r="N100" s="184"/>
      <c r="O100" s="113"/>
    </row>
    <row r="101" spans="1:15" ht="17.100000000000001" customHeight="1" x14ac:dyDescent="0.25">
      <c r="A101" s="189"/>
      <c r="B101" s="190"/>
      <c r="C101" s="190"/>
      <c r="D101" s="190"/>
      <c r="E101" s="190"/>
      <c r="F101" s="191"/>
      <c r="G101" s="193"/>
      <c r="H101" s="190"/>
      <c r="I101" s="190"/>
      <c r="J101" s="191"/>
      <c r="K101" s="182"/>
      <c r="L101" s="183"/>
      <c r="M101" s="183"/>
      <c r="N101" s="184"/>
      <c r="O101" s="113"/>
    </row>
    <row r="102" spans="1:15" ht="17.100000000000001" customHeight="1" x14ac:dyDescent="0.25">
      <c r="A102" s="189"/>
      <c r="B102" s="190"/>
      <c r="C102" s="190"/>
      <c r="D102" s="190"/>
      <c r="E102" s="190"/>
      <c r="F102" s="191"/>
      <c r="G102" s="193"/>
      <c r="H102" s="190"/>
      <c r="I102" s="190"/>
      <c r="J102" s="191"/>
      <c r="K102" s="182"/>
      <c r="L102" s="183"/>
      <c r="M102" s="183"/>
      <c r="N102" s="184"/>
      <c r="O102" s="113"/>
    </row>
    <row r="103" spans="1:15" ht="17.100000000000001" customHeight="1" x14ac:dyDescent="0.25">
      <c r="A103" s="189"/>
      <c r="B103" s="190"/>
      <c r="C103" s="190"/>
      <c r="D103" s="190"/>
      <c r="E103" s="190"/>
      <c r="F103" s="191"/>
      <c r="G103" s="193"/>
      <c r="H103" s="190"/>
      <c r="I103" s="190"/>
      <c r="J103" s="191"/>
      <c r="K103" s="182"/>
      <c r="L103" s="183"/>
      <c r="M103" s="183"/>
      <c r="N103" s="184"/>
      <c r="O103" s="113"/>
    </row>
    <row r="104" spans="1:15" ht="17.100000000000001" customHeight="1" thickBot="1" x14ac:dyDescent="0.3">
      <c r="A104" s="189"/>
      <c r="B104" s="190"/>
      <c r="C104" s="190"/>
      <c r="D104" s="190"/>
      <c r="E104" s="190"/>
      <c r="F104" s="191"/>
      <c r="G104" s="193"/>
      <c r="H104" s="190"/>
      <c r="I104" s="190"/>
      <c r="J104" s="191"/>
      <c r="K104" s="182"/>
      <c r="L104" s="183"/>
      <c r="M104" s="183"/>
      <c r="N104" s="184"/>
      <c r="O104" s="185"/>
    </row>
    <row r="105" spans="1:15" ht="17.100000000000001" customHeight="1" thickBot="1" x14ac:dyDescent="0.3">
      <c r="A105" s="161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3"/>
    </row>
    <row r="106" spans="1:15" ht="17.100000000000001" customHeight="1" x14ac:dyDescent="0.25">
      <c r="A106" s="153" t="s">
        <v>45</v>
      </c>
      <c r="B106" s="118"/>
      <c r="C106" s="118"/>
      <c r="D106" s="119"/>
      <c r="E106" s="164" t="s">
        <v>46</v>
      </c>
      <c r="F106" s="118"/>
      <c r="G106" s="118"/>
      <c r="H106" s="118"/>
      <c r="I106" s="118"/>
      <c r="J106" s="118"/>
      <c r="K106" s="166" t="s">
        <v>47</v>
      </c>
      <c r="L106" s="149"/>
      <c r="M106" s="149"/>
      <c r="N106" s="149"/>
      <c r="O106" s="170" t="s">
        <v>48</v>
      </c>
    </row>
    <row r="107" spans="1:15" ht="17.100000000000001" customHeight="1" x14ac:dyDescent="0.25">
      <c r="A107" s="120"/>
      <c r="B107" s="121"/>
      <c r="C107" s="121"/>
      <c r="D107" s="122"/>
      <c r="E107" s="165"/>
      <c r="F107" s="121"/>
      <c r="G107" s="121"/>
      <c r="H107" s="121"/>
      <c r="I107" s="121"/>
      <c r="J107" s="121"/>
      <c r="K107" s="167"/>
      <c r="L107" s="149"/>
      <c r="M107" s="149"/>
      <c r="N107" s="149"/>
      <c r="O107" s="171"/>
    </row>
    <row r="108" spans="1:15" ht="17.100000000000001" customHeight="1" x14ac:dyDescent="0.25">
      <c r="A108" s="114" t="s">
        <v>49</v>
      </c>
      <c r="B108" s="115"/>
      <c r="C108" s="115"/>
      <c r="D108" s="115"/>
      <c r="E108" s="115"/>
      <c r="F108" s="115"/>
      <c r="G108" s="115"/>
      <c r="H108" s="115"/>
      <c r="I108" s="115"/>
      <c r="J108" s="115"/>
      <c r="K108" s="167"/>
      <c r="L108" s="149"/>
      <c r="M108" s="149"/>
      <c r="N108" s="149"/>
      <c r="O108" s="171"/>
    </row>
    <row r="109" spans="1:15" ht="17.100000000000001" customHeight="1" x14ac:dyDescent="0.25">
      <c r="A109" s="117"/>
      <c r="B109" s="118"/>
      <c r="C109" s="118"/>
      <c r="D109" s="118"/>
      <c r="E109" s="118"/>
      <c r="F109" s="118"/>
      <c r="G109" s="118"/>
      <c r="H109" s="118"/>
      <c r="I109" s="118"/>
      <c r="J109" s="118"/>
      <c r="K109" s="167"/>
      <c r="L109" s="149"/>
      <c r="M109" s="149"/>
      <c r="N109" s="149"/>
      <c r="O109" s="171"/>
    </row>
    <row r="110" spans="1:15" ht="17.100000000000001" customHeight="1" x14ac:dyDescent="0.25">
      <c r="A110" s="117"/>
      <c r="B110" s="118"/>
      <c r="C110" s="118"/>
      <c r="D110" s="118"/>
      <c r="E110" s="118"/>
      <c r="F110" s="118"/>
      <c r="G110" s="118"/>
      <c r="H110" s="118"/>
      <c r="I110" s="118"/>
      <c r="J110" s="118"/>
      <c r="K110" s="167"/>
      <c r="L110" s="149"/>
      <c r="M110" s="149"/>
      <c r="N110" s="149"/>
      <c r="O110" s="171"/>
    </row>
    <row r="111" spans="1:15" ht="17.100000000000001" customHeight="1" x14ac:dyDescent="0.25">
      <c r="A111" s="117"/>
      <c r="B111" s="118"/>
      <c r="C111" s="118"/>
      <c r="D111" s="118"/>
      <c r="E111" s="118"/>
      <c r="F111" s="118"/>
      <c r="G111" s="118"/>
      <c r="H111" s="118"/>
      <c r="I111" s="118"/>
      <c r="J111" s="118"/>
      <c r="K111" s="167"/>
      <c r="L111" s="149"/>
      <c r="M111" s="149"/>
      <c r="N111" s="149"/>
      <c r="O111" s="171"/>
    </row>
    <row r="112" spans="1:15" ht="17.100000000000001" customHeight="1" thickBot="1" x14ac:dyDescent="0.3">
      <c r="A112" s="173"/>
      <c r="B112" s="174"/>
      <c r="C112" s="174"/>
      <c r="D112" s="174"/>
      <c r="E112" s="174"/>
      <c r="F112" s="174"/>
      <c r="G112" s="174"/>
      <c r="H112" s="174"/>
      <c r="I112" s="174"/>
      <c r="J112" s="174"/>
      <c r="K112" s="168"/>
      <c r="L112" s="169"/>
      <c r="M112" s="169"/>
      <c r="N112" s="169"/>
      <c r="O112" s="172"/>
    </row>
    <row r="113" spans="1:19" ht="14.1" customHeight="1" x14ac:dyDescent="0.25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</row>
    <row r="114" spans="1:19" ht="14.1" customHeight="1" x14ac:dyDescent="0.25"/>
    <row r="115" spans="1:19" ht="14.1" customHeight="1" x14ac:dyDescent="0.25"/>
    <row r="116" spans="1:19" ht="14.1" customHeight="1" x14ac:dyDescent="0.25"/>
  </sheetData>
  <sortState xmlns:xlrd2="http://schemas.microsoft.com/office/spreadsheetml/2017/richdata2" ref="A32:N57">
    <sortCondition ref="E32:E57"/>
  </sortState>
  <mergeCells count="80">
    <mergeCell ref="A84:N84"/>
    <mergeCell ref="A113:J113"/>
    <mergeCell ref="K113:S113"/>
    <mergeCell ref="A105:O105"/>
    <mergeCell ref="A106:D107"/>
    <mergeCell ref="E106:J107"/>
    <mergeCell ref="K106:N112"/>
    <mergeCell ref="O106:O112"/>
    <mergeCell ref="A108:J112"/>
    <mergeCell ref="A95:O95"/>
    <mergeCell ref="A96:F96"/>
    <mergeCell ref="G96:J96"/>
    <mergeCell ref="K96:N104"/>
    <mergeCell ref="O96:O104"/>
    <mergeCell ref="A97:F104"/>
    <mergeCell ref="G97:J104"/>
    <mergeCell ref="N62:N63"/>
    <mergeCell ref="B64:F64"/>
    <mergeCell ref="A87:G87"/>
    <mergeCell ref="J87:N87"/>
    <mergeCell ref="A88:N94"/>
    <mergeCell ref="E62:E63"/>
    <mergeCell ref="F62:F63"/>
    <mergeCell ref="G62:G63"/>
    <mergeCell ref="H62:L62"/>
    <mergeCell ref="M62:M63"/>
    <mergeCell ref="A68:N68"/>
    <mergeCell ref="A73:N73"/>
    <mergeCell ref="A78:N78"/>
    <mergeCell ref="A75:N75"/>
    <mergeCell ref="A80:N80"/>
    <mergeCell ref="A82:N82"/>
    <mergeCell ref="O14:O94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62:A63"/>
    <mergeCell ref="B62:B63"/>
    <mergeCell ref="C62:C63"/>
    <mergeCell ref="D62:D63"/>
    <mergeCell ref="F14:F15"/>
    <mergeCell ref="G14:G15"/>
    <mergeCell ref="H14:L14"/>
    <mergeCell ref="M14:M15"/>
    <mergeCell ref="N14:N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P85:P94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4:A15"/>
    <mergeCell ref="B14:B15"/>
    <mergeCell ref="C14:C15"/>
    <mergeCell ref="D14:D15"/>
    <mergeCell ref="E14:E15"/>
  </mergeCells>
  <hyperlinks>
    <hyperlink ref="E33" r:id="rId1" display="VALVULA DE DESCARGA EM METAL CROMADO PARA MICTORIO COM ACIONAMENTO POR PRESSAO E FECHAMENTO AUTOMATICO" xr:uid="{00000000-0004-0000-0000-000000000000}"/>
    <hyperlink ref="E34" r:id="rId2" display="AREIA GROSSA" xr:uid="{00000000-0004-0000-0000-000001000000}"/>
    <hyperlink ref="E41" r:id="rId3" display="FITA VEDA ROSCA EM ROLOS DE 18 MM X 50 M (L X C)" xr:uid="{00000000-0004-0000-0000-000002000000}"/>
    <hyperlink ref="E50" r:id="rId4" display="VALVULA DE DESCARGA EM METAL CROMADO PARA MICTORIO COM ACIONAMENTO POR PRESSAO E FECHAMENTO AUTOMATICO" xr:uid="{00000000-0004-0000-0000-000003000000}"/>
    <hyperlink ref="E52" r:id="rId5" display="VALVULA DE DESCARGA EM METAL CROMADO PARA MICTORIO COM ACIONAMENTO POR PRESSAO E FECHAMENTO AUTOMATICO" xr:uid="{00000000-0004-0000-0000-000004000000}"/>
  </hyperlinks>
  <pageMargins left="0.25" right="0.25" top="0.75" bottom="0.75" header="0.3" footer="0.3"/>
  <pageSetup paperSize="9" scale="53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2"/>
  <sheetViews>
    <sheetView topLeftCell="E40" zoomScale="80" zoomScaleNormal="80" workbookViewId="0">
      <selection activeCell="N62" sqref="N62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5.7109375" customWidth="1"/>
    <col min="8" max="13" width="12.7109375" customWidth="1"/>
    <col min="14" max="14" width="13.140625" style="87" customWidth="1"/>
    <col min="15" max="15" width="12.7109375" customWidth="1"/>
    <col min="16" max="16" width="13.85546875" bestFit="1" customWidth="1"/>
    <col min="17" max="17" width="12.7109375" customWidth="1"/>
    <col min="18" max="18" width="15.85546875" customWidth="1"/>
  </cols>
  <sheetData>
    <row r="1" spans="1:19" ht="15" customHeight="1" x14ac:dyDescent="0.25">
      <c r="A1" s="136" t="s">
        <v>16</v>
      </c>
      <c r="B1" s="138" t="s">
        <v>17</v>
      </c>
      <c r="C1" s="138" t="s">
        <v>18</v>
      </c>
      <c r="D1" s="138" t="s">
        <v>19</v>
      </c>
      <c r="E1" s="138" t="s">
        <v>20</v>
      </c>
      <c r="F1" s="138" t="s">
        <v>21</v>
      </c>
      <c r="G1" s="138" t="s">
        <v>22</v>
      </c>
      <c r="H1" s="194" t="s">
        <v>23</v>
      </c>
      <c r="I1" s="195"/>
      <c r="J1" s="195"/>
      <c r="K1" s="195"/>
      <c r="L1" s="196"/>
      <c r="M1" s="197" t="s">
        <v>24</v>
      </c>
      <c r="N1" s="83"/>
      <c r="O1" s="74"/>
      <c r="P1" s="74"/>
      <c r="Q1" s="74"/>
      <c r="R1" s="75"/>
    </row>
    <row r="2" spans="1:19" ht="32.25" customHeight="1" x14ac:dyDescent="0.25">
      <c r="A2" s="137"/>
      <c r="B2" s="139"/>
      <c r="C2" s="139"/>
      <c r="D2" s="139"/>
      <c r="E2" s="139"/>
      <c r="F2" s="139"/>
      <c r="G2" s="139"/>
      <c r="H2" s="40" t="s">
        <v>27</v>
      </c>
      <c r="I2" s="41" t="s">
        <v>36</v>
      </c>
      <c r="J2" s="40" t="s">
        <v>29</v>
      </c>
      <c r="K2" s="41" t="s">
        <v>58</v>
      </c>
      <c r="L2" s="40" t="s">
        <v>30</v>
      </c>
      <c r="M2" s="198"/>
      <c r="N2" s="84" t="s">
        <v>120</v>
      </c>
      <c r="O2" s="43" t="s">
        <v>121</v>
      </c>
      <c r="P2" s="43" t="s">
        <v>122</v>
      </c>
      <c r="Q2" s="43" t="s">
        <v>123</v>
      </c>
      <c r="R2" s="76" t="s">
        <v>124</v>
      </c>
      <c r="S2" s="61">
        <f>SUM(S3:S35)/47</f>
        <v>0.12669168678196263</v>
      </c>
    </row>
    <row r="3" spans="1:19" s="20" customFormat="1" ht="17.100000000000001" customHeight="1" x14ac:dyDescent="0.2">
      <c r="A3" s="19" t="s">
        <v>86</v>
      </c>
      <c r="B3" s="19" t="s">
        <v>53</v>
      </c>
      <c r="C3" s="19">
        <v>1379</v>
      </c>
      <c r="D3" s="19" t="s">
        <v>34</v>
      </c>
      <c r="E3" s="36" t="s">
        <v>118</v>
      </c>
      <c r="F3" s="19" t="s">
        <v>110</v>
      </c>
      <c r="G3" s="19">
        <v>1500</v>
      </c>
      <c r="H3" s="27">
        <v>0.66</v>
      </c>
      <c r="I3" s="15">
        <f t="shared" ref="I3:I49" si="0">H3*0.1532</f>
        <v>0.10111200000000001</v>
      </c>
      <c r="J3" s="15">
        <f>H3+I3</f>
        <v>0.76111200000000001</v>
      </c>
      <c r="K3" s="15">
        <f t="shared" ref="K3:K42" si="1">J3*(0.03%)</f>
        <v>2.2833359999999999E-4</v>
      </c>
      <c r="L3" s="15">
        <f>J3-K3</f>
        <v>0.76088366640000005</v>
      </c>
      <c r="M3" s="69">
        <f>L3*G3</f>
        <v>1141.3254996000001</v>
      </c>
      <c r="N3" s="77">
        <f>33.75/50</f>
        <v>0.67500000000000004</v>
      </c>
      <c r="O3" s="47">
        <f t="shared" ref="O3:O8" si="2">N3*G3</f>
        <v>1012.5000000000001</v>
      </c>
      <c r="P3" s="11" t="s">
        <v>125</v>
      </c>
      <c r="Q3" s="11">
        <v>116196</v>
      </c>
      <c r="R3" s="81">
        <f>M3-O3</f>
        <v>128.82549959999994</v>
      </c>
      <c r="S3" s="42">
        <f t="shared" ref="S3:S27" si="3">1-(O3/M3)</f>
        <v>0.11287358395580349</v>
      </c>
    </row>
    <row r="4" spans="1:19" s="20" customFormat="1" ht="17.100000000000001" customHeight="1" x14ac:dyDescent="0.2">
      <c r="A4" s="19" t="s">
        <v>107</v>
      </c>
      <c r="B4" s="19" t="s">
        <v>53</v>
      </c>
      <c r="C4" s="19">
        <v>367</v>
      </c>
      <c r="D4" s="19" t="s">
        <v>34</v>
      </c>
      <c r="E4" s="48" t="s">
        <v>126</v>
      </c>
      <c r="F4" s="19" t="s">
        <v>127</v>
      </c>
      <c r="G4" s="19">
        <v>5</v>
      </c>
      <c r="H4" s="37">
        <v>53.13</v>
      </c>
      <c r="I4" s="15">
        <f t="shared" si="0"/>
        <v>8.1395160000000004</v>
      </c>
      <c r="J4" s="15">
        <f>H4+I4</f>
        <v>61.269516000000003</v>
      </c>
      <c r="K4" s="15">
        <f t="shared" si="1"/>
        <v>1.8380854799999999E-2</v>
      </c>
      <c r="L4" s="15">
        <f>J4-K4</f>
        <v>61.251135145200003</v>
      </c>
      <c r="M4" s="69">
        <f>L4*G4</f>
        <v>306.25567572599999</v>
      </c>
      <c r="N4" s="77">
        <v>98</v>
      </c>
      <c r="O4" s="47">
        <f t="shared" si="2"/>
        <v>490</v>
      </c>
      <c r="P4" s="11" t="s">
        <v>125</v>
      </c>
      <c r="Q4" s="30">
        <v>116195</v>
      </c>
      <c r="R4" s="81">
        <f t="shared" ref="R4:R49" si="4">M4-O4</f>
        <v>-183.74432427400001</v>
      </c>
      <c r="S4" s="42">
        <f t="shared" si="3"/>
        <v>-0.59997034777697267</v>
      </c>
    </row>
    <row r="5" spans="1:19" s="20" customFormat="1" ht="17.100000000000001" customHeight="1" x14ac:dyDescent="0.2">
      <c r="A5" s="19" t="s">
        <v>92</v>
      </c>
      <c r="B5" s="19" t="s">
        <v>53</v>
      </c>
      <c r="C5" s="19">
        <v>4720</v>
      </c>
      <c r="D5" s="19" t="s">
        <v>34</v>
      </c>
      <c r="E5" s="49" t="s">
        <v>128</v>
      </c>
      <c r="F5" s="19" t="s">
        <v>127</v>
      </c>
      <c r="G5" s="19">
        <v>5</v>
      </c>
      <c r="H5" s="27">
        <v>80.39</v>
      </c>
      <c r="I5" s="15">
        <f t="shared" si="0"/>
        <v>12.315748000000001</v>
      </c>
      <c r="J5" s="15">
        <f>H5+I5</f>
        <v>92.705748</v>
      </c>
      <c r="K5" s="15">
        <f t="shared" si="1"/>
        <v>2.7811724399999998E-2</v>
      </c>
      <c r="L5" s="15">
        <f>J5-K5</f>
        <v>92.677936275600004</v>
      </c>
      <c r="M5" s="69">
        <f>L5*G5</f>
        <v>463.38968137800003</v>
      </c>
      <c r="N5" s="77">
        <v>127.06</v>
      </c>
      <c r="O5" s="47">
        <f t="shared" si="2"/>
        <v>635.29999999999995</v>
      </c>
      <c r="P5" s="11" t="s">
        <v>125</v>
      </c>
      <c r="Q5" s="30">
        <v>115166</v>
      </c>
      <c r="R5" s="81">
        <f t="shared" si="4"/>
        <v>-171.91031862199992</v>
      </c>
      <c r="S5" s="42">
        <f t="shared" si="3"/>
        <v>-0.37098434758146426</v>
      </c>
    </row>
    <row r="6" spans="1:19" s="20" customFormat="1" ht="17.100000000000001" customHeight="1" x14ac:dyDescent="0.2">
      <c r="A6" s="19" t="s">
        <v>107</v>
      </c>
      <c r="B6" s="19" t="s">
        <v>53</v>
      </c>
      <c r="C6" s="19">
        <v>367</v>
      </c>
      <c r="D6" s="19" t="s">
        <v>34</v>
      </c>
      <c r="E6" s="48" t="s">
        <v>126</v>
      </c>
      <c r="F6" s="19" t="s">
        <v>127</v>
      </c>
      <c r="G6" s="19">
        <v>5</v>
      </c>
      <c r="H6" s="37">
        <v>53.13</v>
      </c>
      <c r="I6" s="15">
        <f t="shared" si="0"/>
        <v>8.1395160000000004</v>
      </c>
      <c r="J6" s="15">
        <f t="shared" ref="J6:J30" si="5">H6+I6</f>
        <v>61.269516000000003</v>
      </c>
      <c r="K6" s="15">
        <f t="shared" si="1"/>
        <v>1.8380854799999999E-2</v>
      </c>
      <c r="L6" s="15">
        <f t="shared" ref="L6:L30" si="6">J6-K6</f>
        <v>61.251135145200003</v>
      </c>
      <c r="M6" s="69">
        <f t="shared" ref="M6:M30" si="7">L6*G6</f>
        <v>306.25567572599999</v>
      </c>
      <c r="N6" s="77">
        <v>98</v>
      </c>
      <c r="O6" s="47">
        <f t="shared" si="2"/>
        <v>490</v>
      </c>
      <c r="P6" s="11" t="s">
        <v>125</v>
      </c>
      <c r="Q6" s="30">
        <v>115165</v>
      </c>
      <c r="R6" s="81">
        <f t="shared" si="4"/>
        <v>-183.74432427400001</v>
      </c>
      <c r="S6" s="42">
        <f t="shared" si="3"/>
        <v>-0.59997034777697267</v>
      </c>
    </row>
    <row r="7" spans="1:19" s="20" customFormat="1" ht="17.100000000000001" customHeight="1" x14ac:dyDescent="0.2">
      <c r="A7" s="19" t="s">
        <v>86</v>
      </c>
      <c r="B7" s="19" t="s">
        <v>53</v>
      </c>
      <c r="C7" s="19">
        <v>1379</v>
      </c>
      <c r="D7" s="19" t="s">
        <v>34</v>
      </c>
      <c r="E7" s="36" t="s">
        <v>118</v>
      </c>
      <c r="F7" s="19" t="s">
        <v>21</v>
      </c>
      <c r="G7" s="19">
        <v>1000</v>
      </c>
      <c r="H7" s="27">
        <v>0.66</v>
      </c>
      <c r="I7" s="15">
        <f t="shared" si="0"/>
        <v>0.10111200000000001</v>
      </c>
      <c r="J7" s="15">
        <f t="shared" si="5"/>
        <v>0.76111200000000001</v>
      </c>
      <c r="K7" s="15">
        <f t="shared" si="1"/>
        <v>2.2833359999999999E-4</v>
      </c>
      <c r="L7" s="15">
        <f t="shared" si="6"/>
        <v>0.76088366640000005</v>
      </c>
      <c r="M7" s="69">
        <f t="shared" si="7"/>
        <v>760.88366640000004</v>
      </c>
      <c r="N7" s="77">
        <f>33.75/50</f>
        <v>0.67500000000000004</v>
      </c>
      <c r="O7" s="47">
        <f t="shared" si="2"/>
        <v>675</v>
      </c>
      <c r="P7" s="11" t="s">
        <v>125</v>
      </c>
      <c r="Q7" s="11">
        <v>116196</v>
      </c>
      <c r="R7" s="81">
        <f t="shared" si="4"/>
        <v>85.883666400000038</v>
      </c>
      <c r="S7" s="42">
        <f t="shared" si="3"/>
        <v>0.1128735839558036</v>
      </c>
    </row>
    <row r="8" spans="1:19" s="20" customFormat="1" ht="17.100000000000001" customHeight="1" x14ac:dyDescent="0.2">
      <c r="A8" s="19" t="s">
        <v>102</v>
      </c>
      <c r="B8" s="19" t="s">
        <v>53</v>
      </c>
      <c r="C8" s="19">
        <v>43132</v>
      </c>
      <c r="D8" s="19" t="s">
        <v>34</v>
      </c>
      <c r="E8" s="33" t="s">
        <v>129</v>
      </c>
      <c r="F8" s="19" t="s">
        <v>130</v>
      </c>
      <c r="G8" s="19">
        <v>6</v>
      </c>
      <c r="H8" s="27">
        <v>22.83</v>
      </c>
      <c r="I8" s="15">
        <f t="shared" si="0"/>
        <v>3.4975559999999999</v>
      </c>
      <c r="J8" s="15">
        <f t="shared" si="5"/>
        <v>26.327555999999998</v>
      </c>
      <c r="K8" s="15">
        <f t="shared" si="1"/>
        <v>7.8982667999999978E-3</v>
      </c>
      <c r="L8" s="15">
        <f t="shared" si="6"/>
        <v>26.319657733199996</v>
      </c>
      <c r="M8" s="69">
        <f t="shared" si="7"/>
        <v>157.91794639919999</v>
      </c>
      <c r="N8" s="77">
        <v>25.17</v>
      </c>
      <c r="O8" s="47">
        <f t="shared" si="2"/>
        <v>151.02000000000001</v>
      </c>
      <c r="P8" s="11" t="s">
        <v>125</v>
      </c>
      <c r="Q8" s="30">
        <v>115164</v>
      </c>
      <c r="R8" s="81">
        <f t="shared" si="4"/>
        <v>6.8979463991999808</v>
      </c>
      <c r="S8" s="42">
        <f t="shared" si="3"/>
        <v>4.3680573085485119E-2</v>
      </c>
    </row>
    <row r="9" spans="1:19" s="20" customFormat="1" ht="17.100000000000001" customHeight="1" x14ac:dyDescent="0.2">
      <c r="A9" s="19" t="s">
        <v>88</v>
      </c>
      <c r="B9" s="19" t="s">
        <v>53</v>
      </c>
      <c r="C9" s="19">
        <v>1381</v>
      </c>
      <c r="D9" s="19" t="s">
        <v>34</v>
      </c>
      <c r="E9" s="53" t="s">
        <v>131</v>
      </c>
      <c r="F9" s="19" t="s">
        <v>110</v>
      </c>
      <c r="G9" s="19">
        <v>100</v>
      </c>
      <c r="H9" s="27">
        <v>0.69</v>
      </c>
      <c r="I9" s="15">
        <f t="shared" si="0"/>
        <v>0.105708</v>
      </c>
      <c r="J9" s="15">
        <f t="shared" si="5"/>
        <v>0.79570799999999997</v>
      </c>
      <c r="K9" s="15">
        <f t="shared" si="1"/>
        <v>2.3871239999999997E-4</v>
      </c>
      <c r="L9" s="15">
        <f t="shared" si="6"/>
        <v>0.79546928760000002</v>
      </c>
      <c r="M9" s="69">
        <f t="shared" si="7"/>
        <v>79.54692876</v>
      </c>
      <c r="N9" s="77">
        <v>11.31</v>
      </c>
      <c r="O9" s="46">
        <f>N9*5</f>
        <v>56.550000000000004</v>
      </c>
      <c r="P9" s="11" t="s">
        <v>125</v>
      </c>
      <c r="Q9" s="30">
        <v>115164</v>
      </c>
      <c r="R9" s="81">
        <f t="shared" si="4"/>
        <v>22.996928759999996</v>
      </c>
      <c r="S9" s="42">
        <f t="shared" si="3"/>
        <v>0.28909888940381001</v>
      </c>
    </row>
    <row r="10" spans="1:19" s="20" customFormat="1" ht="17.100000000000001" customHeight="1" x14ac:dyDescent="0.2">
      <c r="A10" s="19" t="s">
        <v>100</v>
      </c>
      <c r="B10" s="19" t="s">
        <v>53</v>
      </c>
      <c r="C10" s="19">
        <v>43060</v>
      </c>
      <c r="D10" s="19" t="s">
        <v>34</v>
      </c>
      <c r="E10" s="32" t="s">
        <v>119</v>
      </c>
      <c r="F10" s="19" t="s">
        <v>110</v>
      </c>
      <c r="G10" s="19">
        <f>4.704*10</f>
        <v>47.04</v>
      </c>
      <c r="H10" s="34">
        <v>8.8699999999999992</v>
      </c>
      <c r="I10" s="15">
        <f t="shared" si="0"/>
        <v>1.358884</v>
      </c>
      <c r="J10" s="15">
        <f t="shared" si="5"/>
        <v>10.228883999999999</v>
      </c>
      <c r="K10" s="15">
        <f t="shared" si="1"/>
        <v>3.0686651999999996E-3</v>
      </c>
      <c r="L10" s="15">
        <f t="shared" si="6"/>
        <v>10.225815334799998</v>
      </c>
      <c r="M10" s="69">
        <f t="shared" si="7"/>
        <v>481.02235334899189</v>
      </c>
      <c r="N10" s="77">
        <v>43.41</v>
      </c>
      <c r="O10" s="46">
        <f>N10*10</f>
        <v>434.09999999999997</v>
      </c>
      <c r="P10" s="11" t="s">
        <v>125</v>
      </c>
      <c r="Q10" s="30">
        <v>115164</v>
      </c>
      <c r="R10" s="81">
        <f t="shared" si="4"/>
        <v>46.922353348991919</v>
      </c>
      <c r="S10" s="42">
        <f t="shared" si="3"/>
        <v>9.7547136889392649E-2</v>
      </c>
    </row>
    <row r="11" spans="1:19" s="20" customFormat="1" ht="17.100000000000001" customHeight="1" x14ac:dyDescent="0.2">
      <c r="A11" s="19"/>
      <c r="B11" s="19" t="s">
        <v>53</v>
      </c>
      <c r="C11" s="19">
        <v>34357</v>
      </c>
      <c r="D11" s="19" t="s">
        <v>34</v>
      </c>
      <c r="E11" s="54" t="s">
        <v>132</v>
      </c>
      <c r="F11" s="19" t="s">
        <v>110</v>
      </c>
      <c r="G11" s="19">
        <v>5</v>
      </c>
      <c r="H11" s="34">
        <v>4.05</v>
      </c>
      <c r="I11" s="15">
        <f t="shared" si="0"/>
        <v>0.62046000000000001</v>
      </c>
      <c r="J11" s="15">
        <f t="shared" si="5"/>
        <v>4.6704600000000003</v>
      </c>
      <c r="K11" s="15">
        <f t="shared" si="1"/>
        <v>1.4011379999999999E-3</v>
      </c>
      <c r="L11" s="15">
        <f t="shared" si="6"/>
        <v>4.669058862</v>
      </c>
      <c r="M11" s="69">
        <f t="shared" si="7"/>
        <v>23.34529431</v>
      </c>
      <c r="N11" s="77">
        <v>11.49</v>
      </c>
      <c r="O11" s="46">
        <f t="shared" ref="O11:O32" si="8">N11*G11</f>
        <v>57.45</v>
      </c>
      <c r="P11" s="11" t="s">
        <v>125</v>
      </c>
      <c r="Q11" s="30">
        <v>115164</v>
      </c>
      <c r="R11" s="81">
        <f t="shared" si="4"/>
        <v>-34.104705690000003</v>
      </c>
      <c r="S11" s="42">
        <f t="shared" si="3"/>
        <v>-1.4608813766546174</v>
      </c>
    </row>
    <row r="12" spans="1:19" s="20" customFormat="1" ht="17.100000000000001" customHeight="1" x14ac:dyDescent="0.2">
      <c r="A12" s="19" t="s">
        <v>95</v>
      </c>
      <c r="B12" s="19" t="s">
        <v>53</v>
      </c>
      <c r="C12" s="19">
        <v>10515</v>
      </c>
      <c r="D12" s="19" t="s">
        <v>34</v>
      </c>
      <c r="E12" s="55" t="s">
        <v>133</v>
      </c>
      <c r="F12" s="11" t="s">
        <v>105</v>
      </c>
      <c r="G12" s="19">
        <v>10</v>
      </c>
      <c r="H12" s="34">
        <v>46.86</v>
      </c>
      <c r="I12" s="15">
        <f t="shared" si="0"/>
        <v>7.1789519999999998</v>
      </c>
      <c r="J12" s="15">
        <f t="shared" si="5"/>
        <v>54.038952000000002</v>
      </c>
      <c r="K12" s="15">
        <f t="shared" si="1"/>
        <v>1.6211685599999998E-2</v>
      </c>
      <c r="L12" s="15">
        <f t="shared" si="6"/>
        <v>54.022740314400004</v>
      </c>
      <c r="M12" s="70">
        <f t="shared" si="7"/>
        <v>540.22740314400005</v>
      </c>
      <c r="N12" s="77">
        <v>22.5</v>
      </c>
      <c r="O12" s="46">
        <f t="shared" si="8"/>
        <v>225</v>
      </c>
      <c r="P12" s="11" t="s">
        <v>125</v>
      </c>
      <c r="Q12" s="30">
        <v>115164</v>
      </c>
      <c r="R12" s="81">
        <f t="shared" si="4"/>
        <v>315.22740314400005</v>
      </c>
      <c r="S12" s="42">
        <f t="shared" si="3"/>
        <v>0.58350872486187955</v>
      </c>
    </row>
    <row r="13" spans="1:19" s="20" customFormat="1" ht="17.100000000000001" customHeight="1" x14ac:dyDescent="0.2">
      <c r="A13" s="19"/>
      <c r="B13" s="19"/>
      <c r="C13" s="19">
        <v>779</v>
      </c>
      <c r="D13" s="19" t="s">
        <v>34</v>
      </c>
      <c r="E13" s="32" t="s">
        <v>134</v>
      </c>
      <c r="F13" s="19" t="s">
        <v>21</v>
      </c>
      <c r="G13" s="19">
        <v>20</v>
      </c>
      <c r="H13" s="34">
        <v>8.07</v>
      </c>
      <c r="I13" s="15">
        <f t="shared" si="0"/>
        <v>1.236324</v>
      </c>
      <c r="J13" s="15">
        <f t="shared" si="5"/>
        <v>9.306324</v>
      </c>
      <c r="K13" s="15">
        <f t="shared" si="1"/>
        <v>2.7918971999999998E-3</v>
      </c>
      <c r="L13" s="15">
        <f t="shared" si="6"/>
        <v>9.3035321028000002</v>
      </c>
      <c r="M13" s="69">
        <f t="shared" si="7"/>
        <v>186.070642056</v>
      </c>
      <c r="N13" s="77">
        <v>6.09</v>
      </c>
      <c r="O13" s="46">
        <f t="shared" si="8"/>
        <v>121.8</v>
      </c>
      <c r="P13" s="30" t="s">
        <v>135</v>
      </c>
      <c r="Q13" s="30">
        <v>545094</v>
      </c>
      <c r="R13" s="81">
        <f t="shared" si="4"/>
        <v>64.270642056</v>
      </c>
      <c r="S13" s="42">
        <f t="shared" si="3"/>
        <v>0.34540990102381142</v>
      </c>
    </row>
    <row r="14" spans="1:19" s="20" customFormat="1" ht="17.100000000000001" customHeight="1" x14ac:dyDescent="0.2">
      <c r="A14" s="19" t="s">
        <v>91</v>
      </c>
      <c r="B14" s="19" t="s">
        <v>53</v>
      </c>
      <c r="C14" s="30">
        <v>377</v>
      </c>
      <c r="D14" s="19" t="s">
        <v>34</v>
      </c>
      <c r="E14" s="51" t="s">
        <v>112</v>
      </c>
      <c r="F14" s="19" t="s">
        <v>21</v>
      </c>
      <c r="G14" s="19">
        <v>20</v>
      </c>
      <c r="H14" s="31">
        <v>42.48</v>
      </c>
      <c r="I14" s="15">
        <f t="shared" si="0"/>
        <v>6.5079359999999999</v>
      </c>
      <c r="J14" s="15">
        <f t="shared" si="5"/>
        <v>48.987935999999998</v>
      </c>
      <c r="K14" s="15">
        <f t="shared" si="1"/>
        <v>1.4696380799999999E-2</v>
      </c>
      <c r="L14" s="15">
        <f t="shared" si="6"/>
        <v>48.973239619200001</v>
      </c>
      <c r="M14" s="69">
        <f t="shared" si="7"/>
        <v>979.46479238400002</v>
      </c>
      <c r="N14" s="77">
        <v>37.590000000000003</v>
      </c>
      <c r="O14" s="46">
        <f t="shared" si="8"/>
        <v>751.80000000000007</v>
      </c>
      <c r="P14" s="30" t="s">
        <v>135</v>
      </c>
      <c r="Q14" s="30">
        <v>545094</v>
      </c>
      <c r="R14" s="81">
        <f t="shared" si="4"/>
        <v>227.66479238399995</v>
      </c>
      <c r="S14" s="42">
        <f t="shared" si="3"/>
        <v>0.2324379540277991</v>
      </c>
    </row>
    <row r="15" spans="1:19" s="20" customFormat="1" ht="17.100000000000001" customHeight="1" x14ac:dyDescent="0.2">
      <c r="A15" s="19" t="s">
        <v>101</v>
      </c>
      <c r="B15" s="19" t="s">
        <v>53</v>
      </c>
      <c r="C15" s="19">
        <v>12613</v>
      </c>
      <c r="D15" s="19" t="s">
        <v>34</v>
      </c>
      <c r="E15" s="56" t="s">
        <v>136</v>
      </c>
      <c r="F15" s="19" t="s">
        <v>21</v>
      </c>
      <c r="G15" s="19">
        <v>15</v>
      </c>
      <c r="H15" s="27">
        <v>21.41</v>
      </c>
      <c r="I15" s="15">
        <f t="shared" si="0"/>
        <v>3.2800120000000001</v>
      </c>
      <c r="J15" s="15">
        <f t="shared" si="5"/>
        <v>24.690011999999999</v>
      </c>
      <c r="K15" s="15">
        <f t="shared" si="1"/>
        <v>7.407003599999999E-3</v>
      </c>
      <c r="L15" s="15">
        <f t="shared" si="6"/>
        <v>24.682604996399998</v>
      </c>
      <c r="M15" s="69">
        <f t="shared" si="7"/>
        <v>370.23907494599996</v>
      </c>
      <c r="N15" s="77">
        <v>19.57</v>
      </c>
      <c r="O15" s="46">
        <f t="shared" si="8"/>
        <v>293.55</v>
      </c>
      <c r="P15" s="30" t="s">
        <v>135</v>
      </c>
      <c r="Q15" s="30">
        <v>545094</v>
      </c>
      <c r="R15" s="81">
        <f t="shared" si="4"/>
        <v>76.689074945999948</v>
      </c>
      <c r="S15" s="42">
        <f t="shared" si="3"/>
        <v>0.20713393084504972</v>
      </c>
    </row>
    <row r="16" spans="1:19" s="20" customFormat="1" ht="17.100000000000001" customHeight="1" x14ac:dyDescent="0.2">
      <c r="A16" s="19" t="s">
        <v>137</v>
      </c>
      <c r="B16" s="19" t="s">
        <v>53</v>
      </c>
      <c r="C16" s="19">
        <v>6148</v>
      </c>
      <c r="D16" s="19" t="s">
        <v>34</v>
      </c>
      <c r="E16" s="57" t="s">
        <v>61</v>
      </c>
      <c r="F16" s="19" t="s">
        <v>21</v>
      </c>
      <c r="G16" s="19">
        <v>15</v>
      </c>
      <c r="H16" s="27">
        <v>10.8</v>
      </c>
      <c r="I16" s="15">
        <f t="shared" si="0"/>
        <v>1.65456</v>
      </c>
      <c r="J16" s="15">
        <f t="shared" si="5"/>
        <v>12.454560000000001</v>
      </c>
      <c r="K16" s="15">
        <f t="shared" si="1"/>
        <v>3.7363679999999999E-3</v>
      </c>
      <c r="L16" s="15">
        <f t="shared" si="6"/>
        <v>12.450823632000001</v>
      </c>
      <c r="M16" s="69">
        <f t="shared" si="7"/>
        <v>186.76235448</v>
      </c>
      <c r="N16" s="77">
        <v>7.49</v>
      </c>
      <c r="O16" s="46">
        <f t="shared" si="8"/>
        <v>112.35000000000001</v>
      </c>
      <c r="P16" s="30" t="s">
        <v>135</v>
      </c>
      <c r="Q16" s="30">
        <v>545094</v>
      </c>
      <c r="R16" s="81">
        <f t="shared" si="4"/>
        <v>74.412354479999991</v>
      </c>
      <c r="S16" s="42">
        <f t="shared" si="3"/>
        <v>0.39843337104624399</v>
      </c>
    </row>
    <row r="17" spans="1:19" s="20" customFormat="1" ht="17.100000000000001" customHeight="1" x14ac:dyDescent="0.2">
      <c r="A17" s="19" t="s">
        <v>100</v>
      </c>
      <c r="B17" s="19" t="s">
        <v>53</v>
      </c>
      <c r="C17" s="19">
        <v>11830</v>
      </c>
      <c r="D17" s="19" t="s">
        <v>34</v>
      </c>
      <c r="E17" s="51" t="s">
        <v>138</v>
      </c>
      <c r="F17" s="19" t="s">
        <v>21</v>
      </c>
      <c r="G17" s="19">
        <v>10</v>
      </c>
      <c r="H17" s="27">
        <v>70.95</v>
      </c>
      <c r="I17" s="15">
        <f t="shared" si="0"/>
        <v>10.869540000000001</v>
      </c>
      <c r="J17" s="15">
        <f t="shared" si="5"/>
        <v>81.819540000000003</v>
      </c>
      <c r="K17" s="15">
        <f t="shared" si="1"/>
        <v>2.4545861999999998E-2</v>
      </c>
      <c r="L17" s="15">
        <f t="shared" si="6"/>
        <v>81.794994138000007</v>
      </c>
      <c r="M17" s="69">
        <f t="shared" si="7"/>
        <v>817.94994138000004</v>
      </c>
      <c r="N17" s="77">
        <v>38.229999999999997</v>
      </c>
      <c r="O17" s="46">
        <f t="shared" si="8"/>
        <v>382.29999999999995</v>
      </c>
      <c r="P17" s="30" t="s">
        <v>135</v>
      </c>
      <c r="Q17" s="30">
        <v>545094</v>
      </c>
      <c r="R17" s="81">
        <f t="shared" si="4"/>
        <v>435.64994138000009</v>
      </c>
      <c r="S17" s="42">
        <f t="shared" si="3"/>
        <v>0.53261198435321788</v>
      </c>
    </row>
    <row r="18" spans="1:19" s="20" customFormat="1" ht="17.100000000000001" customHeight="1" x14ac:dyDescent="0.2">
      <c r="A18" s="19" t="s">
        <v>139</v>
      </c>
      <c r="B18" s="19" t="s">
        <v>53</v>
      </c>
      <c r="C18" s="19">
        <v>11825</v>
      </c>
      <c r="D18" s="19" t="s">
        <v>34</v>
      </c>
      <c r="E18" s="57" t="s">
        <v>140</v>
      </c>
      <c r="F18" s="19" t="s">
        <v>21</v>
      </c>
      <c r="G18" s="19">
        <v>10</v>
      </c>
      <c r="H18" s="27">
        <v>159.61000000000001</v>
      </c>
      <c r="I18" s="15">
        <f t="shared" si="0"/>
        <v>24.452252000000001</v>
      </c>
      <c r="J18" s="15">
        <f t="shared" si="5"/>
        <v>184.062252</v>
      </c>
      <c r="K18" s="15">
        <f t="shared" si="1"/>
        <v>5.5218675599999996E-2</v>
      </c>
      <c r="L18" s="15">
        <f t="shared" si="6"/>
        <v>184.0070333244</v>
      </c>
      <c r="M18" s="69">
        <f t="shared" si="7"/>
        <v>1840.070333244</v>
      </c>
      <c r="N18" s="77">
        <v>119.88</v>
      </c>
      <c r="O18" s="46">
        <f t="shared" si="8"/>
        <v>1198.8</v>
      </c>
      <c r="P18" s="30" t="s">
        <v>135</v>
      </c>
      <c r="Q18" s="30">
        <v>545094</v>
      </c>
      <c r="R18" s="81">
        <f t="shared" si="4"/>
        <v>641.27033324400008</v>
      </c>
      <c r="S18" s="42">
        <f t="shared" si="3"/>
        <v>0.34850316406843851</v>
      </c>
    </row>
    <row r="19" spans="1:19" s="20" customFormat="1" ht="17.100000000000001" customHeight="1" x14ac:dyDescent="0.2">
      <c r="A19" s="19"/>
      <c r="B19" s="19"/>
      <c r="C19" s="19">
        <v>11678</v>
      </c>
      <c r="D19" s="19" t="s">
        <v>34</v>
      </c>
      <c r="E19" s="52" t="s">
        <v>141</v>
      </c>
      <c r="F19" s="19" t="s">
        <v>21</v>
      </c>
      <c r="G19" s="19">
        <v>2</v>
      </c>
      <c r="H19" s="27">
        <v>125.39</v>
      </c>
      <c r="I19" s="15">
        <f t="shared" si="0"/>
        <v>19.209748000000001</v>
      </c>
      <c r="J19" s="15">
        <f t="shared" si="5"/>
        <v>144.59974800000001</v>
      </c>
      <c r="K19" s="15">
        <f t="shared" si="1"/>
        <v>4.3379924399999999E-2</v>
      </c>
      <c r="L19" s="15">
        <f t="shared" si="6"/>
        <v>144.55636807560001</v>
      </c>
      <c r="M19" s="69">
        <f t="shared" si="7"/>
        <v>289.11273615120001</v>
      </c>
      <c r="N19" s="77">
        <v>104.26</v>
      </c>
      <c r="O19" s="46">
        <f t="shared" si="8"/>
        <v>208.52</v>
      </c>
      <c r="P19" s="30" t="s">
        <v>135</v>
      </c>
      <c r="Q19" s="30">
        <v>545094</v>
      </c>
      <c r="R19" s="81">
        <f t="shared" si="4"/>
        <v>80.5927361512</v>
      </c>
      <c r="S19" s="42">
        <f t="shared" si="3"/>
        <v>0.27875885796000233</v>
      </c>
    </row>
    <row r="20" spans="1:19" s="20" customFormat="1" ht="17.100000000000001" customHeight="1" x14ac:dyDescent="0.2">
      <c r="A20" s="19"/>
      <c r="B20" s="19"/>
      <c r="C20" s="19">
        <v>1925</v>
      </c>
      <c r="D20" s="19" t="s">
        <v>34</v>
      </c>
      <c r="E20" s="52" t="s">
        <v>142</v>
      </c>
      <c r="F20" s="19" t="s">
        <v>21</v>
      </c>
      <c r="G20" s="19">
        <v>5</v>
      </c>
      <c r="H20" s="27">
        <v>51.75</v>
      </c>
      <c r="I20" s="15">
        <f t="shared" si="0"/>
        <v>7.9281000000000006</v>
      </c>
      <c r="J20" s="15">
        <f t="shared" si="5"/>
        <v>59.678100000000001</v>
      </c>
      <c r="K20" s="15">
        <f t="shared" si="1"/>
        <v>1.7903429999999998E-2</v>
      </c>
      <c r="L20" s="15">
        <f t="shared" si="6"/>
        <v>59.660196570000004</v>
      </c>
      <c r="M20" s="69">
        <f t="shared" si="7"/>
        <v>298.30098285000003</v>
      </c>
      <c r="N20" s="77">
        <v>33.58</v>
      </c>
      <c r="O20" s="46">
        <f t="shared" si="8"/>
        <v>167.89999999999998</v>
      </c>
      <c r="P20" s="30" t="s">
        <v>135</v>
      </c>
      <c r="Q20" s="30">
        <v>545095</v>
      </c>
      <c r="R20" s="81">
        <f t="shared" si="4"/>
        <v>130.40098285000005</v>
      </c>
      <c r="S20" s="42">
        <f t="shared" si="3"/>
        <v>0.43714566946489708</v>
      </c>
    </row>
    <row r="21" spans="1:19" s="20" customFormat="1" ht="17.100000000000001" customHeight="1" x14ac:dyDescent="0.2">
      <c r="A21" s="19"/>
      <c r="B21" s="19"/>
      <c r="C21" s="19">
        <v>1960</v>
      </c>
      <c r="D21" s="19" t="s">
        <v>34</v>
      </c>
      <c r="E21" s="38" t="s">
        <v>143</v>
      </c>
      <c r="F21" s="19" t="s">
        <v>21</v>
      </c>
      <c r="G21" s="19">
        <v>5</v>
      </c>
      <c r="H21" s="27">
        <v>73.569999999999993</v>
      </c>
      <c r="I21" s="15">
        <f t="shared" si="0"/>
        <v>11.270923999999999</v>
      </c>
      <c r="J21" s="15">
        <f t="shared" si="5"/>
        <v>84.840923999999987</v>
      </c>
      <c r="K21" s="15">
        <f t="shared" si="1"/>
        <v>2.5452277199999995E-2</v>
      </c>
      <c r="L21" s="15">
        <f t="shared" si="6"/>
        <v>84.815471722799984</v>
      </c>
      <c r="M21" s="69">
        <f t="shared" si="7"/>
        <v>424.07735861399993</v>
      </c>
      <c r="N21" s="77">
        <v>69.47</v>
      </c>
      <c r="O21" s="46">
        <f t="shared" si="8"/>
        <v>347.35</v>
      </c>
      <c r="P21" s="30" t="s">
        <v>135</v>
      </c>
      <c r="Q21" s="30">
        <v>545095</v>
      </c>
      <c r="R21" s="81">
        <f t="shared" si="4"/>
        <v>76.727358613999911</v>
      </c>
      <c r="S21" s="42">
        <f t="shared" si="3"/>
        <v>0.18092774126108924</v>
      </c>
    </row>
    <row r="22" spans="1:19" s="20" customFormat="1" ht="17.100000000000001" customHeight="1" x14ac:dyDescent="0.2">
      <c r="A22" s="19"/>
      <c r="B22" s="19"/>
      <c r="C22" s="19">
        <v>19.61</v>
      </c>
      <c r="D22" s="19" t="s">
        <v>34</v>
      </c>
      <c r="E22" s="52" t="s">
        <v>144</v>
      </c>
      <c r="F22" s="19" t="s">
        <v>21</v>
      </c>
      <c r="G22" s="19">
        <v>5</v>
      </c>
      <c r="H22" s="27">
        <v>105.72</v>
      </c>
      <c r="I22" s="15">
        <f t="shared" si="0"/>
        <v>16.196304000000001</v>
      </c>
      <c r="J22" s="15">
        <f t="shared" si="5"/>
        <v>121.916304</v>
      </c>
      <c r="K22" s="15">
        <f t="shared" si="1"/>
        <v>3.6574891199999994E-2</v>
      </c>
      <c r="L22" s="15">
        <f t="shared" si="6"/>
        <v>121.87972910879999</v>
      </c>
      <c r="M22" s="69">
        <f t="shared" si="7"/>
        <v>609.39864554399992</v>
      </c>
      <c r="N22" s="77">
        <v>89.66</v>
      </c>
      <c r="O22" s="46">
        <f t="shared" si="8"/>
        <v>448.29999999999995</v>
      </c>
      <c r="P22" s="30" t="s">
        <v>135</v>
      </c>
      <c r="Q22" s="30">
        <v>545095</v>
      </c>
      <c r="R22" s="81">
        <f t="shared" si="4"/>
        <v>161.09864554399996</v>
      </c>
      <c r="S22" s="42">
        <f t="shared" si="3"/>
        <v>0.26435675025202909</v>
      </c>
    </row>
    <row r="23" spans="1:19" s="20" customFormat="1" ht="17.100000000000001" customHeight="1" x14ac:dyDescent="0.2">
      <c r="A23" s="19" t="s">
        <v>103</v>
      </c>
      <c r="B23" s="19" t="s">
        <v>53</v>
      </c>
      <c r="C23" s="19">
        <v>3529</v>
      </c>
      <c r="D23" s="19" t="s">
        <v>34</v>
      </c>
      <c r="E23" s="53" t="s">
        <v>145</v>
      </c>
      <c r="F23" s="19" t="s">
        <v>21</v>
      </c>
      <c r="G23" s="19">
        <v>10</v>
      </c>
      <c r="H23" s="27">
        <v>1.01</v>
      </c>
      <c r="I23" s="15">
        <f t="shared" si="0"/>
        <v>0.15473200000000001</v>
      </c>
      <c r="J23" s="15">
        <f t="shared" si="5"/>
        <v>1.1647320000000001</v>
      </c>
      <c r="K23" s="15">
        <f t="shared" si="1"/>
        <v>3.494196E-4</v>
      </c>
      <c r="L23" s="15">
        <f t="shared" si="6"/>
        <v>1.1643825804000001</v>
      </c>
      <c r="M23" s="69">
        <f t="shared" si="7"/>
        <v>11.643825804</v>
      </c>
      <c r="N23" s="77">
        <v>0.72</v>
      </c>
      <c r="O23" s="46">
        <f t="shared" si="8"/>
        <v>7.1999999999999993</v>
      </c>
      <c r="P23" s="30" t="s">
        <v>135</v>
      </c>
      <c r="Q23" s="30">
        <v>545095</v>
      </c>
      <c r="R23" s="81">
        <f t="shared" si="4"/>
        <v>4.4438258040000012</v>
      </c>
      <c r="S23" s="42">
        <f t="shared" si="3"/>
        <v>0.3816465377276097</v>
      </c>
    </row>
    <row r="24" spans="1:19" s="20" customFormat="1" ht="17.100000000000001" customHeight="1" x14ac:dyDescent="0.2">
      <c r="A24" s="19" t="s">
        <v>100</v>
      </c>
      <c r="B24" s="19" t="s">
        <v>53</v>
      </c>
      <c r="C24" s="19">
        <v>3904</v>
      </c>
      <c r="D24" s="19" t="s">
        <v>34</v>
      </c>
      <c r="E24" s="32" t="s">
        <v>146</v>
      </c>
      <c r="F24" s="19" t="s">
        <v>21</v>
      </c>
      <c r="G24" s="19">
        <v>10</v>
      </c>
      <c r="H24" s="58">
        <v>1.0900000000000001</v>
      </c>
      <c r="I24" s="15">
        <f t="shared" si="0"/>
        <v>0.16698800000000003</v>
      </c>
      <c r="J24" s="15">
        <f t="shared" si="5"/>
        <v>1.2569880000000002</v>
      </c>
      <c r="K24" s="15">
        <f t="shared" si="1"/>
        <v>3.7709640000000002E-4</v>
      </c>
      <c r="L24" s="15">
        <f t="shared" si="6"/>
        <v>1.2566109036000002</v>
      </c>
      <c r="M24" s="69">
        <f t="shared" si="7"/>
        <v>12.566109036000002</v>
      </c>
      <c r="N24" s="77">
        <v>0.81</v>
      </c>
      <c r="O24" s="46">
        <f t="shared" si="8"/>
        <v>8.1000000000000014</v>
      </c>
      <c r="P24" s="30" t="s">
        <v>135</v>
      </c>
      <c r="Q24" s="30">
        <v>545095</v>
      </c>
      <c r="R24" s="81">
        <f t="shared" si="4"/>
        <v>4.4661090360000006</v>
      </c>
      <c r="S24" s="42">
        <f t="shared" si="3"/>
        <v>0.35540906283761131</v>
      </c>
    </row>
    <row r="25" spans="1:19" s="20" customFormat="1" ht="17.100000000000001" customHeight="1" x14ac:dyDescent="0.2">
      <c r="A25" s="19" t="s">
        <v>104</v>
      </c>
      <c r="B25" s="19" t="s">
        <v>53</v>
      </c>
      <c r="C25" s="19">
        <v>3874</v>
      </c>
      <c r="D25" s="19" t="s">
        <v>34</v>
      </c>
      <c r="E25" s="53" t="s">
        <v>147</v>
      </c>
      <c r="F25" s="19" t="s">
        <v>21</v>
      </c>
      <c r="G25" s="19">
        <v>5</v>
      </c>
      <c r="H25" s="27">
        <v>7.52</v>
      </c>
      <c r="I25" s="15">
        <f t="shared" si="0"/>
        <v>1.152064</v>
      </c>
      <c r="J25" s="15">
        <f t="shared" si="5"/>
        <v>8.6720639999999989</v>
      </c>
      <c r="K25" s="15">
        <f t="shared" si="1"/>
        <v>2.6016191999999995E-3</v>
      </c>
      <c r="L25" s="15">
        <f t="shared" si="6"/>
        <v>8.6694623807999989</v>
      </c>
      <c r="M25" s="69">
        <f t="shared" si="7"/>
        <v>43.347311903999994</v>
      </c>
      <c r="N25" s="77">
        <v>6.14</v>
      </c>
      <c r="O25" s="46">
        <f t="shared" si="8"/>
        <v>30.7</v>
      </c>
      <c r="P25" s="30" t="s">
        <v>135</v>
      </c>
      <c r="Q25" s="30">
        <v>545095</v>
      </c>
      <c r="R25" s="81">
        <f t="shared" si="4"/>
        <v>12.647311903999995</v>
      </c>
      <c r="S25" s="42">
        <f t="shared" si="3"/>
        <v>0.29176692506353386</v>
      </c>
    </row>
    <row r="26" spans="1:19" s="20" customFormat="1" ht="17.100000000000001" customHeight="1" x14ac:dyDescent="0.2">
      <c r="A26" s="19"/>
      <c r="B26" s="19"/>
      <c r="C26" s="19">
        <v>7139</v>
      </c>
      <c r="D26" s="19" t="s">
        <v>34</v>
      </c>
      <c r="E26" s="32" t="s">
        <v>148</v>
      </c>
      <c r="F26" s="19" t="s">
        <v>21</v>
      </c>
      <c r="G26" s="19">
        <v>10</v>
      </c>
      <c r="H26" s="58">
        <v>1.72</v>
      </c>
      <c r="I26" s="15">
        <f t="shared" si="0"/>
        <v>0.26350400000000002</v>
      </c>
      <c r="J26" s="15">
        <f t="shared" si="5"/>
        <v>1.9835039999999999</v>
      </c>
      <c r="K26" s="15">
        <f t="shared" si="1"/>
        <v>5.9505119999999994E-4</v>
      </c>
      <c r="L26" s="15">
        <f t="shared" si="6"/>
        <v>1.9829089488</v>
      </c>
      <c r="M26" s="69">
        <f t="shared" si="7"/>
        <v>19.829089488000001</v>
      </c>
      <c r="N26" s="77">
        <v>1.19</v>
      </c>
      <c r="O26" s="46">
        <f t="shared" si="8"/>
        <v>11.899999999999999</v>
      </c>
      <c r="P26" s="30" t="s">
        <v>135</v>
      </c>
      <c r="Q26" s="30">
        <v>545095</v>
      </c>
      <c r="R26" s="81">
        <f t="shared" si="4"/>
        <v>7.9290894880000025</v>
      </c>
      <c r="S26" s="42">
        <f t="shared" si="3"/>
        <v>0.39987158728586414</v>
      </c>
    </row>
    <row r="27" spans="1:19" s="20" customFormat="1" ht="17.100000000000001" customHeight="1" x14ac:dyDescent="0.2">
      <c r="A27" s="19"/>
      <c r="B27" s="19"/>
      <c r="C27" s="19">
        <v>7143</v>
      </c>
      <c r="D27" s="19" t="s">
        <v>34</v>
      </c>
      <c r="E27" s="32" t="s">
        <v>149</v>
      </c>
      <c r="F27" s="19" t="s">
        <v>21</v>
      </c>
      <c r="G27" s="19">
        <v>5</v>
      </c>
      <c r="H27" s="58">
        <v>41.68</v>
      </c>
      <c r="I27" s="15">
        <f t="shared" si="0"/>
        <v>6.3853759999999999</v>
      </c>
      <c r="J27" s="15">
        <f t="shared" si="5"/>
        <v>48.065376000000001</v>
      </c>
      <c r="K27" s="15">
        <f t="shared" si="1"/>
        <v>1.4419612799999999E-2</v>
      </c>
      <c r="L27" s="15">
        <f t="shared" si="6"/>
        <v>48.050956387200003</v>
      </c>
      <c r="M27" s="69">
        <f t="shared" si="7"/>
        <v>240.25478193600003</v>
      </c>
      <c r="N27" s="77">
        <v>30.59</v>
      </c>
      <c r="O27" s="46">
        <f t="shared" si="8"/>
        <v>152.94999999999999</v>
      </c>
      <c r="P27" s="30" t="s">
        <v>135</v>
      </c>
      <c r="Q27" s="30">
        <v>545095</v>
      </c>
      <c r="R27" s="81">
        <f t="shared" si="4"/>
        <v>87.30478193600004</v>
      </c>
      <c r="S27" s="42">
        <f t="shared" si="3"/>
        <v>0.36338415923499334</v>
      </c>
    </row>
    <row r="28" spans="1:19" s="20" customFormat="1" ht="17.100000000000001" customHeight="1" x14ac:dyDescent="0.2">
      <c r="A28" s="19"/>
      <c r="B28" s="19"/>
      <c r="C28" s="19">
        <v>7144</v>
      </c>
      <c r="D28" s="19" t="s">
        <v>34</v>
      </c>
      <c r="E28" s="32" t="s">
        <v>150</v>
      </c>
      <c r="F28" s="19" t="s">
        <v>21</v>
      </c>
      <c r="G28" s="19">
        <v>10</v>
      </c>
      <c r="H28" s="58">
        <v>83.37</v>
      </c>
      <c r="I28" s="15">
        <f t="shared" si="0"/>
        <v>12.772284000000001</v>
      </c>
      <c r="J28" s="15">
        <f t="shared" si="5"/>
        <v>96.142284000000004</v>
      </c>
      <c r="K28" s="15">
        <f t="shared" si="1"/>
        <v>2.8842685199999999E-2</v>
      </c>
      <c r="L28" s="15">
        <f t="shared" si="6"/>
        <v>96.113441314799999</v>
      </c>
      <c r="M28" s="69">
        <f t="shared" si="7"/>
        <v>961.13441314800002</v>
      </c>
      <c r="N28" s="77">
        <v>65.3</v>
      </c>
      <c r="O28" s="46">
        <f t="shared" si="8"/>
        <v>653</v>
      </c>
      <c r="P28" s="30" t="s">
        <v>135</v>
      </c>
      <c r="Q28" s="30">
        <v>545095</v>
      </c>
      <c r="R28" s="81">
        <f t="shared" si="4"/>
        <v>308.13441314800002</v>
      </c>
      <c r="S28" s="42">
        <f>1-(O28/M28)</f>
        <v>0.32059450679616031</v>
      </c>
    </row>
    <row r="29" spans="1:19" s="20" customFormat="1" ht="17.100000000000001" customHeight="1" x14ac:dyDescent="0.2">
      <c r="A29" s="19" t="s">
        <v>151</v>
      </c>
      <c r="B29" s="19" t="s">
        <v>53</v>
      </c>
      <c r="C29" s="19">
        <v>9868</v>
      </c>
      <c r="D29" s="19" t="s">
        <v>34</v>
      </c>
      <c r="E29" s="56" t="s">
        <v>152</v>
      </c>
      <c r="F29" s="19" t="s">
        <v>153</v>
      </c>
      <c r="G29" s="19">
        <v>60</v>
      </c>
      <c r="H29" s="27">
        <v>5.14</v>
      </c>
      <c r="I29" s="15">
        <f t="shared" si="0"/>
        <v>0.78744799999999993</v>
      </c>
      <c r="J29" s="15">
        <f t="shared" si="5"/>
        <v>5.9274480000000001</v>
      </c>
      <c r="K29" s="15">
        <f t="shared" si="1"/>
        <v>1.7782343999999998E-3</v>
      </c>
      <c r="L29" s="15">
        <f t="shared" si="6"/>
        <v>5.9256697656000004</v>
      </c>
      <c r="M29" s="69">
        <f t="shared" si="7"/>
        <v>355.540185936</v>
      </c>
      <c r="N29" s="77">
        <v>4.33</v>
      </c>
      <c r="O29" s="46">
        <f t="shared" si="8"/>
        <v>259.8</v>
      </c>
      <c r="P29" s="30" t="s">
        <v>135</v>
      </c>
      <c r="Q29" s="30">
        <v>545095</v>
      </c>
      <c r="R29" s="81">
        <f t="shared" si="4"/>
        <v>95.740185935999989</v>
      </c>
      <c r="S29" s="42">
        <f>1-(O29/M29)</f>
        <v>0.26928091316584379</v>
      </c>
    </row>
    <row r="30" spans="1:19" s="20" customFormat="1" ht="17.100000000000001" customHeight="1" x14ac:dyDescent="0.2">
      <c r="A30" s="19"/>
      <c r="B30" s="19"/>
      <c r="C30" s="19">
        <v>9872</v>
      </c>
      <c r="D30" s="19" t="s">
        <v>34</v>
      </c>
      <c r="E30" s="32" t="s">
        <v>154</v>
      </c>
      <c r="F30" s="19" t="s">
        <v>111</v>
      </c>
      <c r="G30" s="19">
        <v>24</v>
      </c>
      <c r="H30" s="58">
        <v>67.97</v>
      </c>
      <c r="I30" s="15">
        <f t="shared" si="0"/>
        <v>10.413004000000001</v>
      </c>
      <c r="J30" s="15">
        <f t="shared" si="5"/>
        <v>78.383004</v>
      </c>
      <c r="K30" s="15">
        <f t="shared" si="1"/>
        <v>2.3514901199999997E-2</v>
      </c>
      <c r="L30" s="15">
        <f t="shared" si="6"/>
        <v>78.359489098799997</v>
      </c>
      <c r="M30" s="69">
        <f t="shared" si="7"/>
        <v>1880.6277383711999</v>
      </c>
      <c r="N30" s="77">
        <v>72.36</v>
      </c>
      <c r="O30" s="46">
        <f t="shared" si="8"/>
        <v>1736.6399999999999</v>
      </c>
      <c r="P30" s="30" t="s">
        <v>135</v>
      </c>
      <c r="Q30" s="30">
        <v>545095</v>
      </c>
      <c r="R30" s="81">
        <f t="shared" si="4"/>
        <v>143.98773837120007</v>
      </c>
      <c r="S30" s="42">
        <f>1-(O30/M30)</f>
        <v>7.6563657673106023E-2</v>
      </c>
    </row>
    <row r="31" spans="1:19" s="20" customFormat="1" ht="17.100000000000001" customHeight="1" x14ac:dyDescent="0.2">
      <c r="A31" s="19" t="s">
        <v>91</v>
      </c>
      <c r="B31" s="19" t="s">
        <v>53</v>
      </c>
      <c r="C31" s="30">
        <v>377</v>
      </c>
      <c r="D31" s="19" t="s">
        <v>34</v>
      </c>
      <c r="E31" s="51" t="s">
        <v>112</v>
      </c>
      <c r="F31" s="19" t="s">
        <v>21</v>
      </c>
      <c r="G31" s="19">
        <v>10</v>
      </c>
      <c r="H31" s="31">
        <v>42.48</v>
      </c>
      <c r="I31" s="15">
        <f t="shared" si="0"/>
        <v>6.5079359999999999</v>
      </c>
      <c r="J31" s="15">
        <f t="shared" ref="J31:J49" si="9">H31+I31</f>
        <v>48.987935999999998</v>
      </c>
      <c r="K31" s="15">
        <f t="shared" si="1"/>
        <v>1.4696380799999999E-2</v>
      </c>
      <c r="L31" s="15">
        <f t="shared" ref="L31:L49" si="10">J31-K31</f>
        <v>48.973239619200001</v>
      </c>
      <c r="M31" s="69">
        <f t="shared" ref="M31:M49" si="11">L31*G31</f>
        <v>489.73239619200001</v>
      </c>
      <c r="N31" s="77">
        <v>38.299999999999997</v>
      </c>
      <c r="O31" s="46">
        <f t="shared" si="8"/>
        <v>383</v>
      </c>
      <c r="P31" s="30" t="s">
        <v>135</v>
      </c>
      <c r="Q31" s="30">
        <v>547866</v>
      </c>
      <c r="R31" s="81">
        <f t="shared" si="4"/>
        <v>106.73239619200001</v>
      </c>
      <c r="S31" s="42">
        <f>1-(O31/M31)</f>
        <v>0.21794024046993099</v>
      </c>
    </row>
    <row r="32" spans="1:19" s="20" customFormat="1" ht="17.100000000000001" customHeight="1" x14ac:dyDescent="0.2">
      <c r="A32" s="19" t="s">
        <v>102</v>
      </c>
      <c r="B32" s="19" t="s">
        <v>53</v>
      </c>
      <c r="C32" s="19">
        <v>11762</v>
      </c>
      <c r="D32" s="19" t="s">
        <v>34</v>
      </c>
      <c r="E32" s="51" t="s">
        <v>116</v>
      </c>
      <c r="F32" s="19" t="s">
        <v>21</v>
      </c>
      <c r="G32" s="19">
        <v>10</v>
      </c>
      <c r="H32" s="27">
        <v>49.2</v>
      </c>
      <c r="I32" s="15">
        <f t="shared" si="0"/>
        <v>7.5374400000000001</v>
      </c>
      <c r="J32" s="15">
        <f t="shared" si="9"/>
        <v>56.737440000000007</v>
      </c>
      <c r="K32" s="15">
        <f t="shared" si="1"/>
        <v>1.7021232000000001E-2</v>
      </c>
      <c r="L32" s="15">
        <f t="shared" si="10"/>
        <v>56.720418768000009</v>
      </c>
      <c r="M32" s="69">
        <f t="shared" si="11"/>
        <v>567.20418768000013</v>
      </c>
      <c r="N32" s="77">
        <v>35.39</v>
      </c>
      <c r="O32" s="46">
        <f t="shared" si="8"/>
        <v>353.9</v>
      </c>
      <c r="P32" s="30" t="s">
        <v>135</v>
      </c>
      <c r="Q32" s="30">
        <v>547866</v>
      </c>
      <c r="R32" s="81">
        <f t="shared" si="4"/>
        <v>213.30418768000015</v>
      </c>
      <c r="S32" s="42">
        <f t="shared" ref="S32:S38" si="12">1-(O32/M32)</f>
        <v>0.37606243450434484</v>
      </c>
    </row>
    <row r="33" spans="1:19" s="20" customFormat="1" ht="17.100000000000001" customHeight="1" x14ac:dyDescent="0.2">
      <c r="A33" s="19" t="s">
        <v>93</v>
      </c>
      <c r="B33" s="19" t="s">
        <v>53</v>
      </c>
      <c r="C33" s="19">
        <v>4376</v>
      </c>
      <c r="D33" s="19" t="s">
        <v>34</v>
      </c>
      <c r="E33" s="52" t="s">
        <v>155</v>
      </c>
      <c r="F33" s="19" t="s">
        <v>21</v>
      </c>
      <c r="G33" s="19">
        <v>100</v>
      </c>
      <c r="H33" s="27">
        <v>0.17</v>
      </c>
      <c r="I33" s="15">
        <f t="shared" si="0"/>
        <v>2.6044000000000001E-2</v>
      </c>
      <c r="J33" s="15">
        <f t="shared" si="9"/>
        <v>0.19604400000000002</v>
      </c>
      <c r="K33" s="15">
        <f t="shared" si="1"/>
        <v>5.8813200000000001E-5</v>
      </c>
      <c r="L33" s="15">
        <f t="shared" si="10"/>
        <v>0.19598518680000002</v>
      </c>
      <c r="M33" s="69">
        <f t="shared" si="11"/>
        <v>19.598518680000002</v>
      </c>
      <c r="N33" s="77">
        <v>0.12</v>
      </c>
      <c r="O33" s="46">
        <f t="shared" ref="O33:O41" si="13">N33*G33</f>
        <v>12</v>
      </c>
      <c r="P33" s="30" t="s">
        <v>135</v>
      </c>
      <c r="Q33" s="30">
        <v>547866</v>
      </c>
      <c r="R33" s="81">
        <f t="shared" si="4"/>
        <v>7.5985186800000015</v>
      </c>
      <c r="S33" s="42">
        <f t="shared" si="12"/>
        <v>0.38770882657341743</v>
      </c>
    </row>
    <row r="34" spans="1:19" s="20" customFormat="1" ht="17.100000000000001" customHeight="1" x14ac:dyDescent="0.2">
      <c r="A34" s="19"/>
      <c r="B34" s="19"/>
      <c r="C34" s="19">
        <v>4375</v>
      </c>
      <c r="D34" s="19" t="s">
        <v>34</v>
      </c>
      <c r="E34" s="52" t="s">
        <v>156</v>
      </c>
      <c r="F34" s="19" t="s">
        <v>21</v>
      </c>
      <c r="G34" s="19">
        <v>50</v>
      </c>
      <c r="H34" s="27">
        <v>0.09</v>
      </c>
      <c r="I34" s="15">
        <f t="shared" si="0"/>
        <v>1.3788E-2</v>
      </c>
      <c r="J34" s="15">
        <f t="shared" si="9"/>
        <v>0.10378799999999999</v>
      </c>
      <c r="K34" s="15">
        <f t="shared" si="1"/>
        <v>3.1136399999999996E-5</v>
      </c>
      <c r="L34" s="15">
        <f t="shared" si="10"/>
        <v>0.10375686359999998</v>
      </c>
      <c r="M34" s="69">
        <f t="shared" si="11"/>
        <v>5.1878431799999989</v>
      </c>
      <c r="N34" s="77">
        <v>0.06</v>
      </c>
      <c r="O34" s="46">
        <f t="shared" si="13"/>
        <v>3</v>
      </c>
      <c r="P34" s="30" t="s">
        <v>135</v>
      </c>
      <c r="Q34" s="30">
        <v>547866</v>
      </c>
      <c r="R34" s="81">
        <f t="shared" si="4"/>
        <v>2.1878431799999989</v>
      </c>
      <c r="S34" s="42">
        <f t="shared" si="12"/>
        <v>0.42172500287489401</v>
      </c>
    </row>
    <row r="35" spans="1:19" s="20" customFormat="1" ht="17.100000000000001" customHeight="1" x14ac:dyDescent="0.2">
      <c r="A35" s="19" t="s">
        <v>92</v>
      </c>
      <c r="B35" s="19" t="s">
        <v>53</v>
      </c>
      <c r="C35" s="19">
        <v>20111</v>
      </c>
      <c r="D35" s="19" t="s">
        <v>34</v>
      </c>
      <c r="E35" s="32" t="s">
        <v>117</v>
      </c>
      <c r="F35" s="19" t="s">
        <v>21</v>
      </c>
      <c r="G35" s="19">
        <v>5</v>
      </c>
      <c r="H35" s="14">
        <v>18.14</v>
      </c>
      <c r="I35" s="15">
        <f t="shared" si="0"/>
        <v>2.779048</v>
      </c>
      <c r="J35" s="15">
        <f t="shared" si="9"/>
        <v>20.919048</v>
      </c>
      <c r="K35" s="15">
        <f t="shared" si="1"/>
        <v>6.2757143999999992E-3</v>
      </c>
      <c r="L35" s="15">
        <f t="shared" si="10"/>
        <v>20.912772285599999</v>
      </c>
      <c r="M35" s="69">
        <f t="shared" si="11"/>
        <v>104.563861428</v>
      </c>
      <c r="N35" s="77">
        <v>7.13</v>
      </c>
      <c r="O35" s="46">
        <f t="shared" si="13"/>
        <v>35.65</v>
      </c>
      <c r="P35" s="30" t="s">
        <v>135</v>
      </c>
      <c r="Q35" s="30">
        <v>547866</v>
      </c>
      <c r="R35" s="81">
        <f t="shared" si="4"/>
        <v>68.91386142799999</v>
      </c>
      <c r="S35" s="42">
        <f t="shared" si="12"/>
        <v>0.65906002788020901</v>
      </c>
    </row>
    <row r="36" spans="1:19" s="20" customFormat="1" ht="17.100000000000001" customHeight="1" x14ac:dyDescent="0.2">
      <c r="A36" s="19" t="s">
        <v>94</v>
      </c>
      <c r="B36" s="19" t="s">
        <v>53</v>
      </c>
      <c r="C36" s="19">
        <v>38194</v>
      </c>
      <c r="D36" s="19" t="s">
        <v>34</v>
      </c>
      <c r="E36" s="32" t="s">
        <v>157</v>
      </c>
      <c r="F36" s="19" t="s">
        <v>21</v>
      </c>
      <c r="G36" s="19">
        <v>20</v>
      </c>
      <c r="H36" s="14">
        <v>9.43</v>
      </c>
      <c r="I36" s="15">
        <f t="shared" si="0"/>
        <v>1.4446760000000001</v>
      </c>
      <c r="J36" s="15">
        <f t="shared" si="9"/>
        <v>10.874675999999999</v>
      </c>
      <c r="K36" s="15">
        <f t="shared" si="1"/>
        <v>3.2624027999999996E-3</v>
      </c>
      <c r="L36" s="15">
        <f t="shared" si="10"/>
        <v>10.871413597199998</v>
      </c>
      <c r="M36" s="69">
        <f t="shared" si="11"/>
        <v>217.42827194399996</v>
      </c>
      <c r="N36" s="77">
        <v>5.99</v>
      </c>
      <c r="O36" s="46">
        <f t="shared" si="13"/>
        <v>119.80000000000001</v>
      </c>
      <c r="P36" s="30" t="s">
        <v>135</v>
      </c>
      <c r="Q36" s="30">
        <v>547866</v>
      </c>
      <c r="R36" s="81">
        <f t="shared" si="4"/>
        <v>97.628271943999948</v>
      </c>
      <c r="S36" s="42">
        <f t="shared" si="12"/>
        <v>0.44901369574028871</v>
      </c>
    </row>
    <row r="37" spans="1:19" s="20" customFormat="1" ht="17.100000000000001" customHeight="1" x14ac:dyDescent="0.2">
      <c r="A37" s="19"/>
      <c r="B37" s="19"/>
      <c r="C37" s="19">
        <v>3864</v>
      </c>
      <c r="D37" s="19" t="s">
        <v>34</v>
      </c>
      <c r="E37" s="52" t="s">
        <v>158</v>
      </c>
      <c r="F37" s="19" t="s">
        <v>21</v>
      </c>
      <c r="G37" s="19">
        <v>15</v>
      </c>
      <c r="H37" s="27">
        <v>19.8</v>
      </c>
      <c r="I37" s="15">
        <f t="shared" si="0"/>
        <v>3.0333600000000001</v>
      </c>
      <c r="J37" s="15">
        <f t="shared" si="9"/>
        <v>22.833359999999999</v>
      </c>
      <c r="K37" s="15">
        <f t="shared" si="1"/>
        <v>6.8500079999999994E-3</v>
      </c>
      <c r="L37" s="15">
        <f t="shared" si="10"/>
        <v>22.826509991999998</v>
      </c>
      <c r="M37" s="69">
        <f t="shared" si="11"/>
        <v>342.39764987999996</v>
      </c>
      <c r="N37" s="77">
        <v>15.01</v>
      </c>
      <c r="O37" s="46">
        <f t="shared" si="13"/>
        <v>225.15</v>
      </c>
      <c r="P37" s="30" t="s">
        <v>135</v>
      </c>
      <c r="Q37" s="30">
        <v>547866</v>
      </c>
      <c r="R37" s="81">
        <f t="shared" si="4"/>
        <v>117.24764987999995</v>
      </c>
      <c r="S37" s="42">
        <f t="shared" si="12"/>
        <v>0.34243123432970912</v>
      </c>
    </row>
    <row r="38" spans="1:19" s="20" customFormat="1" ht="17.100000000000001" customHeight="1" x14ac:dyDescent="0.2">
      <c r="A38" s="19"/>
      <c r="B38" s="19"/>
      <c r="C38" s="19">
        <v>38063</v>
      </c>
      <c r="D38" s="19" t="s">
        <v>34</v>
      </c>
      <c r="E38" s="52" t="s">
        <v>159</v>
      </c>
      <c r="F38" s="19" t="s">
        <v>21</v>
      </c>
      <c r="G38" s="19">
        <v>10</v>
      </c>
      <c r="H38" s="27">
        <v>9.5500000000000007</v>
      </c>
      <c r="I38" s="15">
        <f t="shared" si="0"/>
        <v>1.46306</v>
      </c>
      <c r="J38" s="15">
        <f t="shared" si="9"/>
        <v>11.013060000000001</v>
      </c>
      <c r="K38" s="15">
        <f t="shared" si="1"/>
        <v>3.3039179999999999E-3</v>
      </c>
      <c r="L38" s="15">
        <f t="shared" si="10"/>
        <v>11.009756082000001</v>
      </c>
      <c r="M38" s="69">
        <f t="shared" si="11"/>
        <v>110.09756082000001</v>
      </c>
      <c r="N38" s="77">
        <v>5.81</v>
      </c>
      <c r="O38" s="46">
        <f t="shared" si="13"/>
        <v>58.099999999999994</v>
      </c>
      <c r="P38" s="30" t="s">
        <v>135</v>
      </c>
      <c r="Q38" s="30">
        <v>547866</v>
      </c>
      <c r="R38" s="81">
        <f t="shared" si="4"/>
        <v>51.997560820000018</v>
      </c>
      <c r="S38" s="42">
        <f t="shared" si="12"/>
        <v>0.47228621990101605</v>
      </c>
    </row>
    <row r="39" spans="1:19" s="20" customFormat="1" ht="17.100000000000001" customHeight="1" x14ac:dyDescent="0.2">
      <c r="A39" s="19" t="s">
        <v>103</v>
      </c>
      <c r="B39" s="19" t="s">
        <v>53</v>
      </c>
      <c r="C39" s="19">
        <v>13813</v>
      </c>
      <c r="D39" s="19" t="s">
        <v>160</v>
      </c>
      <c r="E39" s="62" t="s">
        <v>161</v>
      </c>
      <c r="F39" s="19" t="s">
        <v>21</v>
      </c>
      <c r="G39" s="19">
        <v>10</v>
      </c>
      <c r="H39" s="37">
        <v>156.19999999999999</v>
      </c>
      <c r="I39" s="15">
        <f t="shared" si="0"/>
        <v>23.929839999999999</v>
      </c>
      <c r="J39" s="15">
        <f t="shared" si="9"/>
        <v>180.12984</v>
      </c>
      <c r="K39" s="15">
        <f t="shared" si="1"/>
        <v>5.4038951999999994E-2</v>
      </c>
      <c r="L39" s="15">
        <f t="shared" si="10"/>
        <v>180.07580104799999</v>
      </c>
      <c r="M39" s="69">
        <f t="shared" si="11"/>
        <v>1800.7580104799999</v>
      </c>
      <c r="N39" s="77">
        <v>146.16999999999999</v>
      </c>
      <c r="O39" s="46">
        <f t="shared" si="13"/>
        <v>1461.6999999999998</v>
      </c>
      <c r="P39" s="30" t="s">
        <v>135</v>
      </c>
      <c r="Q39" s="30">
        <v>547866</v>
      </c>
      <c r="R39" s="81">
        <f t="shared" si="4"/>
        <v>339.05801048000012</v>
      </c>
      <c r="S39" s="42">
        <f>1-(O39/M39)</f>
        <v>0.18828627084081262</v>
      </c>
    </row>
    <row r="40" spans="1:19" s="20" customFormat="1" ht="17.100000000000001" customHeight="1" x14ac:dyDescent="0.2">
      <c r="A40" s="19" t="s">
        <v>162</v>
      </c>
      <c r="B40" s="19" t="s">
        <v>53</v>
      </c>
      <c r="C40" s="19">
        <v>36791</v>
      </c>
      <c r="D40" s="19" t="s">
        <v>34</v>
      </c>
      <c r="E40" s="63" t="s">
        <v>109</v>
      </c>
      <c r="F40" s="19" t="s">
        <v>21</v>
      </c>
      <c r="G40" s="19">
        <v>15</v>
      </c>
      <c r="H40" s="37">
        <v>117.09</v>
      </c>
      <c r="I40" s="15">
        <f t="shared" si="0"/>
        <v>17.938188</v>
      </c>
      <c r="J40" s="15">
        <f t="shared" si="9"/>
        <v>135.028188</v>
      </c>
      <c r="K40" s="15">
        <f t="shared" si="1"/>
        <v>4.0508456399999997E-2</v>
      </c>
      <c r="L40" s="15">
        <f t="shared" si="10"/>
        <v>134.9876795436</v>
      </c>
      <c r="M40" s="69">
        <f t="shared" si="11"/>
        <v>2024.8151931539999</v>
      </c>
      <c r="N40" s="77">
        <v>68.260000000000005</v>
      </c>
      <c r="O40" s="46">
        <f t="shared" si="13"/>
        <v>1023.9000000000001</v>
      </c>
      <c r="P40" s="30" t="s">
        <v>135</v>
      </c>
      <c r="Q40" s="30">
        <v>547866</v>
      </c>
      <c r="R40" s="81">
        <f t="shared" si="4"/>
        <v>1000.9151931539998</v>
      </c>
      <c r="S40" s="42">
        <f>1-(O40/M40)</f>
        <v>0.49432422106380047</v>
      </c>
    </row>
    <row r="41" spans="1:19" s="20" customFormat="1" ht="17.100000000000001" customHeight="1" x14ac:dyDescent="0.2">
      <c r="A41" s="19" t="s">
        <v>91</v>
      </c>
      <c r="B41" s="19" t="s">
        <v>53</v>
      </c>
      <c r="C41" s="30">
        <v>142</v>
      </c>
      <c r="D41" s="19" t="s">
        <v>34</v>
      </c>
      <c r="E41" s="32" t="s">
        <v>113</v>
      </c>
      <c r="F41" s="19" t="s">
        <v>21</v>
      </c>
      <c r="G41" s="19">
        <v>60</v>
      </c>
      <c r="H41" s="14">
        <v>36.299999999999997</v>
      </c>
      <c r="I41" s="15">
        <f t="shared" si="0"/>
        <v>5.5611600000000001</v>
      </c>
      <c r="J41" s="15">
        <f t="shared" si="9"/>
        <v>41.861159999999998</v>
      </c>
      <c r="K41" s="15">
        <f t="shared" si="1"/>
        <v>1.2558347999999999E-2</v>
      </c>
      <c r="L41" s="15">
        <f t="shared" si="10"/>
        <v>41.848601651999999</v>
      </c>
      <c r="M41" s="69">
        <f t="shared" si="11"/>
        <v>2510.9160991200001</v>
      </c>
      <c r="N41" s="77">
        <v>25.57</v>
      </c>
      <c r="O41" s="46">
        <f t="shared" si="13"/>
        <v>1534.2</v>
      </c>
      <c r="P41" s="30" t="s">
        <v>135</v>
      </c>
      <c r="Q41" s="30">
        <v>547866</v>
      </c>
      <c r="R41" s="81">
        <f t="shared" si="4"/>
        <v>976.71609912000008</v>
      </c>
      <c r="S41" s="42">
        <f>1-(O41/M41)</f>
        <v>0.3889879472525225</v>
      </c>
    </row>
    <row r="42" spans="1:19" s="20" customFormat="1" ht="17.100000000000001" customHeight="1" x14ac:dyDescent="0.2">
      <c r="A42" s="19" t="s">
        <v>104</v>
      </c>
      <c r="B42" s="19" t="s">
        <v>53</v>
      </c>
      <c r="C42" s="19">
        <v>3874</v>
      </c>
      <c r="D42" s="19" t="s">
        <v>34</v>
      </c>
      <c r="E42" s="53" t="s">
        <v>147</v>
      </c>
      <c r="F42" s="19" t="s">
        <v>21</v>
      </c>
      <c r="G42" s="19">
        <v>5</v>
      </c>
      <c r="H42" s="27">
        <v>7.52</v>
      </c>
      <c r="I42" s="15">
        <f t="shared" si="0"/>
        <v>1.152064</v>
      </c>
      <c r="J42" s="15">
        <f t="shared" si="9"/>
        <v>8.6720639999999989</v>
      </c>
      <c r="K42" s="15">
        <f t="shared" si="1"/>
        <v>2.6016191999999995E-3</v>
      </c>
      <c r="L42" s="15">
        <f t="shared" si="10"/>
        <v>8.6694623807999989</v>
      </c>
      <c r="M42" s="69">
        <f t="shared" si="11"/>
        <v>43.347311903999994</v>
      </c>
      <c r="N42" s="77">
        <v>5.87</v>
      </c>
      <c r="O42" s="46">
        <f t="shared" ref="O42:O47" si="14">N42*G42</f>
        <v>29.35</v>
      </c>
      <c r="P42" s="30" t="s">
        <v>135</v>
      </c>
      <c r="Q42" s="30">
        <v>547866</v>
      </c>
      <c r="R42" s="81">
        <f t="shared" si="4"/>
        <v>13.997311903999993</v>
      </c>
      <c r="S42" s="42">
        <f>1-(O42/M42)</f>
        <v>0.32291072477572369</v>
      </c>
    </row>
    <row r="43" spans="1:19" s="20" customFormat="1" ht="17.100000000000001" customHeight="1" x14ac:dyDescent="0.2">
      <c r="A43" s="19" t="s">
        <v>106</v>
      </c>
      <c r="B43" s="19" t="s">
        <v>53</v>
      </c>
      <c r="C43" s="19" t="s">
        <v>164</v>
      </c>
      <c r="D43" s="19" t="s">
        <v>34</v>
      </c>
      <c r="E43" s="50" t="s">
        <v>165</v>
      </c>
      <c r="F43" s="19" t="s">
        <v>21</v>
      </c>
      <c r="G43" s="19">
        <v>20</v>
      </c>
      <c r="H43" s="58">
        <v>78.02</v>
      </c>
      <c r="I43" s="15">
        <f t="shared" si="0"/>
        <v>11.952664</v>
      </c>
      <c r="J43" s="15">
        <f t="shared" si="9"/>
        <v>89.972663999999995</v>
      </c>
      <c r="K43" s="15">
        <f>J43*0.03</f>
        <v>2.6991799199999997</v>
      </c>
      <c r="L43" s="15">
        <f t="shared" si="10"/>
        <v>87.273484079999989</v>
      </c>
      <c r="M43" s="69">
        <f t="shared" si="11"/>
        <v>1745.4696815999998</v>
      </c>
      <c r="N43" s="77">
        <f>M43/M$28</f>
        <v>1.8160515924958607</v>
      </c>
      <c r="O43" s="46">
        <f t="shared" si="14"/>
        <v>36.321031849917212</v>
      </c>
      <c r="P43" s="30" t="s">
        <v>135</v>
      </c>
      <c r="Q43" s="30">
        <v>547866</v>
      </c>
      <c r="R43" s="81">
        <f t="shared" si="4"/>
        <v>1709.1486497500825</v>
      </c>
      <c r="S43" s="42">
        <f>1-(O43/M43)</f>
        <v>0.97919125595087775</v>
      </c>
    </row>
    <row r="44" spans="1:19" s="20" customFormat="1" ht="17.100000000000001" customHeight="1" x14ac:dyDescent="0.2">
      <c r="A44" s="19" t="s">
        <v>166</v>
      </c>
      <c r="B44" s="19" t="s">
        <v>53</v>
      </c>
      <c r="C44" s="19">
        <v>20971</v>
      </c>
      <c r="D44" s="19" t="s">
        <v>34</v>
      </c>
      <c r="E44" s="39" t="s">
        <v>167</v>
      </c>
      <c r="F44" s="19" t="s">
        <v>21</v>
      </c>
      <c r="G44" s="19">
        <v>1</v>
      </c>
      <c r="H44" s="34">
        <v>25.33</v>
      </c>
      <c r="I44" s="15">
        <f t="shared" si="0"/>
        <v>3.8805559999999999</v>
      </c>
      <c r="J44" s="15">
        <f t="shared" si="9"/>
        <v>29.210555999999997</v>
      </c>
      <c r="K44" s="15">
        <f t="shared" ref="K44:K49" si="15">J44*(0.03%)</f>
        <v>8.7631667999999979E-3</v>
      </c>
      <c r="L44" s="15">
        <f t="shared" si="10"/>
        <v>29.201792833199995</v>
      </c>
      <c r="M44" s="69">
        <f t="shared" si="11"/>
        <v>29.201792833199995</v>
      </c>
      <c r="N44" s="77">
        <v>22</v>
      </c>
      <c r="O44" s="46">
        <f t="shared" si="14"/>
        <v>22</v>
      </c>
      <c r="P44" s="32" t="s">
        <v>197</v>
      </c>
      <c r="Q44" s="32"/>
      <c r="R44" s="81">
        <f t="shared" si="4"/>
        <v>7.2017928331999954</v>
      </c>
      <c r="S44" s="42">
        <f t="shared" ref="S44:S49" si="16">1-(O44/M44)</f>
        <v>0.24662159869212408</v>
      </c>
    </row>
    <row r="45" spans="1:19" s="20" customFormat="1" ht="17.100000000000001" customHeight="1" x14ac:dyDescent="0.2">
      <c r="A45" s="19" t="s">
        <v>168</v>
      </c>
      <c r="B45" s="19" t="s">
        <v>53</v>
      </c>
      <c r="C45" s="19">
        <v>37554</v>
      </c>
      <c r="D45" s="19" t="s">
        <v>34</v>
      </c>
      <c r="E45" s="32" t="s">
        <v>169</v>
      </c>
      <c r="F45" s="19" t="s">
        <v>21</v>
      </c>
      <c r="G45" s="19">
        <v>2</v>
      </c>
      <c r="H45" s="34">
        <v>312.38</v>
      </c>
      <c r="I45" s="15">
        <f t="shared" si="0"/>
        <v>47.856616000000002</v>
      </c>
      <c r="J45" s="15">
        <f t="shared" si="9"/>
        <v>360.23661600000003</v>
      </c>
      <c r="K45" s="15">
        <f t="shared" si="15"/>
        <v>0.10807098479999999</v>
      </c>
      <c r="L45" s="15">
        <f t="shared" si="10"/>
        <v>360.12854501520002</v>
      </c>
      <c r="M45" s="69">
        <f t="shared" si="11"/>
        <v>720.25709003040004</v>
      </c>
      <c r="N45" s="77">
        <v>260</v>
      </c>
      <c r="O45" s="46">
        <f t="shared" si="14"/>
        <v>520</v>
      </c>
      <c r="P45" s="32" t="s">
        <v>197</v>
      </c>
      <c r="Q45" s="32"/>
      <c r="R45" s="81">
        <f t="shared" si="4"/>
        <v>200.25709003040004</v>
      </c>
      <c r="S45" s="42">
        <f t="shared" si="16"/>
        <v>0.27803556924645856</v>
      </c>
    </row>
    <row r="46" spans="1:19" s="20" customFormat="1" ht="17.100000000000001" customHeight="1" x14ac:dyDescent="0.2">
      <c r="A46" s="19" t="s">
        <v>170</v>
      </c>
      <c r="B46" s="19" t="s">
        <v>53</v>
      </c>
      <c r="C46" s="19">
        <v>37530</v>
      </c>
      <c r="D46" s="19" t="s">
        <v>34</v>
      </c>
      <c r="E46" s="39" t="s">
        <v>171</v>
      </c>
      <c r="F46" s="19" t="s">
        <v>21</v>
      </c>
      <c r="G46" s="19">
        <v>2</v>
      </c>
      <c r="H46" s="34">
        <v>823.66</v>
      </c>
      <c r="I46" s="15">
        <f t="shared" si="0"/>
        <v>126.18471199999999</v>
      </c>
      <c r="J46" s="15">
        <f t="shared" si="9"/>
        <v>949.84471199999996</v>
      </c>
      <c r="K46" s="15">
        <f t="shared" si="15"/>
        <v>0.28495341359999998</v>
      </c>
      <c r="L46" s="15">
        <f t="shared" si="10"/>
        <v>949.55975858639999</v>
      </c>
      <c r="M46" s="69">
        <f t="shared" si="11"/>
        <v>1899.1195171728</v>
      </c>
      <c r="N46" s="77">
        <v>500</v>
      </c>
      <c r="O46" s="46">
        <f t="shared" si="14"/>
        <v>1000</v>
      </c>
      <c r="P46" s="32" t="s">
        <v>197</v>
      </c>
      <c r="Q46" s="32"/>
      <c r="R46" s="81">
        <f t="shared" si="4"/>
        <v>899.11951717279999</v>
      </c>
      <c r="S46" s="42">
        <f t="shared" si="16"/>
        <v>0.4734401963870658</v>
      </c>
    </row>
    <row r="47" spans="1:19" s="20" customFormat="1" ht="17.100000000000001" customHeight="1" x14ac:dyDescent="0.2">
      <c r="A47" s="19" t="s">
        <v>172</v>
      </c>
      <c r="B47" s="19" t="s">
        <v>53</v>
      </c>
      <c r="C47" s="19">
        <v>10892</v>
      </c>
      <c r="D47" s="19" t="s">
        <v>34</v>
      </c>
      <c r="E47" s="38" t="s">
        <v>180</v>
      </c>
      <c r="F47" s="19" t="s">
        <v>21</v>
      </c>
      <c r="G47" s="19">
        <v>3</v>
      </c>
      <c r="H47" s="34">
        <v>196</v>
      </c>
      <c r="I47" s="15">
        <f t="shared" si="0"/>
        <v>30.027200000000001</v>
      </c>
      <c r="J47" s="15">
        <f t="shared" si="9"/>
        <v>226.02719999999999</v>
      </c>
      <c r="K47" s="15">
        <f t="shared" si="15"/>
        <v>6.7808159999999992E-2</v>
      </c>
      <c r="L47" s="15">
        <f t="shared" si="10"/>
        <v>225.95939183999999</v>
      </c>
      <c r="M47" s="69">
        <f t="shared" si="11"/>
        <v>677.87817552000001</v>
      </c>
      <c r="N47" s="77">
        <v>180</v>
      </c>
      <c r="O47" s="46">
        <f t="shared" si="14"/>
        <v>540</v>
      </c>
      <c r="P47" s="32" t="s">
        <v>197</v>
      </c>
      <c r="Q47" s="32"/>
      <c r="R47" s="81">
        <f t="shared" si="4"/>
        <v>137.87817552000001</v>
      </c>
      <c r="S47" s="42">
        <f t="shared" si="16"/>
        <v>0.20339668763378282</v>
      </c>
    </row>
    <row r="48" spans="1:19" s="20" customFormat="1" ht="17.100000000000001" customHeight="1" x14ac:dyDescent="0.2">
      <c r="A48" s="19" t="s">
        <v>174</v>
      </c>
      <c r="B48" s="19" t="s">
        <v>53</v>
      </c>
      <c r="C48" s="19" t="s">
        <v>175</v>
      </c>
      <c r="D48" s="19" t="s">
        <v>173</v>
      </c>
      <c r="E48" s="32" t="s">
        <v>176</v>
      </c>
      <c r="F48" s="19" t="s">
        <v>110</v>
      </c>
      <c r="G48" s="19">
        <v>4</v>
      </c>
      <c r="H48" s="34">
        <v>9.48</v>
      </c>
      <c r="I48" s="15">
        <f t="shared" si="0"/>
        <v>1.4523360000000001</v>
      </c>
      <c r="J48" s="15">
        <f t="shared" si="9"/>
        <v>10.932336000000001</v>
      </c>
      <c r="K48" s="15">
        <f t="shared" si="15"/>
        <v>3.2797008000000002E-3</v>
      </c>
      <c r="L48" s="15">
        <f t="shared" si="10"/>
        <v>10.929056299200001</v>
      </c>
      <c r="M48" s="69">
        <f t="shared" si="11"/>
        <v>43.716225196800004</v>
      </c>
      <c r="N48" s="77">
        <v>30</v>
      </c>
      <c r="O48" s="46">
        <f>N48</f>
        <v>30</v>
      </c>
      <c r="P48" s="32" t="s">
        <v>197</v>
      </c>
      <c r="Q48" s="32"/>
      <c r="R48" s="81">
        <f t="shared" si="4"/>
        <v>13.716225196800004</v>
      </c>
      <c r="S48" s="42">
        <f t="shared" si="16"/>
        <v>0.31375593695596626</v>
      </c>
    </row>
    <row r="49" spans="1:19" s="20" customFormat="1" ht="17.100000000000001" customHeight="1" x14ac:dyDescent="0.2">
      <c r="A49" s="19" t="s">
        <v>177</v>
      </c>
      <c r="B49" s="19" t="s">
        <v>53</v>
      </c>
      <c r="C49" s="19" t="s">
        <v>178</v>
      </c>
      <c r="D49" s="19" t="s">
        <v>173</v>
      </c>
      <c r="E49" s="32" t="s">
        <v>179</v>
      </c>
      <c r="F49" s="19" t="s">
        <v>110</v>
      </c>
      <c r="G49" s="19">
        <v>6</v>
      </c>
      <c r="H49" s="34">
        <v>12.16</v>
      </c>
      <c r="I49" s="15">
        <f t="shared" si="0"/>
        <v>1.8629120000000001</v>
      </c>
      <c r="J49" s="15">
        <f t="shared" si="9"/>
        <v>14.022912</v>
      </c>
      <c r="K49" s="15">
        <f t="shared" si="15"/>
        <v>4.2068735999999992E-3</v>
      </c>
      <c r="L49" s="15">
        <f t="shared" si="10"/>
        <v>14.0187051264</v>
      </c>
      <c r="M49" s="69">
        <f t="shared" si="11"/>
        <v>84.112230758400003</v>
      </c>
      <c r="N49" s="77">
        <v>30</v>
      </c>
      <c r="O49" s="46">
        <f>N49</f>
        <v>30</v>
      </c>
      <c r="P49" s="32" t="s">
        <v>197</v>
      </c>
      <c r="Q49" s="32"/>
      <c r="R49" s="81">
        <f t="shared" si="4"/>
        <v>54.112230758400003</v>
      </c>
      <c r="S49" s="42">
        <f t="shared" si="16"/>
        <v>0.64333367776000872</v>
      </c>
    </row>
    <row r="50" spans="1:19" s="20" customFormat="1" ht="17.100000000000001" customHeight="1" x14ac:dyDescent="0.2">
      <c r="A50" s="19"/>
      <c r="B50" s="19"/>
      <c r="C50" s="19"/>
      <c r="D50" s="19"/>
      <c r="E50" s="39"/>
      <c r="F50" s="19"/>
      <c r="G50" s="19"/>
      <c r="H50" s="34"/>
      <c r="I50" s="15"/>
      <c r="J50" s="15"/>
      <c r="K50" s="15"/>
      <c r="L50" s="15"/>
      <c r="M50" s="69"/>
      <c r="N50" s="77"/>
      <c r="O50" s="46"/>
      <c r="P50" s="32"/>
      <c r="Q50" s="32"/>
      <c r="R50" s="82"/>
    </row>
    <row r="51" spans="1:19" s="20" customFormat="1" ht="17.100000000000001" customHeight="1" thickBot="1" x14ac:dyDescent="0.25">
      <c r="A51" s="19"/>
      <c r="B51" s="19"/>
      <c r="C51" s="19"/>
      <c r="D51" s="19"/>
      <c r="E51" s="52"/>
      <c r="F51" s="19"/>
      <c r="G51" s="19"/>
      <c r="H51" s="27"/>
      <c r="I51" s="15"/>
      <c r="J51" s="15"/>
      <c r="K51" s="15"/>
      <c r="L51" s="15"/>
      <c r="M51" s="69"/>
      <c r="N51" s="85"/>
      <c r="O51" s="78"/>
      <c r="P51" s="79"/>
      <c r="Q51" s="79"/>
      <c r="R51" s="80"/>
      <c r="S51" s="42"/>
    </row>
    <row r="52" spans="1:19" s="20" customFormat="1" ht="17.100000000000001" customHeight="1" x14ac:dyDescent="0.2">
      <c r="A52" s="19"/>
      <c r="B52" s="19"/>
      <c r="C52" s="19"/>
      <c r="D52" s="19"/>
      <c r="E52" s="52"/>
      <c r="F52" s="19"/>
      <c r="G52" s="19"/>
      <c r="H52" s="27"/>
      <c r="I52" s="15"/>
      <c r="J52" s="15"/>
      <c r="K52" s="15"/>
      <c r="L52" s="15"/>
      <c r="M52" s="15"/>
      <c r="N52" s="86"/>
      <c r="O52" s="71"/>
      <c r="P52" s="72"/>
      <c r="Q52" s="72"/>
      <c r="R52" s="73"/>
      <c r="S52" s="42"/>
    </row>
    <row r="53" spans="1:19" s="20" customFormat="1" ht="17.100000000000001" customHeight="1" x14ac:dyDescent="0.2">
      <c r="A53" s="19"/>
      <c r="B53" s="19"/>
      <c r="C53" s="19"/>
      <c r="D53" s="19"/>
      <c r="E53" s="52"/>
      <c r="F53" s="19"/>
      <c r="G53" s="19"/>
      <c r="H53" s="27"/>
      <c r="I53" s="15"/>
      <c r="J53" s="15"/>
      <c r="K53" s="15"/>
      <c r="L53" s="15"/>
      <c r="M53" s="15"/>
      <c r="N53" s="45"/>
      <c r="O53" s="46"/>
      <c r="P53" s="30"/>
      <c r="Q53" s="30"/>
      <c r="R53" s="44"/>
      <c r="S53" s="42"/>
    </row>
    <row r="54" spans="1:19" s="20" customFormat="1" ht="17.100000000000001" customHeight="1" x14ac:dyDescent="0.2">
      <c r="A54" s="19"/>
      <c r="B54" s="19"/>
      <c r="C54" s="19"/>
      <c r="D54" s="19"/>
      <c r="E54" s="32"/>
      <c r="F54" s="19"/>
      <c r="G54" s="19"/>
      <c r="H54" s="58"/>
      <c r="I54" s="15"/>
      <c r="J54" s="15"/>
      <c r="K54" s="15"/>
      <c r="L54" s="15"/>
      <c r="M54" s="15"/>
      <c r="N54" s="45"/>
      <c r="O54" s="46"/>
      <c r="P54" s="30"/>
      <c r="Q54" s="30"/>
      <c r="R54" s="44"/>
      <c r="S54" s="42"/>
    </row>
    <row r="55" spans="1:19" s="20" customFormat="1" ht="17.100000000000001" customHeight="1" x14ac:dyDescent="0.2">
      <c r="A55" s="19"/>
      <c r="B55" s="19"/>
      <c r="C55" s="30"/>
      <c r="D55" s="19"/>
      <c r="E55" s="51"/>
      <c r="F55" s="19"/>
      <c r="G55" s="19"/>
      <c r="H55" s="31"/>
      <c r="I55" s="15"/>
      <c r="J55" s="15"/>
      <c r="K55" s="15"/>
      <c r="L55" s="15"/>
      <c r="M55" s="15"/>
      <c r="N55" s="45"/>
      <c r="O55" s="46"/>
      <c r="P55" s="30"/>
      <c r="Q55" s="30"/>
      <c r="R55" s="44"/>
      <c r="S55" s="42"/>
    </row>
    <row r="56" spans="1:19" s="20" customFormat="1" ht="17.100000000000001" customHeight="1" x14ac:dyDescent="0.2">
      <c r="A56" s="19"/>
      <c r="B56" s="19"/>
      <c r="C56" s="30"/>
      <c r="D56" s="19"/>
      <c r="E56" s="51"/>
      <c r="F56" s="19"/>
      <c r="G56" s="19"/>
      <c r="H56" s="31"/>
      <c r="I56" s="15"/>
      <c r="J56" s="15"/>
      <c r="K56" s="15"/>
      <c r="L56" s="15"/>
      <c r="M56" s="15"/>
      <c r="N56" s="45"/>
      <c r="O56" s="46"/>
      <c r="P56" s="30"/>
      <c r="Q56" s="30"/>
      <c r="R56" s="44"/>
      <c r="S56" s="42"/>
    </row>
    <row r="57" spans="1:19" s="20" customFormat="1" ht="17.100000000000001" customHeight="1" x14ac:dyDescent="0.2">
      <c r="A57" s="19"/>
      <c r="B57" s="19"/>
      <c r="C57" s="19"/>
      <c r="D57" s="19"/>
      <c r="E57" s="32"/>
      <c r="F57" s="19"/>
      <c r="G57" s="19"/>
      <c r="H57" s="34"/>
      <c r="I57" s="15"/>
      <c r="J57" s="15"/>
      <c r="K57" s="15"/>
      <c r="L57" s="15"/>
      <c r="M57" s="15"/>
      <c r="N57" s="45"/>
      <c r="O57" s="32"/>
      <c r="P57" s="32"/>
      <c r="Q57" s="32"/>
      <c r="R57" s="32"/>
      <c r="S57" s="42"/>
    </row>
    <row r="58" spans="1:19" s="20" customFormat="1" ht="17.100000000000001" customHeight="1" x14ac:dyDescent="0.2">
      <c r="A58" s="19"/>
      <c r="B58" s="19"/>
      <c r="C58" s="19"/>
      <c r="D58" s="19"/>
      <c r="E58" s="32"/>
      <c r="F58" s="19"/>
      <c r="G58" s="19"/>
      <c r="H58" s="34"/>
      <c r="I58" s="15"/>
      <c r="J58" s="15"/>
      <c r="K58" s="15"/>
      <c r="L58" s="15"/>
      <c r="M58" s="15"/>
      <c r="N58" s="45"/>
      <c r="O58" s="32"/>
      <c r="P58" s="32"/>
      <c r="Q58" s="32"/>
      <c r="R58" s="32"/>
    </row>
    <row r="59" spans="1:19" s="20" customFormat="1" ht="17.100000000000001" customHeight="1" x14ac:dyDescent="0.2">
      <c r="A59" s="19"/>
      <c r="B59" s="19"/>
      <c r="C59" s="19"/>
      <c r="D59" s="19"/>
      <c r="E59" s="32"/>
      <c r="F59" s="19"/>
      <c r="G59" s="19"/>
      <c r="H59" s="34"/>
      <c r="I59" s="15"/>
      <c r="J59" s="15"/>
      <c r="K59" s="15"/>
      <c r="L59" s="15"/>
      <c r="M59" s="15">
        <f>SUM(M3:M58)</f>
        <v>27222.362059638195</v>
      </c>
      <c r="N59" s="45"/>
      <c r="O59" s="59">
        <f>SUM(O3:O58)</f>
        <v>18537.95103184992</v>
      </c>
      <c r="P59" s="32"/>
      <c r="Q59" s="32"/>
      <c r="R59" s="32"/>
      <c r="S59" s="60">
        <f>AVERAGE(S3:S58)</f>
        <v>0.25001115989962552</v>
      </c>
    </row>
    <row r="62" spans="1:19" x14ac:dyDescent="0.25">
      <c r="N62" s="87">
        <f>M59-O59</f>
        <v>8684.4110277882755</v>
      </c>
    </row>
  </sheetData>
  <mergeCells count="9">
    <mergeCell ref="G1:G2"/>
    <mergeCell ref="H1:L1"/>
    <mergeCell ref="M1:M2"/>
    <mergeCell ref="A1:A2"/>
    <mergeCell ref="B1:B2"/>
    <mergeCell ref="C1:C2"/>
    <mergeCell ref="D1:D2"/>
    <mergeCell ref="E1:E2"/>
    <mergeCell ref="F1:F2"/>
  </mergeCells>
  <hyperlinks>
    <hyperlink ref="E4" r:id="rId1" display="AREIA GROSSA" xr:uid="{00000000-0004-0000-0100-000000000000}"/>
    <hyperlink ref="E5" r:id="rId2" display="VALVULA DE DESCARGA EM METAL CROMADO PARA MICTORIO COM ACIONAMENTO POR PRESSAO E FECHAMENTO AUTOMATICO" xr:uid="{00000000-0004-0000-0100-000001000000}"/>
    <hyperlink ref="E6" r:id="rId3" display="AREIA GROSSA" xr:uid="{00000000-0004-0000-0100-00000200000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C8955CB-AEAE-40C3-A5F9-0395510FC441}"/>
</file>

<file path=customXml/itemProps2.xml><?xml version="1.0" encoding="utf-8"?>
<ds:datastoreItem xmlns:ds="http://schemas.openxmlformats.org/officeDocument/2006/customXml" ds:itemID="{7EF3DEE4-85EE-4182-AE3C-D8FCD4958CAF}"/>
</file>

<file path=customXml/itemProps3.xml><?xml version="1.0" encoding="utf-8"?>
<ds:datastoreItem xmlns:ds="http://schemas.openxmlformats.org/officeDocument/2006/customXml" ds:itemID="{18AA6B11-E07E-46D7-B720-00E16BF17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Planilha1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2023-05-18T17:18:26Z</cp:lastPrinted>
  <dcterms:created xsi:type="dcterms:W3CDTF">2022-01-02T19:12:46Z</dcterms:created>
  <dcterms:modified xsi:type="dcterms:W3CDTF">2023-05-18T17:37:08Z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