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3-Junho-23\"/>
    </mc:Choice>
  </mc:AlternateContent>
  <xr:revisionPtr revIDLastSave="0" documentId="13_ncr:1_{2ADD7811-E23C-4297-A4E1-8312FF876B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6" i="1" l="1"/>
  <c r="J86" i="1" s="1"/>
  <c r="G86" i="1"/>
  <c r="I84" i="1"/>
  <c r="J84" i="1" s="1"/>
  <c r="I82" i="1"/>
  <c r="J82" i="1" s="1"/>
  <c r="G82" i="1"/>
  <c r="I80" i="1"/>
  <c r="J80" i="1" s="1"/>
  <c r="G79" i="1"/>
  <c r="I73" i="1"/>
  <c r="J73" i="1" s="1"/>
  <c r="I72" i="1"/>
  <c r="J72" i="1" s="1"/>
  <c r="I71" i="1"/>
  <c r="J71" i="1" s="1"/>
  <c r="I70" i="1"/>
  <c r="J70" i="1" s="1"/>
  <c r="I69" i="1"/>
  <c r="J69" i="1" s="1"/>
  <c r="G69" i="1"/>
  <c r="I68" i="1"/>
  <c r="J68" i="1" s="1"/>
  <c r="I67" i="1"/>
  <c r="J67" i="1" s="1"/>
  <c r="I66" i="1"/>
  <c r="J66" i="1" s="1"/>
  <c r="K66" i="1" s="1"/>
  <c r="I65" i="1"/>
  <c r="J65" i="1" s="1"/>
  <c r="K65" i="1" s="1"/>
  <c r="L65" i="1" s="1"/>
  <c r="M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K59" i="1" s="1"/>
  <c r="I58" i="1"/>
  <c r="J58" i="1" s="1"/>
  <c r="K58" i="1" s="1"/>
  <c r="L58" i="1" s="1"/>
  <c r="M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K86" i="1" l="1"/>
  <c r="L86" i="1" s="1"/>
  <c r="M86" i="1" s="1"/>
  <c r="K84" i="1"/>
  <c r="L84" i="1" s="1"/>
  <c r="M84" i="1" s="1"/>
  <c r="K82" i="1"/>
  <c r="L82" i="1" s="1"/>
  <c r="M82" i="1" s="1"/>
  <c r="K80" i="1"/>
  <c r="L80" i="1" s="1"/>
  <c r="M80" i="1" s="1"/>
  <c r="K68" i="1"/>
  <c r="L68" i="1" s="1"/>
  <c r="M68" i="1" s="1"/>
  <c r="K71" i="1"/>
  <c r="L71" i="1" s="1"/>
  <c r="M71" i="1" s="1"/>
  <c r="K72" i="1"/>
  <c r="L72" i="1" s="1"/>
  <c r="M72" i="1" s="1"/>
  <c r="K54" i="1"/>
  <c r="L54" i="1" s="1"/>
  <c r="M54" i="1" s="1"/>
  <c r="K63" i="1"/>
  <c r="L63" i="1" s="1"/>
  <c r="M63" i="1" s="1"/>
  <c r="K55" i="1"/>
  <c r="L55" i="1" s="1"/>
  <c r="M55" i="1" s="1"/>
  <c r="K62" i="1"/>
  <c r="L62" i="1" s="1"/>
  <c r="M62" i="1" s="1"/>
  <c r="L59" i="1"/>
  <c r="M59" i="1" s="1"/>
  <c r="L66" i="1"/>
  <c r="M66" i="1" s="1"/>
  <c r="K57" i="1"/>
  <c r="L57" i="1" s="1"/>
  <c r="M57" i="1" s="1"/>
  <c r="K53" i="1"/>
  <c r="L53" i="1" s="1"/>
  <c r="M53" i="1" s="1"/>
  <c r="K61" i="1"/>
  <c r="L61" i="1" s="1"/>
  <c r="M61" i="1" s="1"/>
  <c r="K67" i="1"/>
  <c r="L67" i="1" s="1"/>
  <c r="M67" i="1" s="1"/>
  <c r="K70" i="1"/>
  <c r="L70" i="1" s="1"/>
  <c r="M70" i="1" s="1"/>
  <c r="K52" i="1"/>
  <c r="L52" i="1" s="1"/>
  <c r="M52" i="1" s="1"/>
  <c r="K56" i="1"/>
  <c r="L56" i="1" s="1"/>
  <c r="M56" i="1" s="1"/>
  <c r="K60" i="1"/>
  <c r="L60" i="1" s="1"/>
  <c r="M60" i="1" s="1"/>
  <c r="K64" i="1"/>
  <c r="L64" i="1" s="1"/>
  <c r="M64" i="1" s="1"/>
  <c r="K69" i="1"/>
  <c r="L69" i="1" s="1"/>
  <c r="M69" i="1" s="1"/>
  <c r="K73" i="1"/>
  <c r="L73" i="1" s="1"/>
  <c r="M73" i="1" s="1"/>
  <c r="I51" i="1" l="1"/>
  <c r="J51" i="1" s="1"/>
  <c r="I50" i="1"/>
  <c r="J50" i="1" s="1"/>
  <c r="I49" i="1"/>
  <c r="J49" i="1" s="1"/>
  <c r="I48" i="1"/>
  <c r="J48" i="1" s="1"/>
  <c r="I47" i="1"/>
  <c r="J47" i="1" s="1"/>
  <c r="K47" i="1" s="1"/>
  <c r="L47" i="1" s="1"/>
  <c r="M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K46" i="1" l="1"/>
  <c r="L46" i="1" s="1"/>
  <c r="M46" i="1" s="1"/>
  <c r="K51" i="1"/>
  <c r="L51" i="1" s="1"/>
  <c r="M51" i="1" s="1"/>
  <c r="K50" i="1"/>
  <c r="L50" i="1" s="1"/>
  <c r="M50" i="1" s="1"/>
  <c r="K49" i="1"/>
  <c r="L49" i="1" s="1"/>
  <c r="M49" i="1" s="1"/>
  <c r="K48" i="1"/>
  <c r="L48" i="1" s="1"/>
  <c r="M48" i="1" s="1"/>
  <c r="N48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K41" i="1"/>
  <c r="L41" i="1" s="1"/>
  <c r="M41" i="1" s="1"/>
  <c r="K40" i="1"/>
  <c r="L40" i="1" s="1"/>
  <c r="M40" i="1" s="1"/>
  <c r="K39" i="1"/>
  <c r="L39" i="1" s="1"/>
  <c r="M39" i="1" s="1"/>
  <c r="N40" i="1" s="1"/>
  <c r="K38" i="1"/>
  <c r="L38" i="1" s="1"/>
  <c r="M38" i="1" s="1"/>
  <c r="K37" i="1"/>
  <c r="L37" i="1" s="1"/>
  <c r="M37" i="1" s="1"/>
  <c r="N38" i="1" l="1"/>
  <c r="N44" i="1"/>
  <c r="N39" i="1"/>
  <c r="N46" i="1"/>
  <c r="N49" i="1"/>
  <c r="N47" i="1"/>
  <c r="N41" i="1"/>
  <c r="N45" i="1"/>
  <c r="N51" i="1"/>
  <c r="N50" i="1"/>
  <c r="N43" i="1"/>
  <c r="N42" i="1"/>
  <c r="I78" i="1"/>
  <c r="J78" i="1" s="1"/>
  <c r="K78" i="1" s="1"/>
  <c r="L78" i="1" l="1"/>
  <c r="M78" i="1" s="1"/>
  <c r="I36" i="1" l="1"/>
  <c r="J36" i="1" s="1"/>
  <c r="I35" i="1"/>
  <c r="J35" i="1" s="1"/>
  <c r="I34" i="1"/>
  <c r="J34" i="1" s="1"/>
  <c r="I33" i="1"/>
  <c r="J33" i="1" s="1"/>
  <c r="I32" i="1"/>
  <c r="J32" i="1" s="1"/>
  <c r="K36" i="1" l="1"/>
  <c r="L36" i="1" s="1"/>
  <c r="M36" i="1" s="1"/>
  <c r="N37" i="1" s="1"/>
  <c r="K35" i="1"/>
  <c r="L35" i="1" s="1"/>
  <c r="M35" i="1" s="1"/>
  <c r="K34" i="1"/>
  <c r="L34" i="1" s="1"/>
  <c r="M34" i="1" s="1"/>
  <c r="K33" i="1"/>
  <c r="L33" i="1" s="1"/>
  <c r="M33" i="1" s="1"/>
  <c r="K32" i="1"/>
  <c r="L32" i="1" s="1"/>
  <c r="M32" i="1" s="1"/>
  <c r="N36" i="1" l="1"/>
  <c r="N35" i="1"/>
  <c r="N33" i="1"/>
  <c r="N34" i="1"/>
  <c r="I79" i="1"/>
  <c r="J79" i="1" s="1"/>
  <c r="K79" i="1" l="1"/>
  <c r="L79" i="1" s="1"/>
  <c r="M79" i="1" s="1"/>
  <c r="I77" i="1" l="1"/>
  <c r="J77" i="1" s="1"/>
  <c r="K77" i="1" l="1"/>
  <c r="L77" i="1" s="1"/>
  <c r="M77" i="1" s="1"/>
  <c r="M76" i="1" s="1"/>
  <c r="M31" i="1" l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79" i="1" l="1"/>
  <c r="N84" i="1"/>
  <c r="N86" i="1"/>
  <c r="N82" i="1"/>
  <c r="N78" i="1"/>
  <c r="N77" i="1"/>
  <c r="N19" i="1"/>
  <c r="N18" i="1"/>
  <c r="N23" i="1"/>
  <c r="N21" i="1"/>
  <c r="N26" i="1"/>
  <c r="N20" i="1"/>
  <c r="N27" i="1"/>
  <c r="N25" i="1"/>
  <c r="N24" i="1"/>
  <c r="N28" i="1"/>
  <c r="N22" i="1"/>
  <c r="N17" i="1"/>
  <c r="J88" i="1"/>
  <c r="N16" i="1" l="1"/>
</calcChain>
</file>

<file path=xl/sharedStrings.xml><?xml version="1.0" encoding="utf-8"?>
<sst xmlns="http://schemas.openxmlformats.org/spreadsheetml/2006/main" count="404" uniqueCount="181">
  <si>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</si>
  <si>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</si>
  <si>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</si>
  <si>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</si>
  <si>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</si>
  <si>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</si>
  <si>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</si>
  <si>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</si>
  <si>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</si>
  <si>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</si>
  <si>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</si>
  <si>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</si>
  <si>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</si>
  <si>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</si>
  <si>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</si>
  <si>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</si>
  <si>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</si>
  <si>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</si>
  <si>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</si>
  <si>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</si>
  <si>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</si>
  <si>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</si>
  <si>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</si>
  <si>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</si>
  <si>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</si>
  <si>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</si>
  <si>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</si>
  <si>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</si>
  <si>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</si>
  <si>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</si>
  <si>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</si>
  <si>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</si>
  <si>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</si>
  <si>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</si>
  <si>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</si>
  <si>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</si>
  <si>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</si>
  <si>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</si>
  <si>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</si>
  <si>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</si>
  <si>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</si>
  <si>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</si>
  <si>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</si>
  <si>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</si>
  <si>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</si>
  <si>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</si>
  <si>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</si>
  <si>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</si>
  <si>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</si>
  <si>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</si>
  <si>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</si>
  <si>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</si>
  <si>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</si>
  <si>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</si>
  <si>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</si>
  <si>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</si>
  <si>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</si>
  <si>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</si>
  <si>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>SIFAO PLASTICO FLEXIVEL SAIDA VERTICAL PARA COLUNA LAVATORIO, 1 X 1.1/2 "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</si>
  <si>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</si>
  <si>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</si>
  <si>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</si>
  <si>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</si>
  <si>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</si>
  <si>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</si>
  <si>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</si>
  <si>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</si>
  <si>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</si>
  <si>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</si>
  <si>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</si>
  <si>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</si>
  <si>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</si>
  <si>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</si>
  <si>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</si>
  <si>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</si>
  <si>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</si>
  <si>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</si>
  <si>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</si>
  <si>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</si>
  <si>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</si>
  <si>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</si>
  <si>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</si>
  <si>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</si>
  <si>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</si>
  <si>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</si>
  <si>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</si>
  <si>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</si>
  <si>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</si>
  <si>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</si>
  <si>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</si>
  <si>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</si>
  <si>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</si>
  <si>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</si>
  <si>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</si>
  <si>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</si>
  <si>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</si>
  <si>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</si>
  <si>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</si>
  <si>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</si>
  <si>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ASSENTO SANITARIO DE PLASTICO, TIPO CONVENCIONAL</t>
  </si>
  <si>
    <t>SELANTE ELASTICO MONOCOMPONENTE A BASE DE POLIURETANO (PU) PARA JUNTAS DIVERSAS</t>
  </si>
  <si>
    <t>TORNEIRA METALICA CROMADA PARA JARDIM / TANQUE, COM BICO PLASTICO, CANO LONGO, DE PAREDE, PADRAO POPULAR / USO GERAL , 1/2 " OU 3/4 " (REF 1153 / 1130)</t>
  </si>
  <si>
    <t>CIMENTO PORTLAND COMPOSTO CP II-32</t>
  </si>
  <si>
    <t>AREIA GROSSA - POSTO JAZIDA/FORNECEDOR (RETIRADO NA JAZIDA, SEM TRANSPORTE)</t>
  </si>
  <si>
    <t>m3</t>
  </si>
  <si>
    <t>TUBO DE DESCARGA, TIPO BENGALA, PARA LIGACAO CAIXA DE DESCARGA - EMBUTIR, PVC, 40 MM X 150 CM</t>
  </si>
  <si>
    <t>JOELHO PVC, SOLDAVEL, 90 GRAUS, 25 MM, PARA AGUA FRIA PREDIAL</t>
  </si>
  <si>
    <t>3.1</t>
  </si>
  <si>
    <t>3.3</t>
  </si>
  <si>
    <t>3.4</t>
  </si>
  <si>
    <t>TRANSPORTE COM CAMINHÃO BASCULANTE DE 10 M³, EM VIA URBANA EM LEITO NATURAL (UNIDADE: M3XKM). AF_07/2020</t>
  </si>
  <si>
    <t>M3XKM</t>
  </si>
  <si>
    <t>ENGATE/RABICHO FLEXIVEL PLASTICO (PVC OU ABS) BRANCO 1/2 " X 40 CM</t>
  </si>
  <si>
    <t>PINTOR COM ENCARGOS COMPLEMENTARES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</si>
  <si>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17/06/2023 A 30/06/2023</t>
    </r>
  </si>
  <si>
    <t>ESPUMA EXPANSIVA DE POLIURETANO, APLICACAO MANUAL - 500 ML</t>
  </si>
  <si>
    <t>FITA VEDA ROSCA EM ROLOS DE 18 MM X 50 M (L X C)</t>
  </si>
  <si>
    <t>LIXA D'AGUA EM FOLHA, GRAO 100</t>
  </si>
  <si>
    <t>JOELHO PVC, ROSCAVEL, 45 GRAUS, 3/4", PARA AGUA FRIA PREDIAL</t>
  </si>
  <si>
    <t>LUVA PVC SOLDAVEL, 50 MM, PARA AGUA FRIA PREDIAL</t>
  </si>
  <si>
    <t>LUVA PVC SOLDAVEL, 32 MM, PARA AGUA FRIA PREDIAL</t>
  </si>
  <si>
    <t>LUVA DE CORRER, PVC PBA, JE, DN 50 / DE 60 MM, PARA REDE AGUA (NBR 10351)</t>
  </si>
  <si>
    <t>TE SOLDAVEL, PVC, 90 GRAUS, 32 MM, PARA AGUA FRIA PREDIAL (NBR 5648)</t>
  </si>
  <si>
    <t>UNIAO PVC, SOLDAVEL, 25 MM, PARA AGUA FRIA PREDIAL</t>
  </si>
  <si>
    <t>BUCHA DE REDUCAO DE FERRO GALVANIZADO, COM ROSCA BSP, DE 1" X 3/4"</t>
  </si>
  <si>
    <t>MANTA ASFALTICA ELASTOMERICA EM POLIESTER ALUMINIZADA 3 MM, TIPO III, CLASSE B (NBR 9952)</t>
  </si>
  <si>
    <t>M2</t>
  </si>
  <si>
    <t>SILICONE ACETICO USO GERAL INCOLOR 280 G</t>
  </si>
  <si>
    <t>LUVA DE CORRER PARA TUBO SOLDAVEL, PVC, 32 MM, PARA AGUA FRIA PREDIAL</t>
  </si>
  <si>
    <t>LUVA PVC SOLDAVEL, 25 MM, PARA AGUA FRIA PREDIAL</t>
  </si>
  <si>
    <t>JOELHO PVC, SOLDAVEL, 90 GRAUS, 32 MM, PARA AGUA FRIA PREDIAL</t>
  </si>
  <si>
    <t>BUCHA DE REDUCAO DE PVC, SOLDAVEL, CURTA, COM 40 X 32 MM, PARA AGUA FRIA PREDIAL</t>
  </si>
  <si>
    <t>BUCHA DE REDUCAO DE PVC, SOLDAVEL, CURTA, COM 32 X 25 MM, PARA AGUA FRIA PREDIAL</t>
  </si>
  <si>
    <t>ADAPTADOR PVC SOLDAVEL CURTO COM BOLSA E ROSCA, 32 MM X 1", PARA AGUA FRIA</t>
  </si>
  <si>
    <t>CHUVEIRO COMUM EM PLASTICO BRANCO, COM CANO, 3 TEMPERATURAS, 5500 W (110/220 V)</t>
  </si>
  <si>
    <t>TE 45 GRAUS DE FERRO GALVANIZADO, COM ROSCA BSP, DE 1/2"</t>
  </si>
  <si>
    <t>ARAME RECOZIDO 16 BWG, D = 1,65 MM (0,016 KG/M) OU 18 BWG, D = 1,25 MM (0,01 KG/M)</t>
  </si>
  <si>
    <t>KG</t>
  </si>
  <si>
    <t>ARGAMASSA COLANTE AC I PARA CERAMICAS</t>
  </si>
  <si>
    <t>PEDRA BRITADA N. 0, OU PEDRISCO (4,8 A 9,5 MM) POSTO PEDREIRA/FORNECEDOR, SEM FRETE</t>
  </si>
  <si>
    <t>TINTA LATEX ACRILICA STANDARD, COR BRANCA</t>
  </si>
  <si>
    <t>L</t>
  </si>
  <si>
    <t>2.21</t>
  </si>
  <si>
    <t>ESCOVA DE ACO, COM CABO, *4 X 15* FILEIRAS DE CERDAS</t>
  </si>
  <si>
    <t>2.22</t>
  </si>
  <si>
    <t>FUNDO PREPARADOR ACRILICO BASE AGUA</t>
  </si>
  <si>
    <t>2.23</t>
  </si>
  <si>
    <t>MASSA ACRILICA PARA SUPERFICIES INTERNAS E EXTERNAS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</si>
  <si>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</si>
  <si>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</si>
  <si>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</si>
  <si>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</si>
  <si>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</si>
  <si>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</si>
  <si>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</si>
  <si>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</si>
  <si>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</si>
  <si>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</si>
  <si>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</si>
  <si>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</si>
  <si>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2.38</t>
  </si>
  <si>
    <t>2.39</t>
  </si>
  <si>
    <t>2.40</t>
  </si>
  <si>
    <t>2.41</t>
  </si>
  <si>
    <t>2.42</t>
  </si>
  <si>
    <t>2.43</t>
  </si>
  <si>
    <t>2.44</t>
  </si>
  <si>
    <t>3.5</t>
  </si>
  <si>
    <t>PORTA DE ALUMÍNIO DE ABRIR COM LAMBRI, COM GUARNIÇÃO, FIXAÇÃO COM PARAFUSOS - FORNECIMENTO E INSTALAÇÃO. AF_12/2019</t>
  </si>
  <si>
    <t>m²</t>
  </si>
  <si>
    <t>3.6</t>
  </si>
  <si>
    <t>TUBO EM COBRE RÍGIDO, DN 22 MM, CLASSE A, SEM ISOLAMENTO, INSTALADO EM PRUMADA DE GÁS COMBUSTÍVEL - FORNECIMENTO E INSTALAÇÃO. AF_04/2022</t>
  </si>
  <si>
    <t>3.7</t>
  </si>
  <si>
    <t>PINTURA COM TINTA ALQUÍDICA DE ACABAMENTO (ESMALTE SINTÉTICO BRILHANTE) APLICADA A ROLO OU PINCEL SOBRE SUPERFÍCIES METÁLICAS (EXCETO PERFIL) EXECUTADO EM OBRA (POR DEMÃO). AF_01/2020</t>
  </si>
  <si>
    <t>3.8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</si>
  <si>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</si>
  <si>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</si>
  <si>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</si>
  <si>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Porta</t>
  </si>
  <si>
    <t>Rede de Gas Moradia bloco 07</t>
  </si>
  <si>
    <t>Pintura estirante portaria Sul, portaria Norte e fachada Petrobras.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</si>
</sst>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1"/>
    </font>
    <font>
      <b/>
      <sz val="8"/>
      <color rgb="FF00B0F0"/>
      <name val="Arial"/>
      <family val="2"/>
    </font>
    <font>
      <b/>
      <sz val="8"/>
      <color theme="4"/>
      <name val="Arial"/>
      <family val="2"/>
    </font>
    <font>
      <b/>
      <sz val="8"/>
      <color rgb="FFFF000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11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4" fillId="0" borderId="24" xfId="4" applyFont="1" applyFill="1" applyBorder="1"/>
    <xf numFmtId="0" fontId="11" fillId="0" borderId="24" xfId="0" applyFont="1" applyBorder="1" applyAlignment="1">
      <alignment vertical="center"/>
    </xf>
    <xf numFmtId="0" fontId="16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/>
    </xf>
    <xf numFmtId="0" fontId="11" fillId="0" borderId="24" xfId="0" applyFont="1" applyBorder="1"/>
    <xf numFmtId="0" fontId="14" fillId="0" borderId="24" xfId="4" applyFont="1" applyFill="1" applyBorder="1" applyAlignment="1">
      <alignment horizontal="left" vertical="center"/>
    </xf>
    <xf numFmtId="0" fontId="14" fillId="0" borderId="0" xfId="4" applyFont="1" applyFill="1" applyBorder="1"/>
    <xf numFmtId="0" fontId="5" fillId="0" borderId="24" xfId="1" applyFont="1" applyFill="1" applyBorder="1" applyAlignment="1">
      <alignment horizontal="center" vertical="center"/>
    </xf>
    <xf numFmtId="0" fontId="15" fillId="0" borderId="0" xfId="0" applyFont="1"/>
    <xf numFmtId="0" fontId="17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left" vertical="top" wrapText="1"/>
    </xf>
    <xf numFmtId="4" fontId="18" fillId="0" borderId="24" xfId="2" applyNumberFormat="1" applyFont="1" applyBorder="1" applyAlignment="1" applyProtection="1">
      <alignment horizontal="center" vertical="center"/>
    </xf>
    <xf numFmtId="2" fontId="18" fillId="0" borderId="24" xfId="1" applyNumberFormat="1" applyFont="1" applyFill="1" applyBorder="1" applyAlignment="1">
      <alignment horizontal="center" vertical="center"/>
    </xf>
    <xf numFmtId="2" fontId="18" fillId="0" borderId="24" xfId="2" applyNumberFormat="1" applyFont="1" applyBorder="1" applyAlignment="1" applyProtection="1">
      <alignment horizontal="center" vertical="center"/>
    </xf>
    <xf numFmtId="0" fontId="18" fillId="0" borderId="24" xfId="1" applyFont="1" applyFill="1" applyBorder="1" applyAlignment="1">
      <alignment horizontal="center" vertical="center"/>
    </xf>
    <xf numFmtId="4" fontId="19" fillId="0" borderId="24" xfId="2" applyNumberFormat="1" applyFont="1" applyBorder="1" applyAlignment="1" applyProtection="1">
      <alignment horizontal="center" vertical="center"/>
    </xf>
    <xf numFmtId="4" fontId="19" fillId="0" borderId="24" xfId="0" applyNumberFormat="1" applyFont="1" applyBorder="1" applyAlignment="1">
      <alignment horizontal="center" vertical="center" wrapText="1"/>
    </xf>
    <xf numFmtId="4" fontId="10" fillId="0" borderId="24" xfId="0" applyNumberFormat="1" applyFont="1" applyBorder="1" applyAlignment="1">
      <alignment horizontal="center" vertical="center" wrapText="1"/>
    </xf>
    <xf numFmtId="4" fontId="20" fillId="4" borderId="15" xfId="0" applyNumberFormat="1" applyFont="1" applyFill="1" applyBorder="1" applyAlignment="1">
      <alignment horizontal="center" vertical="center" wrapText="1"/>
    </xf>
    <xf numFmtId="4" fontId="10" fillId="0" borderId="24" xfId="2" applyNumberFormat="1" applyFont="1" applyFill="1" applyBorder="1" applyAlignment="1" applyProtection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6" xfId="1" applyFon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4" fillId="2" borderId="44" xfId="1" applyFont="1" applyBorder="1" applyAlignment="1">
      <alignment horizontal="center" vertic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5"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2022/10%20Outubro/Notas%20Fiscais/NF01%20Jabu%20SA.pdf" TargetMode="External"/><Relationship Id="rId3" Type="http://schemas.openxmlformats.org/officeDocument/2006/relationships/hyperlink" Target="2022/10%20Outubro/Notas%20Fiscais/NF%20516064%20Jabu%20SA.pdf" TargetMode="External"/><Relationship Id="rId7" Type="http://schemas.openxmlformats.org/officeDocument/2006/relationships/hyperlink" Target="2022/10%20Outubro/Notas%20Fiscais/NF01%20Jabu%20SA.pdf" TargetMode="External"/><Relationship Id="rId2" Type="http://schemas.openxmlformats.org/officeDocument/2006/relationships/hyperlink" Target="2022/10%20Outubro/Notas%20Fiscais/NF%2099401%20Taurus.pdf" TargetMode="External"/><Relationship Id="rId1" Type="http://schemas.openxmlformats.org/officeDocument/2006/relationships/hyperlink" Target="2022\10%20Outubro\Notas%20Fiscais\NF01%20Jabu%20SA.pdf" TargetMode="External"/><Relationship Id="rId6" Type="http://schemas.openxmlformats.org/officeDocument/2006/relationships/hyperlink" Target="2022/10%20Outubro/Notas%20Fiscais/NF01%20Jabu%20SA.pdf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2022/10%20Outubro/Notas%20Fiscais/NF%20516064%20Jabu%20SA.pdf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2022/10%20Outubro/Notas%20Fiscais/NF%20516064%20Jabu%20SA.pdf" TargetMode="External"/><Relationship Id="rId9" Type="http://schemas.openxmlformats.org/officeDocument/2006/relationships/hyperlink" Target="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topLeftCell="A93" zoomScale="70" zoomScaleNormal="70" workbookViewId="0">
      <selection activeCell="O107" sqref="A1:O113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19" t="s">
        <v>0</v>
      </c>
      <c r="B1" s="120"/>
      <c r="C1" s="120"/>
      <c r="D1" s="120"/>
      <c r="E1" s="120"/>
      <c r="F1" s="120"/>
      <c r="G1" s="120"/>
      <c r="H1" s="120"/>
      <c r="I1" s="121"/>
      <c r="J1" s="128" t="s">
        <v>1</v>
      </c>
      <c r="K1" s="128"/>
      <c r="L1" s="128"/>
      <c r="M1" s="128"/>
      <c r="N1" s="128"/>
      <c r="O1" s="129"/>
    </row>
    <row r="2" spans="1:15" ht="17.100000000000001" customHeight="1" x14ac:dyDescent="0.25">
      <c r="A2" s="122"/>
      <c r="B2" s="123"/>
      <c r="C2" s="123"/>
      <c r="D2" s="123"/>
      <c r="E2" s="123"/>
      <c r="F2" s="123"/>
      <c r="G2" s="123"/>
      <c r="H2" s="123"/>
      <c r="I2" s="124"/>
      <c r="J2" s="130" t="s">
        <v>2</v>
      </c>
      <c r="K2" s="130"/>
      <c r="L2" s="130"/>
      <c r="M2" s="130"/>
      <c r="N2" s="130"/>
      <c r="O2" s="131"/>
    </row>
    <row r="3" spans="1:15" ht="17.100000000000001" customHeight="1" x14ac:dyDescent="0.25">
      <c r="A3" s="122"/>
      <c r="B3" s="123"/>
      <c r="C3" s="123"/>
      <c r="D3" s="123"/>
      <c r="E3" s="123"/>
      <c r="F3" s="123"/>
      <c r="G3" s="123"/>
      <c r="H3" s="123"/>
      <c r="I3" s="124"/>
      <c r="J3" s="130" t="s">
        <v>3</v>
      </c>
      <c r="K3" s="130"/>
      <c r="L3" s="130"/>
      <c r="M3" s="130" t="s">
        <v>4</v>
      </c>
      <c r="N3" s="130"/>
      <c r="O3" s="1"/>
    </row>
    <row r="4" spans="1:15" ht="17.100000000000001" customHeight="1" x14ac:dyDescent="0.25">
      <c r="A4" s="122"/>
      <c r="B4" s="123"/>
      <c r="C4" s="123"/>
      <c r="D4" s="123"/>
      <c r="E4" s="123"/>
      <c r="F4" s="123"/>
      <c r="G4" s="123"/>
      <c r="H4" s="123"/>
      <c r="I4" s="124"/>
      <c r="J4" s="130" t="s">
        <v>5</v>
      </c>
      <c r="K4" s="130"/>
      <c r="L4" s="130"/>
      <c r="M4" s="130" t="s">
        <v>6</v>
      </c>
      <c r="N4" s="130"/>
      <c r="O4" s="2"/>
    </row>
    <row r="5" spans="1:15" ht="17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4"/>
      <c r="J5" s="130" t="s">
        <v>7</v>
      </c>
      <c r="K5" s="130"/>
      <c r="L5" s="130"/>
      <c r="M5" s="130" t="s">
        <v>8</v>
      </c>
      <c r="N5" s="130"/>
      <c r="O5" s="1"/>
    </row>
    <row r="6" spans="1:15" ht="17.100000000000001" customHeight="1" x14ac:dyDescent="0.25">
      <c r="A6" s="125"/>
      <c r="B6" s="126"/>
      <c r="C6" s="126"/>
      <c r="D6" s="126"/>
      <c r="E6" s="126"/>
      <c r="F6" s="126"/>
      <c r="G6" s="126"/>
      <c r="H6" s="126"/>
      <c r="I6" s="127"/>
      <c r="J6" s="130" t="s">
        <v>9</v>
      </c>
      <c r="K6" s="130"/>
      <c r="L6" s="130"/>
      <c r="M6" s="130" t="s">
        <v>10</v>
      </c>
      <c r="N6" s="130"/>
      <c r="O6" s="1"/>
    </row>
    <row r="7" spans="1:15" ht="17.100000000000001" customHeight="1" x14ac:dyDescent="0.25">
      <c r="A7" s="132" t="s">
        <v>11</v>
      </c>
      <c r="B7" s="133"/>
      <c r="C7" s="133"/>
      <c r="D7" s="133"/>
      <c r="E7" s="133"/>
      <c r="F7" s="133"/>
      <c r="G7" s="133"/>
      <c r="H7" s="133"/>
      <c r="I7" s="134"/>
      <c r="J7" s="135" t="s">
        <v>55</v>
      </c>
      <c r="K7" s="136"/>
      <c r="L7" s="136"/>
      <c r="M7" s="136"/>
      <c r="N7" s="137"/>
      <c r="O7" s="66" t="s">
        <v>12</v>
      </c>
    </row>
    <row r="8" spans="1:15" ht="17.100000000000001" customHeight="1" x14ac:dyDescent="0.25">
      <c r="A8" s="95" t="s">
        <v>114</v>
      </c>
      <c r="B8" s="96"/>
      <c r="C8" s="96"/>
      <c r="D8" s="96"/>
      <c r="E8" s="96"/>
      <c r="F8" s="96"/>
      <c r="G8" s="96"/>
      <c r="H8" s="96"/>
      <c r="I8" s="108"/>
      <c r="J8" s="135" t="s">
        <v>13</v>
      </c>
      <c r="K8" s="136"/>
      <c r="L8" s="136"/>
      <c r="M8" s="136"/>
      <c r="N8" s="137"/>
      <c r="O8" s="66"/>
    </row>
    <row r="9" spans="1:15" ht="17.100000000000001" customHeight="1" x14ac:dyDescent="0.25">
      <c r="A9" s="97"/>
      <c r="B9" s="81"/>
      <c r="C9" s="81"/>
      <c r="D9" s="81"/>
      <c r="E9" s="81"/>
      <c r="F9" s="81"/>
      <c r="G9" s="81"/>
      <c r="H9" s="81"/>
      <c r="I9" s="82"/>
      <c r="J9" s="135" t="s">
        <v>14</v>
      </c>
      <c r="K9" s="136"/>
      <c r="L9" s="136"/>
      <c r="M9" s="136"/>
      <c r="N9" s="137"/>
      <c r="O9" s="66"/>
    </row>
    <row r="10" spans="1:15" ht="17.100000000000001" customHeight="1" x14ac:dyDescent="0.25">
      <c r="A10" s="97"/>
      <c r="B10" s="81"/>
      <c r="C10" s="81"/>
      <c r="D10" s="81"/>
      <c r="E10" s="81"/>
      <c r="F10" s="81"/>
      <c r="G10" s="81"/>
      <c r="H10" s="81"/>
      <c r="I10" s="82"/>
      <c r="J10" s="135" t="s">
        <v>15</v>
      </c>
      <c r="K10" s="136"/>
      <c r="L10" s="136"/>
      <c r="M10" s="136"/>
      <c r="N10" s="137"/>
      <c r="O10" s="66"/>
    </row>
    <row r="11" spans="1:15" ht="17.100000000000001" customHeight="1" x14ac:dyDescent="0.25">
      <c r="A11" s="97"/>
      <c r="B11" s="81"/>
      <c r="C11" s="81"/>
      <c r="D11" s="81"/>
      <c r="E11" s="81"/>
      <c r="F11" s="81"/>
      <c r="G11" s="81"/>
      <c r="H11" s="81"/>
      <c r="I11" s="82"/>
      <c r="J11" s="135" t="s">
        <v>54</v>
      </c>
      <c r="K11" s="136"/>
      <c r="L11" s="136"/>
      <c r="M11" s="136"/>
      <c r="N11" s="137"/>
      <c r="O11" s="66"/>
    </row>
    <row r="12" spans="1:15" ht="17.100000000000001" customHeight="1" x14ac:dyDescent="0.25">
      <c r="A12" s="97"/>
      <c r="B12" s="81"/>
      <c r="C12" s="81"/>
      <c r="D12" s="81"/>
      <c r="E12" s="81"/>
      <c r="F12" s="81"/>
      <c r="G12" s="81"/>
      <c r="H12" s="81"/>
      <c r="I12" s="82"/>
      <c r="J12" s="135" t="s">
        <v>177</v>
      </c>
      <c r="K12" s="136"/>
      <c r="L12" s="136"/>
      <c r="M12" s="136"/>
      <c r="N12" s="137"/>
      <c r="O12" s="66"/>
    </row>
    <row r="13" spans="1:15" ht="17.100000000000001" customHeight="1" x14ac:dyDescent="0.25">
      <c r="A13" s="83"/>
      <c r="B13" s="84"/>
      <c r="C13" s="84"/>
      <c r="D13" s="84"/>
      <c r="E13" s="84"/>
      <c r="F13" s="84"/>
      <c r="G13" s="84"/>
      <c r="H13" s="84"/>
      <c r="I13" s="85"/>
      <c r="J13" s="135" t="s">
        <v>176</v>
      </c>
      <c r="K13" s="136"/>
      <c r="L13" s="136"/>
      <c r="M13" s="136"/>
      <c r="N13" s="137"/>
      <c r="O13" s="66"/>
    </row>
    <row r="14" spans="1:15" ht="17.100000000000001" customHeight="1" x14ac:dyDescent="0.25">
      <c r="A14" s="115" t="s">
        <v>16</v>
      </c>
      <c r="B14" s="100" t="s">
        <v>17</v>
      </c>
      <c r="C14" s="100" t="s">
        <v>18</v>
      </c>
      <c r="D14" s="100" t="s">
        <v>19</v>
      </c>
      <c r="E14" s="100" t="s">
        <v>20</v>
      </c>
      <c r="F14" s="100" t="s">
        <v>21</v>
      </c>
      <c r="G14" s="100" t="s">
        <v>22</v>
      </c>
      <c r="H14" s="109" t="s">
        <v>23</v>
      </c>
      <c r="I14" s="109"/>
      <c r="J14" s="109"/>
      <c r="K14" s="109"/>
      <c r="L14" s="110"/>
      <c r="M14" s="100" t="s">
        <v>24</v>
      </c>
      <c r="N14" s="100" t="s">
        <v>25</v>
      </c>
      <c r="O14" s="66" t="s">
        <v>26</v>
      </c>
    </row>
    <row r="15" spans="1:15" ht="17.100000000000001" customHeight="1" x14ac:dyDescent="0.25">
      <c r="A15" s="116"/>
      <c r="B15" s="101"/>
      <c r="C15" s="101"/>
      <c r="D15" s="101"/>
      <c r="E15" s="101"/>
      <c r="F15" s="101"/>
      <c r="G15" s="101"/>
      <c r="H15" s="3" t="s">
        <v>27</v>
      </c>
      <c r="I15" s="4" t="s">
        <v>28</v>
      </c>
      <c r="J15" s="3" t="s">
        <v>29</v>
      </c>
      <c r="K15" s="4" t="s">
        <v>56</v>
      </c>
      <c r="L15" s="3" t="s">
        <v>30</v>
      </c>
      <c r="M15" s="101"/>
      <c r="N15" s="101"/>
      <c r="O15" s="66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6">
        <f>SUM(M17:M28)</f>
        <v>79508.115127583995</v>
      </c>
      <c r="N16" s="10">
        <f>SUM(N17:N28)</f>
        <v>1</v>
      </c>
      <c r="O16" s="66"/>
    </row>
    <row r="17" spans="1:15" ht="26.25" customHeight="1" x14ac:dyDescent="0.25">
      <c r="A17" s="17" t="s">
        <v>32</v>
      </c>
      <c r="B17" s="17" t="s">
        <v>33</v>
      </c>
      <c r="C17" s="11" t="s">
        <v>67</v>
      </c>
      <c r="D17" s="11" t="s">
        <v>34</v>
      </c>
      <c r="E17" s="25" t="s">
        <v>68</v>
      </c>
      <c r="F17" s="13" t="s">
        <v>35</v>
      </c>
      <c r="G17" s="17">
        <v>180</v>
      </c>
      <c r="H17" s="43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8465.428569312</v>
      </c>
      <c r="N17" s="14">
        <f>M17/M$16</f>
        <v>0.10647250982780578</v>
      </c>
      <c r="O17" s="114"/>
    </row>
    <row r="18" spans="1:15" ht="26.25" customHeight="1" x14ac:dyDescent="0.25">
      <c r="A18" s="17" t="s">
        <v>71</v>
      </c>
      <c r="B18" s="17" t="s">
        <v>33</v>
      </c>
      <c r="C18" s="11" t="s">
        <v>59</v>
      </c>
      <c r="D18" s="11" t="s">
        <v>34</v>
      </c>
      <c r="E18" s="25" t="s">
        <v>60</v>
      </c>
      <c r="F18" s="13" t="s">
        <v>35</v>
      </c>
      <c r="G18" s="17">
        <v>180</v>
      </c>
      <c r="H18" s="43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7318.6557444</v>
      </c>
      <c r="N18" s="14">
        <f t="shared" ref="N18:N28" si="5">M18/M$16</f>
        <v>9.2049166712806607E-2</v>
      </c>
      <c r="O18" s="114"/>
    </row>
    <row r="19" spans="1:15" ht="26.25" customHeight="1" x14ac:dyDescent="0.25">
      <c r="A19" s="17" t="s">
        <v>72</v>
      </c>
      <c r="B19" s="17" t="s">
        <v>33</v>
      </c>
      <c r="C19" s="11" t="s">
        <v>59</v>
      </c>
      <c r="D19" s="11" t="s">
        <v>34</v>
      </c>
      <c r="E19" s="25" t="s">
        <v>60</v>
      </c>
      <c r="F19" s="13" t="s">
        <v>35</v>
      </c>
      <c r="G19" s="17">
        <v>180</v>
      </c>
      <c r="H19" s="43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7318.6557444</v>
      </c>
      <c r="N19" s="14">
        <f t="shared" si="5"/>
        <v>9.2049166712806607E-2</v>
      </c>
      <c r="O19" s="114"/>
    </row>
    <row r="20" spans="1:15" ht="26.25" customHeight="1" x14ac:dyDescent="0.25">
      <c r="A20" s="17" t="s">
        <v>73</v>
      </c>
      <c r="B20" s="17" t="s">
        <v>33</v>
      </c>
      <c r="C20" s="11" t="s">
        <v>61</v>
      </c>
      <c r="D20" s="11" t="s">
        <v>34</v>
      </c>
      <c r="E20" s="25" t="s">
        <v>62</v>
      </c>
      <c r="F20" s="13" t="s">
        <v>35</v>
      </c>
      <c r="G20" s="17">
        <v>180</v>
      </c>
      <c r="H20" s="43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6290.7422909759998</v>
      </c>
      <c r="N20" s="14">
        <f t="shared" si="5"/>
        <v>7.9120757433143243E-2</v>
      </c>
      <c r="O20" s="114"/>
    </row>
    <row r="21" spans="1:15" ht="26.25" customHeight="1" x14ac:dyDescent="0.25">
      <c r="A21" s="17" t="s">
        <v>74</v>
      </c>
      <c r="B21" s="17" t="s">
        <v>33</v>
      </c>
      <c r="C21" s="11" t="s">
        <v>61</v>
      </c>
      <c r="D21" s="11" t="s">
        <v>34</v>
      </c>
      <c r="E21" s="25" t="s">
        <v>62</v>
      </c>
      <c r="F21" s="13" t="s">
        <v>35</v>
      </c>
      <c r="G21" s="17">
        <v>180</v>
      </c>
      <c r="H21" s="43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6290.7422909759998</v>
      </c>
      <c r="N21" s="14">
        <f t="shared" si="5"/>
        <v>7.9120757433143243E-2</v>
      </c>
      <c r="O21" s="114"/>
    </row>
    <row r="22" spans="1:15" ht="26.25" customHeight="1" x14ac:dyDescent="0.25">
      <c r="A22" s="17" t="s">
        <v>75</v>
      </c>
      <c r="B22" s="17" t="s">
        <v>33</v>
      </c>
      <c r="C22" s="11" t="s">
        <v>63</v>
      </c>
      <c r="D22" s="11" t="s">
        <v>34</v>
      </c>
      <c r="E22" s="25" t="s">
        <v>64</v>
      </c>
      <c r="F22" s="13" t="s">
        <v>35</v>
      </c>
      <c r="G22" s="17">
        <v>180</v>
      </c>
      <c r="H22" s="43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6953.2732320480009</v>
      </c>
      <c r="N22" s="14">
        <f t="shared" si="5"/>
        <v>8.7453629367144695E-2</v>
      </c>
      <c r="O22" s="114"/>
    </row>
    <row r="23" spans="1:15" ht="26.25" customHeight="1" x14ac:dyDescent="0.25">
      <c r="A23" s="17" t="s">
        <v>76</v>
      </c>
      <c r="B23" s="17" t="s">
        <v>33</v>
      </c>
      <c r="C23" s="11" t="s">
        <v>63</v>
      </c>
      <c r="D23" s="11" t="s">
        <v>34</v>
      </c>
      <c r="E23" s="25" t="s">
        <v>64</v>
      </c>
      <c r="F23" s="13" t="s">
        <v>35</v>
      </c>
      <c r="G23" s="17">
        <v>180</v>
      </c>
      <c r="H23" s="43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6953.2732320480009</v>
      </c>
      <c r="N23" s="14">
        <f t="shared" si="5"/>
        <v>8.7453629367144695E-2</v>
      </c>
      <c r="O23" s="114"/>
    </row>
    <row r="24" spans="1:15" ht="26.25" customHeight="1" x14ac:dyDescent="0.25">
      <c r="A24" s="17" t="s">
        <v>77</v>
      </c>
      <c r="B24" s="17" t="s">
        <v>33</v>
      </c>
      <c r="C24" s="11" t="s">
        <v>65</v>
      </c>
      <c r="D24" s="11" t="s">
        <v>34</v>
      </c>
      <c r="E24" s="25" t="s">
        <v>66</v>
      </c>
      <c r="F24" s="13" t="s">
        <v>35</v>
      </c>
      <c r="G24" s="17">
        <v>180</v>
      </c>
      <c r="H24" s="43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5986.9905638399996</v>
      </c>
      <c r="N24" s="14">
        <f t="shared" si="5"/>
        <v>7.5300370965062841E-2</v>
      </c>
      <c r="O24" s="114"/>
    </row>
    <row r="25" spans="1:15" ht="26.25" customHeight="1" x14ac:dyDescent="0.25">
      <c r="A25" s="17" t="s">
        <v>78</v>
      </c>
      <c r="B25" s="17" t="s">
        <v>33</v>
      </c>
      <c r="C25" s="11" t="s">
        <v>65</v>
      </c>
      <c r="D25" s="11" t="s">
        <v>34</v>
      </c>
      <c r="E25" s="25" t="s">
        <v>66</v>
      </c>
      <c r="F25" s="13" t="s">
        <v>35</v>
      </c>
      <c r="G25" s="17">
        <v>180</v>
      </c>
      <c r="H25" s="43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5986.9905638399996</v>
      </c>
      <c r="N25" s="14">
        <f t="shared" si="5"/>
        <v>7.5300370965062841E-2</v>
      </c>
      <c r="O25" s="114"/>
    </row>
    <row r="26" spans="1:15" ht="26.25" customHeight="1" x14ac:dyDescent="0.25">
      <c r="A26" s="17" t="s">
        <v>79</v>
      </c>
      <c r="B26" s="17" t="s">
        <v>33</v>
      </c>
      <c r="C26" s="11" t="s">
        <v>65</v>
      </c>
      <c r="D26" s="11" t="s">
        <v>34</v>
      </c>
      <c r="E26" s="25" t="s">
        <v>66</v>
      </c>
      <c r="F26" s="13" t="s">
        <v>35</v>
      </c>
      <c r="G26" s="17">
        <v>180</v>
      </c>
      <c r="H26" s="43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5986.9905638399996</v>
      </c>
      <c r="N26" s="14">
        <f t="shared" si="5"/>
        <v>7.5300370965062841E-2</v>
      </c>
      <c r="O26" s="114"/>
    </row>
    <row r="27" spans="1:15" ht="26.25" customHeight="1" x14ac:dyDescent="0.25">
      <c r="A27" s="17" t="s">
        <v>80</v>
      </c>
      <c r="B27" s="17" t="s">
        <v>33</v>
      </c>
      <c r="C27" s="11" t="s">
        <v>69</v>
      </c>
      <c r="D27" s="11" t="s">
        <v>34</v>
      </c>
      <c r="E27" s="12" t="s">
        <v>70</v>
      </c>
      <c r="F27" s="13" t="s">
        <v>35</v>
      </c>
      <c r="G27" s="17">
        <v>180</v>
      </c>
      <c r="H27" s="43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5978.186165952</v>
      </c>
      <c r="N27" s="14">
        <f t="shared" si="5"/>
        <v>7.5189635125408341E-2</v>
      </c>
      <c r="O27" s="114"/>
    </row>
    <row r="28" spans="1:15" ht="26.25" customHeight="1" x14ac:dyDescent="0.25">
      <c r="A28" s="17" t="s">
        <v>81</v>
      </c>
      <c r="B28" s="17" t="s">
        <v>33</v>
      </c>
      <c r="C28" s="11" t="s">
        <v>69</v>
      </c>
      <c r="D28" s="11" t="s">
        <v>34</v>
      </c>
      <c r="E28" s="12" t="s">
        <v>70</v>
      </c>
      <c r="F28" s="13" t="s">
        <v>35</v>
      </c>
      <c r="G28" s="17">
        <v>180</v>
      </c>
      <c r="H28" s="43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5978.186165952</v>
      </c>
      <c r="N28" s="14">
        <f t="shared" si="5"/>
        <v>7.5189635125408341E-2</v>
      </c>
      <c r="O28" s="114"/>
    </row>
    <row r="29" spans="1:15" x14ac:dyDescent="0.25">
      <c r="A29" s="115" t="s">
        <v>16</v>
      </c>
      <c r="B29" s="100" t="s">
        <v>17</v>
      </c>
      <c r="C29" s="100" t="s">
        <v>18</v>
      </c>
      <c r="D29" s="100" t="s">
        <v>19</v>
      </c>
      <c r="E29" s="100" t="s">
        <v>20</v>
      </c>
      <c r="F29" s="100" t="s">
        <v>21</v>
      </c>
      <c r="G29" s="100" t="s">
        <v>22</v>
      </c>
      <c r="H29" s="109" t="s">
        <v>23</v>
      </c>
      <c r="I29" s="109"/>
      <c r="J29" s="109"/>
      <c r="K29" s="109"/>
      <c r="L29" s="110"/>
      <c r="M29" s="100" t="s">
        <v>24</v>
      </c>
      <c r="N29" s="100" t="s">
        <v>25</v>
      </c>
      <c r="O29" s="114"/>
    </row>
    <row r="30" spans="1:15" ht="17.100000000000001" customHeight="1" x14ac:dyDescent="0.25">
      <c r="A30" s="116"/>
      <c r="B30" s="101"/>
      <c r="C30" s="101"/>
      <c r="D30" s="101"/>
      <c r="E30" s="101"/>
      <c r="F30" s="101"/>
      <c r="G30" s="101"/>
      <c r="H30" s="3" t="s">
        <v>27</v>
      </c>
      <c r="I30" s="35" t="s">
        <v>36</v>
      </c>
      <c r="J30" s="3" t="s">
        <v>29</v>
      </c>
      <c r="K30" s="4" t="s">
        <v>56</v>
      </c>
      <c r="L30" s="3" t="s">
        <v>30</v>
      </c>
      <c r="M30" s="101"/>
      <c r="N30" s="101"/>
      <c r="O30" s="66"/>
    </row>
    <row r="31" spans="1:15" ht="17.100000000000001" customHeight="1" x14ac:dyDescent="0.25">
      <c r="A31" s="15">
        <v>2</v>
      </c>
      <c r="B31" s="117" t="s">
        <v>37</v>
      </c>
      <c r="C31" s="117"/>
      <c r="D31" s="118"/>
      <c r="E31" s="118"/>
      <c r="F31" s="118"/>
      <c r="G31" s="16"/>
      <c r="H31" s="16"/>
      <c r="I31" s="16"/>
      <c r="J31" s="16"/>
      <c r="K31" s="16"/>
      <c r="L31" s="16"/>
      <c r="M31" s="27">
        <f>SUM(M32:M73)</f>
        <v>31049.495060188794</v>
      </c>
      <c r="N31" s="16"/>
      <c r="O31" s="114"/>
    </row>
    <row r="32" spans="1:15" s="19" customFormat="1" ht="17.100000000000001" customHeight="1" x14ac:dyDescent="0.2">
      <c r="A32" s="18" t="s">
        <v>50</v>
      </c>
      <c r="B32" s="18" t="s">
        <v>53</v>
      </c>
      <c r="C32" s="28">
        <v>142</v>
      </c>
      <c r="D32" s="18" t="s">
        <v>34</v>
      </c>
      <c r="E32" s="29" t="s">
        <v>100</v>
      </c>
      <c r="F32" s="18" t="s">
        <v>21</v>
      </c>
      <c r="G32" s="18">
        <v>240</v>
      </c>
      <c r="H32" s="43">
        <v>34.53</v>
      </c>
      <c r="I32" s="14">
        <f t="shared" ref="I32:I33" si="6">H32*0.1532</f>
        <v>5.2899960000000004</v>
      </c>
      <c r="J32" s="14">
        <f t="shared" ref="J32:J33" si="7">H32+I32</f>
        <v>39.819996000000003</v>
      </c>
      <c r="K32" s="14">
        <f t="shared" ref="K32:K33" si="8">J32*(0.03%)</f>
        <v>1.19459988E-2</v>
      </c>
      <c r="L32" s="14">
        <f t="shared" ref="L32:L33" si="9">J32-K32</f>
        <v>39.808050001200002</v>
      </c>
      <c r="M32" s="14">
        <f t="shared" ref="M32:M33" si="10">L32*G32</f>
        <v>9553.9320002880013</v>
      </c>
      <c r="N32" s="14">
        <f>M32/M31</f>
        <v>0.30770007633837215</v>
      </c>
      <c r="O32" s="114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1379</v>
      </c>
      <c r="D33" s="18" t="s">
        <v>34</v>
      </c>
      <c r="E33" s="30" t="s">
        <v>102</v>
      </c>
      <c r="F33" s="18" t="s">
        <v>21</v>
      </c>
      <c r="G33" s="18">
        <v>2500</v>
      </c>
      <c r="H33" s="44">
        <v>0.57999999999999996</v>
      </c>
      <c r="I33" s="14">
        <f t="shared" si="6"/>
        <v>8.8855999999999991E-2</v>
      </c>
      <c r="J33" s="14">
        <f t="shared" si="7"/>
        <v>0.6688559999999999</v>
      </c>
      <c r="K33" s="14">
        <f t="shared" si="8"/>
        <v>2.0065679999999996E-4</v>
      </c>
      <c r="L33" s="14">
        <f t="shared" si="9"/>
        <v>0.66865534319999986</v>
      </c>
      <c r="M33" s="14">
        <f t="shared" si="10"/>
        <v>1671.6383579999997</v>
      </c>
      <c r="N33" s="14">
        <f t="shared" ref="N33:N51" si="11">M33/M32</f>
        <v>0.17496862631528134</v>
      </c>
      <c r="O33" s="114"/>
    </row>
    <row r="34" spans="1:15" s="19" customFormat="1" ht="17.100000000000001" customHeight="1" x14ac:dyDescent="0.2">
      <c r="A34" s="18" t="s">
        <v>52</v>
      </c>
      <c r="B34" s="18" t="s">
        <v>53</v>
      </c>
      <c r="C34" s="18">
        <v>11681</v>
      </c>
      <c r="D34" s="18" t="s">
        <v>34</v>
      </c>
      <c r="E34" s="31" t="s">
        <v>112</v>
      </c>
      <c r="F34" s="18" t="s">
        <v>21</v>
      </c>
      <c r="G34" s="18">
        <v>20</v>
      </c>
      <c r="H34" s="44">
        <v>8.24</v>
      </c>
      <c r="I34" s="14">
        <f t="shared" ref="I34:I36" si="12">H34*0.1532</f>
        <v>1.2623680000000002</v>
      </c>
      <c r="J34" s="14">
        <f t="shared" ref="J34:J36" si="13">H34+I34</f>
        <v>9.5023680000000006</v>
      </c>
      <c r="K34" s="14">
        <f t="shared" ref="K34:K36" si="14">J34*(0.03%)</f>
        <v>2.8507103999999999E-3</v>
      </c>
      <c r="L34" s="14">
        <f t="shared" ref="L34:L36" si="15">J34-K34</f>
        <v>9.4995172896</v>
      </c>
      <c r="M34" s="14">
        <f t="shared" ref="M34:M36" si="16">L34*G34</f>
        <v>189.990345792</v>
      </c>
      <c r="N34" s="14">
        <f t="shared" si="11"/>
        <v>0.11365517241379312</v>
      </c>
      <c r="O34" s="114"/>
    </row>
    <row r="35" spans="1:15" s="19" customFormat="1" ht="17.100000000000001" customHeight="1" x14ac:dyDescent="0.2">
      <c r="A35" s="18" t="s">
        <v>82</v>
      </c>
      <c r="B35" s="18" t="s">
        <v>53</v>
      </c>
      <c r="C35" s="18">
        <v>6149</v>
      </c>
      <c r="D35" s="18" t="s">
        <v>34</v>
      </c>
      <c r="E35" s="37" t="s">
        <v>58</v>
      </c>
      <c r="F35" s="18" t="s">
        <v>21</v>
      </c>
      <c r="G35" s="18">
        <v>20</v>
      </c>
      <c r="H35" s="44">
        <v>14.44</v>
      </c>
      <c r="I35" s="14">
        <f t="shared" si="12"/>
        <v>2.212208</v>
      </c>
      <c r="J35" s="14">
        <f t="shared" si="13"/>
        <v>16.652207999999998</v>
      </c>
      <c r="K35" s="14">
        <f t="shared" si="14"/>
        <v>4.9956623999999989E-3</v>
      </c>
      <c r="L35" s="14">
        <f t="shared" si="15"/>
        <v>16.647212337599999</v>
      </c>
      <c r="M35" s="14">
        <f t="shared" si="16"/>
        <v>332.94424675199997</v>
      </c>
      <c r="N35" s="14">
        <f t="shared" si="11"/>
        <v>1.7524271844660193</v>
      </c>
      <c r="O35" s="114"/>
    </row>
    <row r="36" spans="1:15" s="19" customFormat="1" ht="17.100000000000001" customHeight="1" x14ac:dyDescent="0.2">
      <c r="A36" s="18" t="s">
        <v>83</v>
      </c>
      <c r="B36" s="18" t="s">
        <v>53</v>
      </c>
      <c r="C36" s="18">
        <v>11762</v>
      </c>
      <c r="D36" s="18" t="s">
        <v>34</v>
      </c>
      <c r="E36" s="38" t="s">
        <v>101</v>
      </c>
      <c r="F36" s="18" t="s">
        <v>21</v>
      </c>
      <c r="G36" s="18">
        <v>10</v>
      </c>
      <c r="H36" s="44">
        <v>56.5</v>
      </c>
      <c r="I36" s="14">
        <f t="shared" si="12"/>
        <v>8.6557999999999993</v>
      </c>
      <c r="J36" s="14">
        <f t="shared" si="13"/>
        <v>65.155799999999999</v>
      </c>
      <c r="K36" s="14">
        <f t="shared" si="14"/>
        <v>1.9546739999999996E-2</v>
      </c>
      <c r="L36" s="14">
        <f t="shared" si="15"/>
        <v>65.136253260000004</v>
      </c>
      <c r="M36" s="14">
        <f t="shared" si="16"/>
        <v>651.36253260000001</v>
      </c>
      <c r="N36" s="14">
        <f t="shared" si="11"/>
        <v>1.9563711911357342</v>
      </c>
      <c r="O36" s="114"/>
    </row>
    <row r="37" spans="1:15" s="19" customFormat="1" ht="17.100000000000001" customHeight="1" x14ac:dyDescent="0.2">
      <c r="A37" s="18" t="s">
        <v>84</v>
      </c>
      <c r="B37" s="18" t="s">
        <v>53</v>
      </c>
      <c r="C37" s="28">
        <v>377</v>
      </c>
      <c r="D37" s="18" t="s">
        <v>34</v>
      </c>
      <c r="E37" s="36" t="s">
        <v>99</v>
      </c>
      <c r="F37" s="18" t="s">
        <v>21</v>
      </c>
      <c r="G37" s="18">
        <v>30</v>
      </c>
      <c r="H37" s="45">
        <v>41.71</v>
      </c>
      <c r="I37" s="14">
        <f t="shared" ref="I37" si="17">H37*0.1532</f>
        <v>6.3899720000000002</v>
      </c>
      <c r="J37" s="14">
        <f t="shared" ref="J37" si="18">H37+I37</f>
        <v>48.099972000000001</v>
      </c>
      <c r="K37" s="14">
        <f t="shared" ref="K37" si="19">J37*(0.03%)</f>
        <v>1.4429991599999999E-2</v>
      </c>
      <c r="L37" s="14">
        <f t="shared" ref="L37" si="20">J37-K37</f>
        <v>48.085542008400004</v>
      </c>
      <c r="M37" s="14">
        <f t="shared" ref="M37" si="21">L37*G37</f>
        <v>1442.5662602520001</v>
      </c>
      <c r="N37" s="14">
        <f t="shared" si="11"/>
        <v>2.214690265486726</v>
      </c>
      <c r="O37" s="114"/>
    </row>
    <row r="38" spans="1:15" s="19" customFormat="1" ht="17.100000000000001" customHeight="1" x14ac:dyDescent="0.2">
      <c r="A38" s="18" t="s">
        <v>85</v>
      </c>
      <c r="B38" s="18" t="s">
        <v>53</v>
      </c>
      <c r="C38" s="18">
        <v>12613</v>
      </c>
      <c r="D38" s="18" t="s">
        <v>34</v>
      </c>
      <c r="E38" s="30" t="s">
        <v>105</v>
      </c>
      <c r="F38" s="18" t="s">
        <v>21</v>
      </c>
      <c r="G38" s="18">
        <v>20</v>
      </c>
      <c r="H38" s="44">
        <v>21.96</v>
      </c>
      <c r="I38" s="14">
        <f t="shared" ref="I38:I51" si="22">H38*0.1532</f>
        <v>3.3642720000000002</v>
      </c>
      <c r="J38" s="14">
        <f t="shared" ref="J38:J51" si="23">H38+I38</f>
        <v>25.324272000000001</v>
      </c>
      <c r="K38" s="14">
        <f t="shared" ref="K38:K51" si="24">J38*(0.03%)</f>
        <v>7.5972815999999993E-3</v>
      </c>
      <c r="L38" s="14">
        <f t="shared" ref="L38:L51" si="25">J38-K38</f>
        <v>25.316674718400002</v>
      </c>
      <c r="M38" s="14">
        <f t="shared" ref="M38:M51" si="26">L38*G38</f>
        <v>506.33349436800006</v>
      </c>
      <c r="N38" s="14">
        <f t="shared" si="11"/>
        <v>0.35099496523615442</v>
      </c>
      <c r="O38" s="114"/>
    </row>
    <row r="39" spans="1:15" s="19" customFormat="1" ht="17.100000000000001" customHeight="1" x14ac:dyDescent="0.2">
      <c r="A39" s="18" t="s">
        <v>86</v>
      </c>
      <c r="B39" s="18" t="s">
        <v>53</v>
      </c>
      <c r="C39" s="18">
        <v>38124</v>
      </c>
      <c r="D39" s="18" t="s">
        <v>34</v>
      </c>
      <c r="E39" s="31" t="s">
        <v>115</v>
      </c>
      <c r="F39" s="18" t="s">
        <v>21</v>
      </c>
      <c r="G39" s="18">
        <v>12</v>
      </c>
      <c r="H39" s="44">
        <v>32.9</v>
      </c>
      <c r="I39" s="14">
        <f t="shared" si="22"/>
        <v>5.0402800000000001</v>
      </c>
      <c r="J39" s="14">
        <f t="shared" si="23"/>
        <v>37.940280000000001</v>
      </c>
      <c r="K39" s="14">
        <f t="shared" si="24"/>
        <v>1.1382083999999999E-2</v>
      </c>
      <c r="L39" s="14">
        <f t="shared" si="25"/>
        <v>37.928897916000004</v>
      </c>
      <c r="M39" s="14">
        <f t="shared" si="26"/>
        <v>455.14677499200002</v>
      </c>
      <c r="N39" s="14">
        <f t="shared" si="11"/>
        <v>0.8989071038251365</v>
      </c>
      <c r="O39" s="114"/>
    </row>
    <row r="40" spans="1:15" s="19" customFormat="1" ht="17.100000000000001" customHeight="1" x14ac:dyDescent="0.2">
      <c r="A40" s="18" t="s">
        <v>87</v>
      </c>
      <c r="B40" s="18" t="s">
        <v>53</v>
      </c>
      <c r="C40" s="18">
        <v>3148</v>
      </c>
      <c r="D40" s="18" t="s">
        <v>34</v>
      </c>
      <c r="E40" s="36" t="s">
        <v>116</v>
      </c>
      <c r="F40" s="18" t="s">
        <v>21</v>
      </c>
      <c r="G40" s="18">
        <v>10</v>
      </c>
      <c r="H40" s="44">
        <v>8.77</v>
      </c>
      <c r="I40" s="14">
        <f t="shared" si="22"/>
        <v>1.343564</v>
      </c>
      <c r="J40" s="14">
        <f t="shared" si="23"/>
        <v>10.113564</v>
      </c>
      <c r="K40" s="14">
        <f t="shared" si="24"/>
        <v>3.0340692E-3</v>
      </c>
      <c r="L40" s="14">
        <f t="shared" si="25"/>
        <v>10.1105299308</v>
      </c>
      <c r="M40" s="14">
        <f t="shared" si="26"/>
        <v>101.105299308</v>
      </c>
      <c r="N40" s="14">
        <f t="shared" si="11"/>
        <v>0.22213779128672745</v>
      </c>
      <c r="O40" s="114"/>
    </row>
    <row r="41" spans="1:15" s="19" customFormat="1" ht="17.100000000000001" customHeight="1" x14ac:dyDescent="0.2">
      <c r="A41" s="18" t="s">
        <v>88</v>
      </c>
      <c r="B41" s="18" t="s">
        <v>53</v>
      </c>
      <c r="C41" s="18">
        <v>38383</v>
      </c>
      <c r="D41" s="18" t="s">
        <v>34</v>
      </c>
      <c r="E41" s="37" t="s">
        <v>117</v>
      </c>
      <c r="F41" s="18" t="s">
        <v>21</v>
      </c>
      <c r="G41" s="18">
        <v>25</v>
      </c>
      <c r="H41" s="44">
        <v>2.66</v>
      </c>
      <c r="I41" s="14">
        <f t="shared" si="22"/>
        <v>0.40751200000000004</v>
      </c>
      <c r="J41" s="14">
        <f t="shared" si="23"/>
        <v>3.0675120000000002</v>
      </c>
      <c r="K41" s="14">
        <f t="shared" si="24"/>
        <v>9.2025359999999999E-4</v>
      </c>
      <c r="L41" s="14">
        <f t="shared" si="25"/>
        <v>3.0665917464000003</v>
      </c>
      <c r="M41" s="14">
        <f t="shared" si="26"/>
        <v>76.664793660000015</v>
      </c>
      <c r="N41" s="14">
        <f t="shared" si="11"/>
        <v>0.75826681870011414</v>
      </c>
      <c r="O41" s="114"/>
    </row>
    <row r="42" spans="1:15" s="19" customFormat="1" ht="17.100000000000001" customHeight="1" x14ac:dyDescent="0.2">
      <c r="A42" s="18" t="s">
        <v>89</v>
      </c>
      <c r="B42" s="18" t="s">
        <v>53</v>
      </c>
      <c r="C42" s="18">
        <v>3534</v>
      </c>
      <c r="D42" s="18" t="s">
        <v>34</v>
      </c>
      <c r="E42" s="37" t="s">
        <v>118</v>
      </c>
      <c r="F42" s="18" t="s">
        <v>21</v>
      </c>
      <c r="G42" s="18">
        <v>10</v>
      </c>
      <c r="H42" s="44">
        <v>7.98</v>
      </c>
      <c r="I42" s="14">
        <f t="shared" si="22"/>
        <v>1.2225360000000001</v>
      </c>
      <c r="J42" s="14">
        <f t="shared" si="23"/>
        <v>9.2025360000000003</v>
      </c>
      <c r="K42" s="14">
        <f t="shared" si="24"/>
        <v>2.7607608E-3</v>
      </c>
      <c r="L42" s="14">
        <f t="shared" si="25"/>
        <v>9.199775239200001</v>
      </c>
      <c r="M42" s="14">
        <f t="shared" si="26"/>
        <v>91.99775239200001</v>
      </c>
      <c r="N42" s="14">
        <f t="shared" si="11"/>
        <v>1.2</v>
      </c>
      <c r="O42" s="114"/>
    </row>
    <row r="43" spans="1:15" s="19" customFormat="1" ht="17.100000000000001" customHeight="1" x14ac:dyDescent="0.2">
      <c r="A43" s="18" t="s">
        <v>90</v>
      </c>
      <c r="B43" s="18" t="s">
        <v>53</v>
      </c>
      <c r="C43" s="18">
        <v>3529</v>
      </c>
      <c r="D43" s="18" t="s">
        <v>34</v>
      </c>
      <c r="E43" s="31" t="s">
        <v>106</v>
      </c>
      <c r="F43" s="18" t="s">
        <v>21</v>
      </c>
      <c r="G43" s="18">
        <v>10</v>
      </c>
      <c r="H43" s="44">
        <v>0.76</v>
      </c>
      <c r="I43" s="14">
        <f t="shared" si="22"/>
        <v>0.11643200000000001</v>
      </c>
      <c r="J43" s="14">
        <f t="shared" si="23"/>
        <v>0.87643199999999999</v>
      </c>
      <c r="K43" s="14">
        <f t="shared" si="24"/>
        <v>2.6292959999999995E-4</v>
      </c>
      <c r="L43" s="14">
        <f t="shared" si="25"/>
        <v>0.87616907040000003</v>
      </c>
      <c r="M43" s="14">
        <f t="shared" si="26"/>
        <v>8.7616907039999994</v>
      </c>
      <c r="N43" s="14">
        <f t="shared" si="11"/>
        <v>9.5238095238095219E-2</v>
      </c>
      <c r="O43" s="114"/>
    </row>
    <row r="44" spans="1:15" s="19" customFormat="1" ht="17.100000000000001" customHeight="1" x14ac:dyDescent="0.2">
      <c r="A44" s="18" t="s">
        <v>91</v>
      </c>
      <c r="B44" s="18" t="s">
        <v>53</v>
      </c>
      <c r="C44" s="18">
        <v>3863</v>
      </c>
      <c r="D44" s="18" t="s">
        <v>34</v>
      </c>
      <c r="E44" s="29" t="s">
        <v>119</v>
      </c>
      <c r="F44" s="39" t="s">
        <v>21</v>
      </c>
      <c r="G44" s="18">
        <v>18</v>
      </c>
      <c r="H44" s="46">
        <v>4.58</v>
      </c>
      <c r="I44" s="14">
        <f t="shared" si="22"/>
        <v>0.70165600000000006</v>
      </c>
      <c r="J44" s="14">
        <f t="shared" si="23"/>
        <v>5.2816559999999999</v>
      </c>
      <c r="K44" s="14">
        <f t="shared" si="24"/>
        <v>1.5844967999999997E-3</v>
      </c>
      <c r="L44" s="14">
        <f t="shared" si="25"/>
        <v>5.2800715032000003</v>
      </c>
      <c r="M44" s="14">
        <f t="shared" si="26"/>
        <v>95.041287057600002</v>
      </c>
      <c r="N44" s="14">
        <f t="shared" si="11"/>
        <v>10.847368421052632</v>
      </c>
      <c r="O44" s="114"/>
    </row>
    <row r="45" spans="1:15" s="19" customFormat="1" ht="17.100000000000001" customHeight="1" x14ac:dyDescent="0.2">
      <c r="A45" s="18" t="s">
        <v>92</v>
      </c>
      <c r="B45" s="18" t="s">
        <v>53</v>
      </c>
      <c r="C45" s="18">
        <v>3903</v>
      </c>
      <c r="D45" s="18" t="s">
        <v>34</v>
      </c>
      <c r="E45" s="30" t="s">
        <v>120</v>
      </c>
      <c r="F45" s="39" t="s">
        <v>21</v>
      </c>
      <c r="G45" s="18">
        <v>10</v>
      </c>
      <c r="H45" s="46">
        <v>2.1</v>
      </c>
      <c r="I45" s="14">
        <f t="shared" si="22"/>
        <v>0.32172000000000001</v>
      </c>
      <c r="J45" s="14">
        <f t="shared" si="23"/>
        <v>2.4217200000000001</v>
      </c>
      <c r="K45" s="14">
        <f t="shared" si="24"/>
        <v>7.2651599999999997E-4</v>
      </c>
      <c r="L45" s="14">
        <f t="shared" si="25"/>
        <v>2.4209934840000003</v>
      </c>
      <c r="M45" s="14">
        <f t="shared" si="26"/>
        <v>24.209934840000003</v>
      </c>
      <c r="N45" s="14">
        <f t="shared" si="11"/>
        <v>0.25473071324599711</v>
      </c>
      <c r="O45" s="114"/>
    </row>
    <row r="46" spans="1:15" s="19" customFormat="1" ht="17.100000000000001" customHeight="1" x14ac:dyDescent="0.2">
      <c r="A46" s="18" t="s">
        <v>93</v>
      </c>
      <c r="B46" s="18" t="s">
        <v>53</v>
      </c>
      <c r="C46" s="18">
        <v>3825</v>
      </c>
      <c r="D46" s="18" t="s">
        <v>34</v>
      </c>
      <c r="E46" s="30" t="s">
        <v>121</v>
      </c>
      <c r="F46" s="39" t="s">
        <v>21</v>
      </c>
      <c r="G46" s="18">
        <v>15</v>
      </c>
      <c r="H46" s="44">
        <v>17.34</v>
      </c>
      <c r="I46" s="14">
        <f t="shared" si="22"/>
        <v>2.656488</v>
      </c>
      <c r="J46" s="14">
        <f t="shared" si="23"/>
        <v>19.996487999999999</v>
      </c>
      <c r="K46" s="14">
        <f t="shared" si="24"/>
        <v>5.9989463999999991E-3</v>
      </c>
      <c r="L46" s="14">
        <f t="shared" si="25"/>
        <v>19.990489053600001</v>
      </c>
      <c r="M46" s="14">
        <f t="shared" si="26"/>
        <v>299.857335804</v>
      </c>
      <c r="N46" s="14">
        <f t="shared" si="11"/>
        <v>12.385714285714284</v>
      </c>
      <c r="O46" s="114"/>
    </row>
    <row r="47" spans="1:15" s="19" customFormat="1" ht="17.100000000000001" customHeight="1" x14ac:dyDescent="0.2">
      <c r="A47" s="18" t="s">
        <v>94</v>
      </c>
      <c r="B47" s="18" t="s">
        <v>53</v>
      </c>
      <c r="C47" s="18">
        <v>7140</v>
      </c>
      <c r="D47" s="18" t="s">
        <v>34</v>
      </c>
      <c r="E47" s="30" t="s">
        <v>122</v>
      </c>
      <c r="F47" s="18" t="s">
        <v>21</v>
      </c>
      <c r="G47" s="18">
        <v>20</v>
      </c>
      <c r="H47" s="44">
        <v>3.96</v>
      </c>
      <c r="I47" s="14">
        <f t="shared" si="22"/>
        <v>0.60667199999999999</v>
      </c>
      <c r="J47" s="14">
        <f t="shared" si="23"/>
        <v>4.5666719999999996</v>
      </c>
      <c r="K47" s="14">
        <f t="shared" si="24"/>
        <v>1.3700015999999998E-3</v>
      </c>
      <c r="L47" s="14">
        <f t="shared" si="25"/>
        <v>4.5653019983999998</v>
      </c>
      <c r="M47" s="14">
        <f t="shared" si="26"/>
        <v>91.306039967999993</v>
      </c>
      <c r="N47" s="14">
        <f t="shared" si="11"/>
        <v>0.30449826989619377</v>
      </c>
      <c r="O47" s="114"/>
    </row>
    <row r="48" spans="1:15" s="19" customFormat="1" ht="17.100000000000001" customHeight="1" x14ac:dyDescent="0.2">
      <c r="A48" s="18" t="s">
        <v>95</v>
      </c>
      <c r="B48" s="18" t="s">
        <v>53</v>
      </c>
      <c r="C48" s="18">
        <v>9906</v>
      </c>
      <c r="D48" s="18" t="s">
        <v>34</v>
      </c>
      <c r="E48" s="30" t="s">
        <v>123</v>
      </c>
      <c r="F48" s="18" t="s">
        <v>21</v>
      </c>
      <c r="G48" s="18">
        <v>10</v>
      </c>
      <c r="H48" s="44">
        <v>8.39</v>
      </c>
      <c r="I48" s="14">
        <f t="shared" si="22"/>
        <v>1.2853480000000002</v>
      </c>
      <c r="J48" s="14">
        <f t="shared" si="23"/>
        <v>9.6753480000000014</v>
      </c>
      <c r="K48" s="14">
        <f t="shared" si="24"/>
        <v>2.9026044000000002E-3</v>
      </c>
      <c r="L48" s="14">
        <f t="shared" si="25"/>
        <v>9.6724453956000023</v>
      </c>
      <c r="M48" s="14">
        <f t="shared" si="26"/>
        <v>96.724453956000019</v>
      </c>
      <c r="N48" s="14">
        <f t="shared" si="11"/>
        <v>1.0593434343434347</v>
      </c>
      <c r="O48" s="114"/>
    </row>
    <row r="49" spans="1:15" s="19" customFormat="1" ht="17.100000000000001" customHeight="1" x14ac:dyDescent="0.2">
      <c r="A49" s="18" t="s">
        <v>96</v>
      </c>
      <c r="B49" s="18" t="s">
        <v>53</v>
      </c>
      <c r="C49" s="18">
        <v>765</v>
      </c>
      <c r="D49" s="18" t="s">
        <v>34</v>
      </c>
      <c r="E49" s="30" t="s">
        <v>124</v>
      </c>
      <c r="F49" s="18" t="s">
        <v>21</v>
      </c>
      <c r="G49" s="18">
        <v>20</v>
      </c>
      <c r="H49" s="44">
        <v>10.4</v>
      </c>
      <c r="I49" s="14">
        <f t="shared" si="22"/>
        <v>1.59328</v>
      </c>
      <c r="J49" s="14">
        <f t="shared" si="23"/>
        <v>11.99328</v>
      </c>
      <c r="K49" s="14">
        <f t="shared" si="24"/>
        <v>3.5979839999999998E-3</v>
      </c>
      <c r="L49" s="14">
        <f t="shared" si="25"/>
        <v>11.989682016</v>
      </c>
      <c r="M49" s="14">
        <f t="shared" si="26"/>
        <v>239.79364032000001</v>
      </c>
      <c r="N49" s="14">
        <f t="shared" si="11"/>
        <v>2.4791418355184738</v>
      </c>
      <c r="O49" s="114"/>
    </row>
    <row r="50" spans="1:15" s="19" customFormat="1" ht="17.100000000000001" customHeight="1" x14ac:dyDescent="0.2">
      <c r="A50" s="18" t="s">
        <v>97</v>
      </c>
      <c r="B50" s="18" t="s">
        <v>53</v>
      </c>
      <c r="C50" s="18">
        <v>11621</v>
      </c>
      <c r="D50" s="18" t="s">
        <v>34</v>
      </c>
      <c r="E50" s="29" t="s">
        <v>125</v>
      </c>
      <c r="F50" s="18" t="s">
        <v>126</v>
      </c>
      <c r="G50" s="18">
        <v>40</v>
      </c>
      <c r="H50" s="44">
        <v>57.96</v>
      </c>
      <c r="I50" s="14">
        <f t="shared" si="22"/>
        <v>8.8794719999999998</v>
      </c>
      <c r="J50" s="14">
        <f t="shared" si="23"/>
        <v>66.839472000000001</v>
      </c>
      <c r="K50" s="14">
        <f t="shared" si="24"/>
        <v>2.0051841599999998E-2</v>
      </c>
      <c r="L50" s="14">
        <f t="shared" si="25"/>
        <v>66.819420158400007</v>
      </c>
      <c r="M50" s="14">
        <f t="shared" si="26"/>
        <v>2672.7768063360004</v>
      </c>
      <c r="N50" s="14">
        <f t="shared" si="11"/>
        <v>11.146153846153847</v>
      </c>
      <c r="O50" s="114"/>
    </row>
    <row r="51" spans="1:15" s="19" customFormat="1" ht="17.100000000000001" customHeight="1" x14ac:dyDescent="0.2">
      <c r="A51" s="18" t="s">
        <v>98</v>
      </c>
      <c r="B51" s="18" t="s">
        <v>53</v>
      </c>
      <c r="C51" s="18">
        <v>367</v>
      </c>
      <c r="D51" s="18" t="s">
        <v>34</v>
      </c>
      <c r="E51" s="36" t="s">
        <v>103</v>
      </c>
      <c r="F51" s="18" t="s">
        <v>104</v>
      </c>
      <c r="G51" s="18">
        <v>5</v>
      </c>
      <c r="H51" s="46">
        <v>60.78</v>
      </c>
      <c r="I51" s="14">
        <f t="shared" si="22"/>
        <v>9.311496</v>
      </c>
      <c r="J51" s="14">
        <f t="shared" si="23"/>
        <v>70.091496000000006</v>
      </c>
      <c r="K51" s="14">
        <f t="shared" si="24"/>
        <v>2.1027448800000001E-2</v>
      </c>
      <c r="L51" s="14">
        <f t="shared" si="25"/>
        <v>70.070468551200008</v>
      </c>
      <c r="M51" s="14">
        <f t="shared" si="26"/>
        <v>350.35234275600004</v>
      </c>
      <c r="N51" s="14">
        <f t="shared" si="11"/>
        <v>0.13108178053830227</v>
      </c>
      <c r="O51" s="114"/>
    </row>
    <row r="52" spans="1:15" s="19" customFormat="1" ht="17.100000000000001" customHeight="1" x14ac:dyDescent="0.2">
      <c r="A52" s="18" t="s">
        <v>142</v>
      </c>
      <c r="B52" s="18" t="s">
        <v>53</v>
      </c>
      <c r="C52" s="28">
        <v>142</v>
      </c>
      <c r="D52" s="18" t="s">
        <v>34</v>
      </c>
      <c r="E52" s="29" t="s">
        <v>100</v>
      </c>
      <c r="F52" s="18" t="s">
        <v>21</v>
      </c>
      <c r="G52" s="18">
        <v>100</v>
      </c>
      <c r="H52" s="51">
        <v>34.53</v>
      </c>
      <c r="I52" s="14">
        <f t="shared" ref="I52:I72" si="27">H52*0.1532</f>
        <v>5.2899960000000004</v>
      </c>
      <c r="J52" s="14">
        <f t="shared" ref="J52:J72" si="28">H52+I52</f>
        <v>39.819996000000003</v>
      </c>
      <c r="K52" s="14">
        <f t="shared" ref="K52:K72" si="29">J52*(0.03%)</f>
        <v>1.19459988E-2</v>
      </c>
      <c r="L52" s="14">
        <f t="shared" ref="L52:L72" si="30">J52-K52</f>
        <v>39.808050001200002</v>
      </c>
      <c r="M52" s="14">
        <f t="shared" ref="M52:M72" si="31">L52*G52</f>
        <v>3980.8050001199999</v>
      </c>
      <c r="N52" s="14"/>
      <c r="O52" s="114"/>
    </row>
    <row r="53" spans="1:15" s="19" customFormat="1" ht="17.100000000000001" customHeight="1" x14ac:dyDescent="0.2">
      <c r="A53" s="18" t="s">
        <v>144</v>
      </c>
      <c r="B53" s="18" t="s">
        <v>53</v>
      </c>
      <c r="C53" s="28">
        <v>39961</v>
      </c>
      <c r="D53" s="18" t="s">
        <v>34</v>
      </c>
      <c r="E53" s="29" t="s">
        <v>127</v>
      </c>
      <c r="F53" s="18" t="s">
        <v>21</v>
      </c>
      <c r="G53" s="18">
        <v>24</v>
      </c>
      <c r="H53" s="52">
        <v>22.81</v>
      </c>
      <c r="I53" s="14">
        <f t="shared" si="27"/>
        <v>3.4944919999999997</v>
      </c>
      <c r="J53" s="14">
        <f t="shared" si="28"/>
        <v>26.304492</v>
      </c>
      <c r="K53" s="14">
        <f t="shared" si="29"/>
        <v>7.8913475999999993E-3</v>
      </c>
      <c r="L53" s="14">
        <f t="shared" si="30"/>
        <v>26.296600652399999</v>
      </c>
      <c r="M53" s="14">
        <f t="shared" si="31"/>
        <v>631.11841565759994</v>
      </c>
      <c r="N53" s="14"/>
      <c r="O53" s="114"/>
    </row>
    <row r="54" spans="1:15" s="19" customFormat="1" ht="17.100000000000001" customHeight="1" x14ac:dyDescent="0.2">
      <c r="A54" s="18" t="s">
        <v>146</v>
      </c>
      <c r="B54" s="18" t="s">
        <v>53</v>
      </c>
      <c r="C54" s="18">
        <v>1379</v>
      </c>
      <c r="D54" s="18" t="s">
        <v>34</v>
      </c>
      <c r="E54" s="30" t="s">
        <v>102</v>
      </c>
      <c r="F54" s="18" t="s">
        <v>21</v>
      </c>
      <c r="G54" s="18">
        <v>1500</v>
      </c>
      <c r="H54" s="53">
        <v>0.57999999999999996</v>
      </c>
      <c r="I54" s="14">
        <f t="shared" si="27"/>
        <v>8.8855999999999991E-2</v>
      </c>
      <c r="J54" s="14">
        <f t="shared" si="28"/>
        <v>0.6688559999999999</v>
      </c>
      <c r="K54" s="14">
        <f t="shared" si="29"/>
        <v>2.0065679999999996E-4</v>
      </c>
      <c r="L54" s="14">
        <f t="shared" si="30"/>
        <v>0.66865534319999986</v>
      </c>
      <c r="M54" s="14">
        <f t="shared" si="31"/>
        <v>1002.9830147999998</v>
      </c>
      <c r="N54" s="14"/>
      <c r="O54" s="114"/>
    </row>
    <row r="55" spans="1:15" s="19" customFormat="1" ht="17.100000000000001" customHeight="1" x14ac:dyDescent="0.2">
      <c r="A55" s="18" t="s">
        <v>148</v>
      </c>
      <c r="B55" s="18" t="s">
        <v>53</v>
      </c>
      <c r="C55" s="18">
        <v>38021</v>
      </c>
      <c r="D55" s="18" t="s">
        <v>34</v>
      </c>
      <c r="E55" s="30" t="s">
        <v>128</v>
      </c>
      <c r="F55" s="39" t="s">
        <v>21</v>
      </c>
      <c r="G55" s="18">
        <v>15</v>
      </c>
      <c r="H55" s="52">
        <v>23</v>
      </c>
      <c r="I55" s="14">
        <f t="shared" si="27"/>
        <v>3.5236000000000001</v>
      </c>
      <c r="J55" s="14">
        <f t="shared" si="28"/>
        <v>26.523600000000002</v>
      </c>
      <c r="K55" s="14">
        <f t="shared" si="29"/>
        <v>7.9570800000000001E-3</v>
      </c>
      <c r="L55" s="14">
        <f t="shared" si="30"/>
        <v>26.515642920000001</v>
      </c>
      <c r="M55" s="14">
        <f t="shared" si="31"/>
        <v>397.73464380000001</v>
      </c>
      <c r="N55" s="14"/>
      <c r="O55" s="114"/>
    </row>
    <row r="56" spans="1:15" s="19" customFormat="1" ht="17.100000000000001" customHeight="1" x14ac:dyDescent="0.2">
      <c r="A56" s="18" t="s">
        <v>149</v>
      </c>
      <c r="B56" s="18" t="s">
        <v>53</v>
      </c>
      <c r="C56" s="18">
        <v>3903</v>
      </c>
      <c r="D56" s="18" t="s">
        <v>34</v>
      </c>
      <c r="E56" s="30" t="s">
        <v>120</v>
      </c>
      <c r="F56" s="39" t="s">
        <v>21</v>
      </c>
      <c r="G56" s="18">
        <v>10</v>
      </c>
      <c r="H56" s="52">
        <v>2.1</v>
      </c>
      <c r="I56" s="14">
        <f t="shared" si="27"/>
        <v>0.32172000000000001</v>
      </c>
      <c r="J56" s="14">
        <f t="shared" si="28"/>
        <v>2.4217200000000001</v>
      </c>
      <c r="K56" s="14">
        <f t="shared" si="29"/>
        <v>7.2651599999999997E-4</v>
      </c>
      <c r="L56" s="14">
        <f t="shared" si="30"/>
        <v>2.4209934840000003</v>
      </c>
      <c r="M56" s="14">
        <f t="shared" si="31"/>
        <v>24.209934840000003</v>
      </c>
      <c r="N56" s="14"/>
      <c r="O56" s="114"/>
    </row>
    <row r="57" spans="1:15" s="19" customFormat="1" ht="17.100000000000001" customHeight="1" x14ac:dyDescent="0.2">
      <c r="A57" s="18" t="s">
        <v>150</v>
      </c>
      <c r="B57" s="18" t="s">
        <v>53</v>
      </c>
      <c r="C57" s="18">
        <v>3904</v>
      </c>
      <c r="D57" s="18" t="s">
        <v>34</v>
      </c>
      <c r="E57" s="29" t="s">
        <v>129</v>
      </c>
      <c r="F57" s="18" t="s">
        <v>21</v>
      </c>
      <c r="G57" s="18">
        <v>10</v>
      </c>
      <c r="H57" s="52">
        <v>0.86</v>
      </c>
      <c r="I57" s="14">
        <f t="shared" si="27"/>
        <v>0.13175200000000001</v>
      </c>
      <c r="J57" s="14">
        <f t="shared" si="28"/>
        <v>0.99175199999999997</v>
      </c>
      <c r="K57" s="14">
        <f t="shared" si="29"/>
        <v>2.9752559999999997E-4</v>
      </c>
      <c r="L57" s="14">
        <f t="shared" si="30"/>
        <v>0.99145447440000001</v>
      </c>
      <c r="M57" s="14">
        <f t="shared" si="31"/>
        <v>9.9145447440000005</v>
      </c>
      <c r="N57" s="14"/>
      <c r="O57" s="114"/>
    </row>
    <row r="58" spans="1:15" s="19" customFormat="1" ht="17.100000000000001" customHeight="1" x14ac:dyDescent="0.2">
      <c r="A58" s="18" t="s">
        <v>151</v>
      </c>
      <c r="B58" s="18" t="s">
        <v>53</v>
      </c>
      <c r="C58" s="18">
        <v>3536</v>
      </c>
      <c r="D58" s="18" t="s">
        <v>34</v>
      </c>
      <c r="E58" s="30" t="s">
        <v>130</v>
      </c>
      <c r="F58" s="18" t="s">
        <v>21</v>
      </c>
      <c r="G58" s="18">
        <v>10</v>
      </c>
      <c r="H58" s="52">
        <v>2.54</v>
      </c>
      <c r="I58" s="14">
        <f t="shared" si="27"/>
        <v>0.38912800000000003</v>
      </c>
      <c r="J58" s="14">
        <f t="shared" si="28"/>
        <v>2.929128</v>
      </c>
      <c r="K58" s="14">
        <f t="shared" si="29"/>
        <v>8.7873839999999992E-4</v>
      </c>
      <c r="L58" s="14">
        <f t="shared" si="30"/>
        <v>2.9282492616</v>
      </c>
      <c r="M58" s="14">
        <f t="shared" si="31"/>
        <v>29.282492615999999</v>
      </c>
      <c r="N58" s="14"/>
      <c r="O58" s="114"/>
    </row>
    <row r="59" spans="1:15" s="19" customFormat="1" ht="17.100000000000001" customHeight="1" x14ac:dyDescent="0.2">
      <c r="A59" s="18" t="s">
        <v>152</v>
      </c>
      <c r="B59" s="18" t="s">
        <v>53</v>
      </c>
      <c r="C59" s="18">
        <v>3529</v>
      </c>
      <c r="D59" s="18" t="s">
        <v>34</v>
      </c>
      <c r="E59" s="31" t="s">
        <v>106</v>
      </c>
      <c r="F59" s="18" t="s">
        <v>21</v>
      </c>
      <c r="G59" s="18">
        <v>10</v>
      </c>
      <c r="H59" s="53">
        <v>0.76</v>
      </c>
      <c r="I59" s="14">
        <f t="shared" si="27"/>
        <v>0.11643200000000001</v>
      </c>
      <c r="J59" s="14">
        <f t="shared" si="28"/>
        <v>0.87643199999999999</v>
      </c>
      <c r="K59" s="14">
        <f t="shared" si="29"/>
        <v>2.6292959999999995E-4</v>
      </c>
      <c r="L59" s="14">
        <f t="shared" si="30"/>
        <v>0.87616907040000003</v>
      </c>
      <c r="M59" s="14">
        <f t="shared" si="31"/>
        <v>8.7616907039999994</v>
      </c>
      <c r="N59" s="14"/>
      <c r="O59" s="114"/>
    </row>
    <row r="60" spans="1:15" s="19" customFormat="1" ht="17.100000000000001" customHeight="1" x14ac:dyDescent="0.2">
      <c r="A60" s="18" t="s">
        <v>153</v>
      </c>
      <c r="B60" s="18" t="s">
        <v>53</v>
      </c>
      <c r="C60" s="18">
        <v>812</v>
      </c>
      <c r="D60" s="18" t="s">
        <v>34</v>
      </c>
      <c r="E60" s="38" t="s">
        <v>131</v>
      </c>
      <c r="F60" s="18" t="s">
        <v>21</v>
      </c>
      <c r="G60" s="18">
        <v>18</v>
      </c>
      <c r="H60" s="53">
        <v>2.21</v>
      </c>
      <c r="I60" s="14">
        <f t="shared" si="27"/>
        <v>0.33857199999999998</v>
      </c>
      <c r="J60" s="14">
        <f t="shared" si="28"/>
        <v>2.5485720000000001</v>
      </c>
      <c r="K60" s="14">
        <f t="shared" si="29"/>
        <v>7.645715999999999E-4</v>
      </c>
      <c r="L60" s="14">
        <f t="shared" si="30"/>
        <v>2.5478074284000001</v>
      </c>
      <c r="M60" s="14">
        <f t="shared" si="31"/>
        <v>45.860533711199999</v>
      </c>
      <c r="N60" s="14"/>
      <c r="O60" s="114"/>
    </row>
    <row r="61" spans="1:15" s="19" customFormat="1" ht="17.100000000000001" customHeight="1" x14ac:dyDescent="0.2">
      <c r="A61" s="18" t="s">
        <v>154</v>
      </c>
      <c r="B61" s="18" t="s">
        <v>53</v>
      </c>
      <c r="C61" s="18">
        <v>829</v>
      </c>
      <c r="D61" s="18" t="s">
        <v>34</v>
      </c>
      <c r="E61" s="30" t="s">
        <v>132</v>
      </c>
      <c r="F61" s="18" t="s">
        <v>21</v>
      </c>
      <c r="G61" s="18">
        <v>40</v>
      </c>
      <c r="H61" s="52">
        <v>1</v>
      </c>
      <c r="I61" s="14">
        <f t="shared" si="27"/>
        <v>0.1532</v>
      </c>
      <c r="J61" s="14">
        <f t="shared" si="28"/>
        <v>1.1532</v>
      </c>
      <c r="K61" s="14">
        <f t="shared" si="29"/>
        <v>3.4595999999999997E-4</v>
      </c>
      <c r="L61" s="14">
        <f t="shared" si="30"/>
        <v>1.15285404</v>
      </c>
      <c r="M61" s="14">
        <f t="shared" si="31"/>
        <v>46.114161600000003</v>
      </c>
      <c r="N61" s="14"/>
      <c r="O61" s="114"/>
    </row>
    <row r="62" spans="1:15" s="19" customFormat="1" ht="17.100000000000001" customHeight="1" x14ac:dyDescent="0.2">
      <c r="A62" s="18" t="s">
        <v>155</v>
      </c>
      <c r="B62" s="18" t="s">
        <v>53</v>
      </c>
      <c r="C62" s="18">
        <v>108</v>
      </c>
      <c r="D62" s="18" t="s">
        <v>34</v>
      </c>
      <c r="E62" s="30" t="s">
        <v>133</v>
      </c>
      <c r="F62" s="18" t="s">
        <v>21</v>
      </c>
      <c r="G62" s="18">
        <v>10</v>
      </c>
      <c r="H62" s="52">
        <v>1.88</v>
      </c>
      <c r="I62" s="14">
        <f t="shared" si="27"/>
        <v>0.28801599999999999</v>
      </c>
      <c r="J62" s="14">
        <f t="shared" si="28"/>
        <v>2.1680159999999997</v>
      </c>
      <c r="K62" s="14">
        <f t="shared" si="29"/>
        <v>6.5040479999999988E-4</v>
      </c>
      <c r="L62" s="14">
        <f t="shared" si="30"/>
        <v>2.1673655951999997</v>
      </c>
      <c r="M62" s="14">
        <f t="shared" si="31"/>
        <v>21.673655951999997</v>
      </c>
      <c r="N62" s="14"/>
      <c r="O62" s="114"/>
    </row>
    <row r="63" spans="1:15" s="19" customFormat="1" ht="17.100000000000001" customHeight="1" x14ac:dyDescent="0.2">
      <c r="A63" s="18" t="s">
        <v>156</v>
      </c>
      <c r="B63" s="18" t="s">
        <v>53</v>
      </c>
      <c r="C63" s="28">
        <v>1368</v>
      </c>
      <c r="D63" s="18" t="s">
        <v>34</v>
      </c>
      <c r="E63" s="19" t="s">
        <v>134</v>
      </c>
      <c r="F63" s="18" t="s">
        <v>21</v>
      </c>
      <c r="G63" s="18">
        <v>20</v>
      </c>
      <c r="H63" s="51">
        <v>87.9</v>
      </c>
      <c r="I63" s="14">
        <f t="shared" si="27"/>
        <v>13.466280000000001</v>
      </c>
      <c r="J63" s="14">
        <f t="shared" si="28"/>
        <v>101.36628</v>
      </c>
      <c r="K63" s="14">
        <f t="shared" si="29"/>
        <v>3.0409883999999998E-2</v>
      </c>
      <c r="L63" s="14">
        <f t="shared" si="30"/>
        <v>101.33587011600001</v>
      </c>
      <c r="M63" s="14">
        <f t="shared" si="31"/>
        <v>2026.7174023200002</v>
      </c>
      <c r="N63" s="14"/>
      <c r="O63" s="114"/>
    </row>
    <row r="64" spans="1:15" s="19" customFormat="1" ht="17.100000000000001" customHeight="1" x14ac:dyDescent="0.2">
      <c r="A64" s="18" t="s">
        <v>157</v>
      </c>
      <c r="B64" s="18" t="s">
        <v>53</v>
      </c>
      <c r="C64" s="18">
        <v>3585</v>
      </c>
      <c r="D64" s="18" t="s">
        <v>34</v>
      </c>
      <c r="E64" s="30" t="s">
        <v>135</v>
      </c>
      <c r="F64" s="18" t="s">
        <v>21</v>
      </c>
      <c r="G64" s="18">
        <v>2</v>
      </c>
      <c r="H64" s="52">
        <v>22.49</v>
      </c>
      <c r="I64" s="14">
        <f t="shared" si="27"/>
        <v>3.445468</v>
      </c>
      <c r="J64" s="14">
        <f t="shared" si="28"/>
        <v>25.935468</v>
      </c>
      <c r="K64" s="14">
        <f t="shared" si="29"/>
        <v>7.7806403999999994E-3</v>
      </c>
      <c r="L64" s="14">
        <f t="shared" si="30"/>
        <v>25.9276873596</v>
      </c>
      <c r="M64" s="14">
        <f t="shared" si="31"/>
        <v>51.8553747192</v>
      </c>
      <c r="N64" s="14"/>
      <c r="O64" s="114"/>
    </row>
    <row r="65" spans="1:15" s="19" customFormat="1" ht="17.100000000000001" customHeight="1" x14ac:dyDescent="0.2">
      <c r="A65" s="18" t="s">
        <v>158</v>
      </c>
      <c r="B65" s="18" t="s">
        <v>53</v>
      </c>
      <c r="C65" s="18">
        <v>43132</v>
      </c>
      <c r="D65" s="18" t="s">
        <v>34</v>
      </c>
      <c r="E65" s="31" t="s">
        <v>136</v>
      </c>
      <c r="F65" s="18" t="s">
        <v>137</v>
      </c>
      <c r="G65" s="18">
        <v>5</v>
      </c>
      <c r="H65" s="53">
        <v>23.18</v>
      </c>
      <c r="I65" s="14">
        <f t="shared" si="27"/>
        <v>3.5511759999999999</v>
      </c>
      <c r="J65" s="14">
        <f t="shared" si="28"/>
        <v>26.731175999999998</v>
      </c>
      <c r="K65" s="14">
        <f t="shared" si="29"/>
        <v>8.019352799999999E-3</v>
      </c>
      <c r="L65" s="14">
        <f t="shared" si="30"/>
        <v>26.723156647199996</v>
      </c>
      <c r="M65" s="14">
        <f t="shared" si="31"/>
        <v>133.61578323599997</v>
      </c>
      <c r="N65" s="14"/>
      <c r="O65" s="114"/>
    </row>
    <row r="66" spans="1:15" s="19" customFormat="1" ht="17.100000000000001" customHeight="1" x14ac:dyDescent="0.2">
      <c r="A66" s="18" t="s">
        <v>159</v>
      </c>
      <c r="B66" s="18" t="s">
        <v>53</v>
      </c>
      <c r="C66" s="18">
        <v>1381</v>
      </c>
      <c r="D66" s="18" t="s">
        <v>34</v>
      </c>
      <c r="E66" s="31" t="s">
        <v>138</v>
      </c>
      <c r="F66" s="18" t="s">
        <v>137</v>
      </c>
      <c r="G66" s="18">
        <v>200</v>
      </c>
      <c r="H66" s="53">
        <v>0.8</v>
      </c>
      <c r="I66" s="14">
        <f t="shared" si="27"/>
        <v>0.12256</v>
      </c>
      <c r="J66" s="14">
        <f t="shared" si="28"/>
        <v>0.92256000000000005</v>
      </c>
      <c r="K66" s="14">
        <f t="shared" si="29"/>
        <v>2.7676799999999999E-4</v>
      </c>
      <c r="L66" s="14">
        <f t="shared" si="30"/>
        <v>0.92228323200000006</v>
      </c>
      <c r="M66" s="14">
        <f t="shared" si="31"/>
        <v>184.45664640000001</v>
      </c>
      <c r="N66" s="14"/>
      <c r="O66" s="114"/>
    </row>
    <row r="67" spans="1:15" s="19" customFormat="1" ht="17.100000000000001" customHeight="1" x14ac:dyDescent="0.2">
      <c r="A67" s="18" t="s">
        <v>160</v>
      </c>
      <c r="B67" s="18" t="s">
        <v>53</v>
      </c>
      <c r="C67" s="18">
        <v>4720</v>
      </c>
      <c r="D67" s="18" t="s">
        <v>34</v>
      </c>
      <c r="E67" s="40" t="s">
        <v>139</v>
      </c>
      <c r="F67" s="18" t="s">
        <v>104</v>
      </c>
      <c r="G67" s="18">
        <v>5</v>
      </c>
      <c r="H67" s="44">
        <v>80.39</v>
      </c>
      <c r="I67" s="14">
        <f t="shared" si="27"/>
        <v>12.315748000000001</v>
      </c>
      <c r="J67" s="14">
        <f t="shared" si="28"/>
        <v>92.705748</v>
      </c>
      <c r="K67" s="14">
        <f t="shared" si="29"/>
        <v>2.7811724399999998E-2</v>
      </c>
      <c r="L67" s="14">
        <f t="shared" si="30"/>
        <v>92.677936275600004</v>
      </c>
      <c r="M67" s="14">
        <f t="shared" si="31"/>
        <v>463.38968137800003</v>
      </c>
      <c r="N67" s="14"/>
      <c r="O67" s="114"/>
    </row>
    <row r="68" spans="1:15" s="19" customFormat="1" ht="17.100000000000001" customHeight="1" x14ac:dyDescent="0.2">
      <c r="A68" s="18" t="s">
        <v>161</v>
      </c>
      <c r="B68" s="18" t="s">
        <v>53</v>
      </c>
      <c r="C68" s="18">
        <v>367</v>
      </c>
      <c r="D68" s="18" t="s">
        <v>34</v>
      </c>
      <c r="E68" s="36" t="s">
        <v>103</v>
      </c>
      <c r="F68" s="18" t="s">
        <v>104</v>
      </c>
      <c r="G68" s="18">
        <v>5</v>
      </c>
      <c r="H68" s="52">
        <v>60.78</v>
      </c>
      <c r="I68" s="14">
        <f t="shared" si="27"/>
        <v>9.311496</v>
      </c>
      <c r="J68" s="14">
        <f t="shared" si="28"/>
        <v>70.091496000000006</v>
      </c>
      <c r="K68" s="14">
        <f t="shared" si="29"/>
        <v>2.1027448800000001E-2</v>
      </c>
      <c r="L68" s="14">
        <f t="shared" si="30"/>
        <v>70.070468551200008</v>
      </c>
      <c r="M68" s="14">
        <f t="shared" si="31"/>
        <v>350.35234275600004</v>
      </c>
      <c r="N68" s="14"/>
      <c r="O68" s="114"/>
    </row>
    <row r="69" spans="1:15" s="19" customFormat="1" ht="17.100000000000001" customHeight="1" x14ac:dyDescent="0.2">
      <c r="A69" s="18" t="s">
        <v>162</v>
      </c>
      <c r="B69" s="18" t="s">
        <v>53</v>
      </c>
      <c r="C69" s="18">
        <v>35692</v>
      </c>
      <c r="D69" s="18" t="s">
        <v>34</v>
      </c>
      <c r="E69" s="30" t="s">
        <v>140</v>
      </c>
      <c r="F69" s="18" t="s">
        <v>141</v>
      </c>
      <c r="G69" s="18">
        <f>4*18</f>
        <v>72</v>
      </c>
      <c r="H69" s="52">
        <v>18.97</v>
      </c>
      <c r="I69" s="14">
        <f t="shared" si="27"/>
        <v>2.9062039999999998</v>
      </c>
      <c r="J69" s="14">
        <f t="shared" si="28"/>
        <v>21.876203999999998</v>
      </c>
      <c r="K69" s="14">
        <f t="shared" si="29"/>
        <v>6.5628611999999989E-3</v>
      </c>
      <c r="L69" s="14">
        <f t="shared" si="30"/>
        <v>21.869641138799999</v>
      </c>
      <c r="M69" s="14">
        <f t="shared" si="31"/>
        <v>1574.6141619936</v>
      </c>
      <c r="N69" s="14"/>
      <c r="O69" s="114"/>
    </row>
    <row r="70" spans="1:15" s="19" customFormat="1" ht="17.100000000000001" customHeight="1" x14ac:dyDescent="0.2">
      <c r="A70" s="18" t="s">
        <v>163</v>
      </c>
      <c r="B70" s="18" t="s">
        <v>53</v>
      </c>
      <c r="C70" s="18">
        <v>12</v>
      </c>
      <c r="D70" s="18" t="s">
        <v>34</v>
      </c>
      <c r="E70" s="30" t="s">
        <v>143</v>
      </c>
      <c r="F70" s="39" t="s">
        <v>21</v>
      </c>
      <c r="G70" s="18">
        <v>3</v>
      </c>
      <c r="H70" s="52">
        <v>7.2</v>
      </c>
      <c r="I70" s="14">
        <f t="shared" si="27"/>
        <v>1.10304</v>
      </c>
      <c r="J70" s="14">
        <f t="shared" si="28"/>
        <v>8.3030399999999993</v>
      </c>
      <c r="K70" s="14">
        <f t="shared" si="29"/>
        <v>2.4909119999999996E-3</v>
      </c>
      <c r="L70" s="14">
        <f t="shared" si="30"/>
        <v>8.3005490879999986</v>
      </c>
      <c r="M70" s="14">
        <f t="shared" si="31"/>
        <v>24.901647263999998</v>
      </c>
      <c r="N70" s="14"/>
      <c r="O70" s="114"/>
    </row>
    <row r="71" spans="1:15" s="19" customFormat="1" ht="17.100000000000001" customHeight="1" x14ac:dyDescent="0.2">
      <c r="A71" s="18" t="s">
        <v>164</v>
      </c>
      <c r="B71" s="18" t="s">
        <v>53</v>
      </c>
      <c r="C71" s="18">
        <v>38122</v>
      </c>
      <c r="D71" s="18" t="s">
        <v>34</v>
      </c>
      <c r="E71" s="30" t="s">
        <v>145</v>
      </c>
      <c r="F71" s="18" t="s">
        <v>141</v>
      </c>
      <c r="G71" s="18">
        <v>36</v>
      </c>
      <c r="H71" s="52">
        <v>19.649999999999999</v>
      </c>
      <c r="I71" s="14">
        <f t="shared" si="27"/>
        <v>3.0103800000000001</v>
      </c>
      <c r="J71" s="14">
        <f t="shared" si="28"/>
        <v>22.66038</v>
      </c>
      <c r="K71" s="14">
        <f t="shared" si="29"/>
        <v>6.7981139999999992E-3</v>
      </c>
      <c r="L71" s="14">
        <f t="shared" si="30"/>
        <v>22.653581886000001</v>
      </c>
      <c r="M71" s="14">
        <f t="shared" si="31"/>
        <v>815.52894789600009</v>
      </c>
      <c r="N71" s="14"/>
      <c r="O71" s="114"/>
    </row>
    <row r="72" spans="1:15" s="19" customFormat="1" ht="17.100000000000001" customHeight="1" x14ac:dyDescent="0.2">
      <c r="A72" s="18" t="s">
        <v>165</v>
      </c>
      <c r="B72" s="18" t="s">
        <v>53</v>
      </c>
      <c r="C72" s="18">
        <v>43651</v>
      </c>
      <c r="D72" s="18" t="s">
        <v>34</v>
      </c>
      <c r="E72" s="30" t="s">
        <v>147</v>
      </c>
      <c r="F72" s="18" t="s">
        <v>137</v>
      </c>
      <c r="G72" s="18">
        <v>23</v>
      </c>
      <c r="H72" s="52">
        <v>6.83</v>
      </c>
      <c r="I72" s="14">
        <f t="shared" si="27"/>
        <v>1.0463560000000001</v>
      </c>
      <c r="J72" s="14">
        <f t="shared" si="28"/>
        <v>7.8763560000000004</v>
      </c>
      <c r="K72" s="14">
        <f t="shared" si="29"/>
        <v>2.3629068E-3</v>
      </c>
      <c r="L72" s="14">
        <f t="shared" si="30"/>
        <v>7.8739930932000002</v>
      </c>
      <c r="M72" s="14">
        <f t="shared" si="31"/>
        <v>181.10184114360001</v>
      </c>
      <c r="N72" s="14"/>
      <c r="O72" s="114"/>
    </row>
    <row r="73" spans="1:15" s="19" customFormat="1" ht="17.100000000000001" customHeight="1" x14ac:dyDescent="0.2">
      <c r="A73" s="18" t="s">
        <v>166</v>
      </c>
      <c r="B73" s="18" t="s">
        <v>53</v>
      </c>
      <c r="C73" s="18">
        <v>38383</v>
      </c>
      <c r="D73" s="18" t="s">
        <v>34</v>
      </c>
      <c r="E73" s="37" t="s">
        <v>117</v>
      </c>
      <c r="F73" s="18" t="s">
        <v>21</v>
      </c>
      <c r="G73" s="18">
        <v>30</v>
      </c>
      <c r="H73" s="53">
        <v>2.66</v>
      </c>
      <c r="I73" s="14">
        <f>H73*0.1532</f>
        <v>0.40751200000000004</v>
      </c>
      <c r="J73" s="14">
        <f>H73+I73</f>
        <v>3.0675120000000002</v>
      </c>
      <c r="K73" s="14">
        <f>J73*(0.03%)</f>
        <v>9.2025359999999999E-4</v>
      </c>
      <c r="L73" s="14">
        <f>J73-K73</f>
        <v>3.0665917464000003</v>
      </c>
      <c r="M73" s="14">
        <f>L73*G73</f>
        <v>91.99775239200001</v>
      </c>
      <c r="N73" s="14"/>
      <c r="O73" s="114"/>
    </row>
    <row r="74" spans="1:15" ht="17.100000000000001" customHeight="1" x14ac:dyDescent="0.25">
      <c r="A74" s="115" t="s">
        <v>16</v>
      </c>
      <c r="B74" s="100" t="s">
        <v>17</v>
      </c>
      <c r="C74" s="100" t="s">
        <v>18</v>
      </c>
      <c r="D74" s="100" t="s">
        <v>19</v>
      </c>
      <c r="E74" s="100" t="s">
        <v>20</v>
      </c>
      <c r="F74" s="100" t="s">
        <v>21</v>
      </c>
      <c r="G74" s="100" t="s">
        <v>22</v>
      </c>
      <c r="H74" s="109" t="s">
        <v>23</v>
      </c>
      <c r="I74" s="109"/>
      <c r="J74" s="109"/>
      <c r="K74" s="109"/>
      <c r="L74" s="110"/>
      <c r="M74" s="100" t="s">
        <v>24</v>
      </c>
      <c r="N74" s="100" t="s">
        <v>25</v>
      </c>
      <c r="O74" s="66"/>
    </row>
    <row r="75" spans="1:15" ht="17.100000000000001" customHeight="1" x14ac:dyDescent="0.25">
      <c r="A75" s="116"/>
      <c r="B75" s="101"/>
      <c r="C75" s="101"/>
      <c r="D75" s="101"/>
      <c r="E75" s="101"/>
      <c r="F75" s="101"/>
      <c r="G75" s="101"/>
      <c r="H75" s="3" t="s">
        <v>27</v>
      </c>
      <c r="I75" s="4" t="s">
        <v>28</v>
      </c>
      <c r="J75" s="3" t="s">
        <v>29</v>
      </c>
      <c r="K75" s="4" t="s">
        <v>57</v>
      </c>
      <c r="L75" s="3" t="s">
        <v>30</v>
      </c>
      <c r="M75" s="101"/>
      <c r="N75" s="101"/>
      <c r="O75" s="66"/>
    </row>
    <row r="76" spans="1:15" ht="17.100000000000001" customHeight="1" x14ac:dyDescent="0.25">
      <c r="A76" s="5">
        <v>3</v>
      </c>
      <c r="B76" s="102" t="s">
        <v>38</v>
      </c>
      <c r="C76" s="103"/>
      <c r="D76" s="103"/>
      <c r="E76" s="103"/>
      <c r="F76" s="104"/>
      <c r="G76" s="9"/>
      <c r="H76" s="9"/>
      <c r="I76" s="9"/>
      <c r="J76" s="9"/>
      <c r="K76" s="9"/>
      <c r="L76" s="9"/>
      <c r="M76" s="26">
        <f>SUM(M77:M86)</f>
        <v>23660.583773496382</v>
      </c>
      <c r="N76" s="9"/>
      <c r="O76" s="66"/>
    </row>
    <row r="77" spans="1:15" ht="26.25" customHeight="1" x14ac:dyDescent="0.25">
      <c r="A77" s="17" t="s">
        <v>107</v>
      </c>
      <c r="B77" s="17" t="s">
        <v>33</v>
      </c>
      <c r="C77" s="11" t="s">
        <v>63</v>
      </c>
      <c r="D77" s="11" t="s">
        <v>34</v>
      </c>
      <c r="E77" s="25" t="s">
        <v>64</v>
      </c>
      <c r="F77" s="13" t="s">
        <v>35</v>
      </c>
      <c r="G77" s="17">
        <v>180</v>
      </c>
      <c r="H77" s="47">
        <v>31.59</v>
      </c>
      <c r="I77" s="14">
        <f>H77*0.2232</f>
        <v>7.0508880000000005</v>
      </c>
      <c r="J77" s="14">
        <f>H77+I77</f>
        <v>38.640888000000004</v>
      </c>
      <c r="K77" s="14">
        <f>J77*(0.03%)</f>
        <v>1.1592266400000001E-2</v>
      </c>
      <c r="L77" s="14">
        <f>J77-K77</f>
        <v>38.629295733600003</v>
      </c>
      <c r="M77" s="14">
        <f>L77*G77</f>
        <v>6953.2732320480009</v>
      </c>
      <c r="N77" s="14">
        <f>M77/M$16</f>
        <v>8.7453629367144695E-2</v>
      </c>
      <c r="O77" s="114"/>
    </row>
    <row r="78" spans="1:15" ht="26.25" customHeight="1" x14ac:dyDescent="0.25">
      <c r="A78" s="17" t="s">
        <v>108</v>
      </c>
      <c r="B78" s="17" t="s">
        <v>33</v>
      </c>
      <c r="C78" s="11">
        <v>88310</v>
      </c>
      <c r="D78" s="11" t="s">
        <v>34</v>
      </c>
      <c r="E78" s="25" t="s">
        <v>113</v>
      </c>
      <c r="F78" s="13" t="s">
        <v>35</v>
      </c>
      <c r="G78" s="17">
        <v>180</v>
      </c>
      <c r="H78" s="47">
        <v>36.42</v>
      </c>
      <c r="I78" s="14">
        <f>H78*0.2232</f>
        <v>8.1289440000000006</v>
      </c>
      <c r="J78" s="14">
        <f>H78+I78</f>
        <v>44.548944000000006</v>
      </c>
      <c r="K78" s="14">
        <f>J78*(0.03%)</f>
        <v>1.3364683200000001E-2</v>
      </c>
      <c r="L78" s="14">
        <f>J78-K78</f>
        <v>44.535579316800003</v>
      </c>
      <c r="M78" s="14">
        <f>L78*G78</f>
        <v>8016.4042770240003</v>
      </c>
      <c r="N78" s="14">
        <f>M78/M$16</f>
        <v>0.10082498200542607</v>
      </c>
      <c r="O78" s="114"/>
    </row>
    <row r="79" spans="1:15" s="24" customFormat="1" ht="23.25" customHeight="1" x14ac:dyDescent="0.2">
      <c r="A79" s="11" t="s">
        <v>109</v>
      </c>
      <c r="B79" s="17" t="s">
        <v>33</v>
      </c>
      <c r="C79" s="32">
        <v>93588</v>
      </c>
      <c r="D79" s="32" t="s">
        <v>34</v>
      </c>
      <c r="E79" s="33" t="s">
        <v>110</v>
      </c>
      <c r="F79" s="34" t="s">
        <v>111</v>
      </c>
      <c r="G79" s="32">
        <f>5*34+340</f>
        <v>510</v>
      </c>
      <c r="H79" s="48">
        <v>2.97</v>
      </c>
      <c r="I79" s="20">
        <f>H79*0.2232</f>
        <v>0.66290400000000005</v>
      </c>
      <c r="J79" s="20">
        <f>H79+I79</f>
        <v>3.6329040000000004</v>
      </c>
      <c r="K79" s="20">
        <f>J79*(0.03%)</f>
        <v>1.0898711999999999E-3</v>
      </c>
      <c r="L79" s="20">
        <f>J79-K79</f>
        <v>3.6318141288000003</v>
      </c>
      <c r="M79" s="20">
        <f>L79*G79</f>
        <v>1852.2252056880002</v>
      </c>
      <c r="N79" s="14">
        <f>M79/M$16</f>
        <v>2.329605226731632E-2</v>
      </c>
      <c r="O79" s="114"/>
    </row>
    <row r="80" spans="1:15" s="24" customFormat="1" ht="23.25" customHeight="1" x14ac:dyDescent="0.2">
      <c r="A80" s="17" t="s">
        <v>167</v>
      </c>
      <c r="B80" s="17" t="s">
        <v>33</v>
      </c>
      <c r="C80" s="11" t="s">
        <v>65</v>
      </c>
      <c r="D80" s="11" t="s">
        <v>34</v>
      </c>
      <c r="E80" s="25" t="s">
        <v>66</v>
      </c>
      <c r="F80" s="13" t="s">
        <v>35</v>
      </c>
      <c r="G80" s="17">
        <v>90</v>
      </c>
      <c r="H80" s="47">
        <v>27.2</v>
      </c>
      <c r="I80" s="14">
        <f t="shared" ref="I80" si="32">H80*0.2232</f>
        <v>6.07104</v>
      </c>
      <c r="J80" s="14">
        <f t="shared" ref="J80" si="33">H80+I80</f>
        <v>33.271039999999999</v>
      </c>
      <c r="K80" s="14">
        <f t="shared" ref="K80" si="34">J80*(0.03%)</f>
        <v>9.9813119999999991E-3</v>
      </c>
      <c r="L80" s="14">
        <f t="shared" ref="L80" si="35">J80-K80</f>
        <v>33.261058687999999</v>
      </c>
      <c r="M80" s="14">
        <f t="shared" ref="M80" si="36">L80*G80</f>
        <v>2993.4952819199998</v>
      </c>
      <c r="N80" s="14"/>
      <c r="O80" s="114"/>
    </row>
    <row r="81" spans="1:15" s="24" customFormat="1" ht="23.25" customHeight="1" x14ac:dyDescent="0.2">
      <c r="A81" s="111" t="s">
        <v>178</v>
      </c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3"/>
      <c r="O81" s="114"/>
    </row>
    <row r="82" spans="1:15" s="24" customFormat="1" ht="23.25" customHeight="1" x14ac:dyDescent="0.2">
      <c r="A82" s="11" t="s">
        <v>170</v>
      </c>
      <c r="B82" s="17" t="s">
        <v>33</v>
      </c>
      <c r="C82" s="41">
        <v>91338</v>
      </c>
      <c r="D82" s="41" t="s">
        <v>34</v>
      </c>
      <c r="E82" s="42" t="s">
        <v>168</v>
      </c>
      <c r="F82" s="41" t="s">
        <v>169</v>
      </c>
      <c r="G82" s="41">
        <f>2.1*0.8</f>
        <v>1.6800000000000002</v>
      </c>
      <c r="H82" s="49">
        <v>864.07</v>
      </c>
      <c r="I82" s="20">
        <f>H82*0.2232</f>
        <v>192.86042400000002</v>
      </c>
      <c r="J82" s="20">
        <f>H82+I82</f>
        <v>1056.9304240000001</v>
      </c>
      <c r="K82" s="20">
        <f>J82*(0.03%)</f>
        <v>0.31707912720000003</v>
      </c>
      <c r="L82" s="20">
        <f>J82-K82</f>
        <v>1056.6133448728001</v>
      </c>
      <c r="M82" s="20">
        <f>L82*G82</f>
        <v>1775.1104193863043</v>
      </c>
      <c r="N82" s="14">
        <f t="shared" ref="N82" si="37">M82/M$16</f>
        <v>2.2326153959729072E-2</v>
      </c>
      <c r="O82" s="114"/>
    </row>
    <row r="83" spans="1:15" s="24" customFormat="1" ht="23.25" customHeight="1" x14ac:dyDescent="0.2">
      <c r="A83" s="111" t="s">
        <v>179</v>
      </c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3"/>
      <c r="O83" s="114"/>
    </row>
    <row r="84" spans="1:15" s="24" customFormat="1" ht="23.25" customHeight="1" x14ac:dyDescent="0.2">
      <c r="A84" s="11" t="s">
        <v>172</v>
      </c>
      <c r="B84" s="17" t="s">
        <v>33</v>
      </c>
      <c r="C84" s="41">
        <v>97335</v>
      </c>
      <c r="D84" s="41" t="s">
        <v>34</v>
      </c>
      <c r="E84" s="42" t="s">
        <v>171</v>
      </c>
      <c r="F84" s="41" t="s">
        <v>169</v>
      </c>
      <c r="G84" s="41">
        <v>6</v>
      </c>
      <c r="H84" s="49">
        <v>79.87</v>
      </c>
      <c r="I84" s="20">
        <f>H84*0.2232</f>
        <v>17.826984000000003</v>
      </c>
      <c r="J84" s="20">
        <f>H84+I84</f>
        <v>97.696984000000015</v>
      </c>
      <c r="K84" s="20">
        <f>J84*(0.03%)</f>
        <v>2.9309095200000003E-2</v>
      </c>
      <c r="L84" s="20">
        <f>J84-K84</f>
        <v>97.667674904800009</v>
      </c>
      <c r="M84" s="20">
        <f>L84*G84</f>
        <v>586.0060494288</v>
      </c>
      <c r="N84" s="14">
        <f t="shared" ref="N84" si="38">M84/M$16</f>
        <v>7.3703929276710415E-3</v>
      </c>
      <c r="O84" s="114"/>
    </row>
    <row r="85" spans="1:15" s="24" customFormat="1" ht="23.25" customHeight="1" x14ac:dyDescent="0.2">
      <c r="A85" s="111" t="s">
        <v>180</v>
      </c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3"/>
      <c r="O85" s="114"/>
    </row>
    <row r="86" spans="1:15" s="24" customFormat="1" ht="23.25" customHeight="1" x14ac:dyDescent="0.2">
      <c r="A86" s="11" t="s">
        <v>174</v>
      </c>
      <c r="B86" s="17" t="s">
        <v>33</v>
      </c>
      <c r="C86" s="41">
        <v>100746</v>
      </c>
      <c r="D86" s="41" t="s">
        <v>34</v>
      </c>
      <c r="E86" s="42" t="s">
        <v>173</v>
      </c>
      <c r="F86" s="41" t="s">
        <v>169</v>
      </c>
      <c r="G86" s="41">
        <f>2.1*0.8*12*2</f>
        <v>40.320000000000007</v>
      </c>
      <c r="H86" s="50">
        <v>30.1</v>
      </c>
      <c r="I86" s="20">
        <f>H86*0.2232</f>
        <v>6.7183200000000003</v>
      </c>
      <c r="J86" s="20">
        <f>H86+I86</f>
        <v>36.81832</v>
      </c>
      <c r="K86" s="20">
        <f>J86*(0.03%)</f>
        <v>1.1045495999999998E-2</v>
      </c>
      <c r="L86" s="20">
        <f>J86-K86</f>
        <v>36.807274503999999</v>
      </c>
      <c r="M86" s="20">
        <f>L86*G86</f>
        <v>1484.0693080012802</v>
      </c>
      <c r="N86" s="14">
        <f t="shared" ref="N86" si="39">M86/M$16</f>
        <v>1.8665633132163229E-2</v>
      </c>
      <c r="O86" s="114"/>
    </row>
    <row r="87" spans="1:15" ht="17.100000000000001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114"/>
    </row>
    <row r="88" spans="1:15" ht="17.100000000000001" customHeight="1" x14ac:dyDescent="0.25">
      <c r="A88" s="54"/>
      <c r="B88" s="55"/>
      <c r="C88" s="55"/>
      <c r="D88" s="55"/>
      <c r="E88" s="55"/>
      <c r="F88" s="55"/>
      <c r="G88" s="55"/>
      <c r="H88" s="21" t="s">
        <v>39</v>
      </c>
      <c r="I88" s="22"/>
      <c r="J88" s="105">
        <f>M16+M31+M76</f>
        <v>134218.19396126916</v>
      </c>
      <c r="K88" s="106"/>
      <c r="L88" s="106"/>
      <c r="M88" s="106"/>
      <c r="N88" s="107"/>
      <c r="O88" s="66"/>
    </row>
    <row r="89" spans="1:15" ht="17.100000000000001" customHeight="1" x14ac:dyDescent="0.25">
      <c r="A89" s="80" t="s">
        <v>175</v>
      </c>
      <c r="B89" s="81"/>
      <c r="C89" s="81"/>
      <c r="D89" s="81"/>
      <c r="E89" s="81"/>
      <c r="F89" s="81"/>
      <c r="G89" s="81"/>
      <c r="H89" s="96"/>
      <c r="I89" s="96"/>
      <c r="J89" s="96"/>
      <c r="K89" s="96"/>
      <c r="L89" s="96"/>
      <c r="M89" s="96"/>
      <c r="N89" s="108"/>
      <c r="O89" s="66"/>
    </row>
    <row r="90" spans="1:15" ht="17.100000000000001" customHeight="1" x14ac:dyDescent="0.25">
      <c r="A90" s="97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2"/>
      <c r="O90" s="66"/>
    </row>
    <row r="91" spans="1:15" ht="17.100000000000001" customHeight="1" x14ac:dyDescent="0.25">
      <c r="A91" s="97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2"/>
      <c r="O91" s="66"/>
    </row>
    <row r="92" spans="1:15" ht="17.100000000000001" customHeight="1" x14ac:dyDescent="0.25">
      <c r="A92" s="97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2"/>
      <c r="O92" s="66"/>
    </row>
    <row r="93" spans="1:15" ht="17.100000000000001" customHeight="1" x14ac:dyDescent="0.25">
      <c r="A93" s="97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2"/>
      <c r="O93" s="66"/>
    </row>
    <row r="94" spans="1:15" ht="17.100000000000001" customHeight="1" x14ac:dyDescent="0.25">
      <c r="A94" s="97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2"/>
      <c r="O94" s="66"/>
    </row>
    <row r="95" spans="1:15" ht="17.100000000000001" customHeight="1" x14ac:dyDescent="0.25">
      <c r="A95" s="83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5"/>
      <c r="O95" s="66"/>
    </row>
    <row r="96" spans="1:15" ht="17.100000000000001" customHeight="1" x14ac:dyDescent="0.25">
      <c r="A96" s="54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6"/>
    </row>
    <row r="97" spans="1:15" ht="17.100000000000001" customHeight="1" x14ac:dyDescent="0.25">
      <c r="A97" s="57" t="s">
        <v>40</v>
      </c>
      <c r="B97" s="58"/>
      <c r="C97" s="58"/>
      <c r="D97" s="58"/>
      <c r="E97" s="58"/>
      <c r="F97" s="58"/>
      <c r="G97" s="59" t="s">
        <v>41</v>
      </c>
      <c r="H97" s="59"/>
      <c r="I97" s="59"/>
      <c r="J97" s="59"/>
      <c r="K97" s="60"/>
      <c r="L97" s="61"/>
      <c r="M97" s="61"/>
      <c r="N97" s="62"/>
      <c r="O97" s="66" t="s">
        <v>42</v>
      </c>
    </row>
    <row r="98" spans="1:15" ht="17.100000000000001" customHeight="1" x14ac:dyDescent="0.25">
      <c r="A98" s="68" t="s">
        <v>43</v>
      </c>
      <c r="B98" s="69"/>
      <c r="C98" s="69"/>
      <c r="D98" s="69"/>
      <c r="E98" s="69"/>
      <c r="F98" s="70"/>
      <c r="G98" s="74" t="s">
        <v>44</v>
      </c>
      <c r="H98" s="69"/>
      <c r="I98" s="69"/>
      <c r="J98" s="70"/>
      <c r="K98" s="63"/>
      <c r="L98" s="64"/>
      <c r="M98" s="64"/>
      <c r="N98" s="65"/>
      <c r="O98" s="66"/>
    </row>
    <row r="99" spans="1:15" ht="17.100000000000001" customHeight="1" x14ac:dyDescent="0.25">
      <c r="A99" s="71"/>
      <c r="B99" s="72"/>
      <c r="C99" s="72"/>
      <c r="D99" s="72"/>
      <c r="E99" s="72"/>
      <c r="F99" s="73"/>
      <c r="G99" s="75"/>
      <c r="H99" s="72"/>
      <c r="I99" s="72"/>
      <c r="J99" s="73"/>
      <c r="K99" s="63"/>
      <c r="L99" s="64"/>
      <c r="M99" s="64"/>
      <c r="N99" s="65"/>
      <c r="O99" s="66"/>
    </row>
    <row r="100" spans="1:15" ht="17.100000000000001" customHeight="1" x14ac:dyDescent="0.25">
      <c r="A100" s="71"/>
      <c r="B100" s="72"/>
      <c r="C100" s="72"/>
      <c r="D100" s="72"/>
      <c r="E100" s="72"/>
      <c r="F100" s="73"/>
      <c r="G100" s="75"/>
      <c r="H100" s="72"/>
      <c r="I100" s="72"/>
      <c r="J100" s="73"/>
      <c r="K100" s="63"/>
      <c r="L100" s="64"/>
      <c r="M100" s="64"/>
      <c r="N100" s="65"/>
      <c r="O100" s="66"/>
    </row>
    <row r="101" spans="1:15" ht="17.100000000000001" customHeight="1" x14ac:dyDescent="0.25">
      <c r="A101" s="71"/>
      <c r="B101" s="72"/>
      <c r="C101" s="72"/>
      <c r="D101" s="72"/>
      <c r="E101" s="72"/>
      <c r="F101" s="73"/>
      <c r="G101" s="75"/>
      <c r="H101" s="72"/>
      <c r="I101" s="72"/>
      <c r="J101" s="73"/>
      <c r="K101" s="63"/>
      <c r="L101" s="64"/>
      <c r="M101" s="64"/>
      <c r="N101" s="65"/>
      <c r="O101" s="66"/>
    </row>
    <row r="102" spans="1:15" ht="17.100000000000001" customHeight="1" x14ac:dyDescent="0.25">
      <c r="A102" s="71"/>
      <c r="B102" s="72"/>
      <c r="C102" s="72"/>
      <c r="D102" s="72"/>
      <c r="E102" s="72"/>
      <c r="F102" s="73"/>
      <c r="G102" s="75"/>
      <c r="H102" s="72"/>
      <c r="I102" s="72"/>
      <c r="J102" s="73"/>
      <c r="K102" s="63"/>
      <c r="L102" s="64"/>
      <c r="M102" s="64"/>
      <c r="N102" s="65"/>
      <c r="O102" s="66"/>
    </row>
    <row r="103" spans="1:15" ht="17.100000000000001" customHeight="1" x14ac:dyDescent="0.25">
      <c r="A103" s="71"/>
      <c r="B103" s="72"/>
      <c r="C103" s="72"/>
      <c r="D103" s="72"/>
      <c r="E103" s="72"/>
      <c r="F103" s="73"/>
      <c r="G103" s="75"/>
      <c r="H103" s="72"/>
      <c r="I103" s="72"/>
      <c r="J103" s="73"/>
      <c r="K103" s="63"/>
      <c r="L103" s="64"/>
      <c r="M103" s="64"/>
      <c r="N103" s="65"/>
      <c r="O103" s="66"/>
    </row>
    <row r="104" spans="1:15" ht="17.100000000000001" customHeight="1" x14ac:dyDescent="0.25">
      <c r="A104" s="71"/>
      <c r="B104" s="72"/>
      <c r="C104" s="72"/>
      <c r="D104" s="72"/>
      <c r="E104" s="72"/>
      <c r="F104" s="73"/>
      <c r="G104" s="75"/>
      <c r="H104" s="72"/>
      <c r="I104" s="72"/>
      <c r="J104" s="73"/>
      <c r="K104" s="63"/>
      <c r="L104" s="64"/>
      <c r="M104" s="64"/>
      <c r="N104" s="65"/>
      <c r="O104" s="66"/>
    </row>
    <row r="105" spans="1:15" ht="17.100000000000001" customHeight="1" thickBot="1" x14ac:dyDescent="0.3">
      <c r="A105" s="71"/>
      <c r="B105" s="72"/>
      <c r="C105" s="72"/>
      <c r="D105" s="72"/>
      <c r="E105" s="72"/>
      <c r="F105" s="73"/>
      <c r="G105" s="75"/>
      <c r="H105" s="72"/>
      <c r="I105" s="72"/>
      <c r="J105" s="73"/>
      <c r="K105" s="63"/>
      <c r="L105" s="64"/>
      <c r="M105" s="64"/>
      <c r="N105" s="65"/>
      <c r="O105" s="67"/>
    </row>
    <row r="106" spans="1:15" ht="17.100000000000001" customHeight="1" thickBot="1" x14ac:dyDescent="0.3">
      <c r="A106" s="77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9"/>
    </row>
    <row r="107" spans="1:15" ht="17.100000000000001" customHeight="1" x14ac:dyDescent="0.25">
      <c r="A107" s="80" t="s">
        <v>45</v>
      </c>
      <c r="B107" s="81"/>
      <c r="C107" s="81"/>
      <c r="D107" s="82"/>
      <c r="E107" s="86" t="s">
        <v>46</v>
      </c>
      <c r="F107" s="81"/>
      <c r="G107" s="81"/>
      <c r="H107" s="81"/>
      <c r="I107" s="81"/>
      <c r="J107" s="81"/>
      <c r="K107" s="88" t="s">
        <v>47</v>
      </c>
      <c r="L107" s="55"/>
      <c r="M107" s="55"/>
      <c r="N107" s="55"/>
      <c r="O107" s="92" t="s">
        <v>48</v>
      </c>
    </row>
    <row r="108" spans="1:15" ht="17.100000000000001" customHeight="1" x14ac:dyDescent="0.25">
      <c r="A108" s="83"/>
      <c r="B108" s="84"/>
      <c r="C108" s="84"/>
      <c r="D108" s="85"/>
      <c r="E108" s="87"/>
      <c r="F108" s="84"/>
      <c r="G108" s="84"/>
      <c r="H108" s="84"/>
      <c r="I108" s="84"/>
      <c r="J108" s="84"/>
      <c r="K108" s="89"/>
      <c r="L108" s="55"/>
      <c r="M108" s="55"/>
      <c r="N108" s="55"/>
      <c r="O108" s="93"/>
    </row>
    <row r="109" spans="1:15" ht="17.100000000000001" customHeight="1" x14ac:dyDescent="0.25">
      <c r="A109" s="95" t="s">
        <v>49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89"/>
      <c r="L109" s="55"/>
      <c r="M109" s="55"/>
      <c r="N109" s="55"/>
      <c r="O109" s="93"/>
    </row>
    <row r="110" spans="1:15" ht="17.100000000000001" customHeight="1" x14ac:dyDescent="0.25">
      <c r="A110" s="97"/>
      <c r="B110" s="81"/>
      <c r="C110" s="81"/>
      <c r="D110" s="81"/>
      <c r="E110" s="81"/>
      <c r="F110" s="81"/>
      <c r="G110" s="81"/>
      <c r="H110" s="81"/>
      <c r="I110" s="81"/>
      <c r="J110" s="81"/>
      <c r="K110" s="89"/>
      <c r="L110" s="55"/>
      <c r="M110" s="55"/>
      <c r="N110" s="55"/>
      <c r="O110" s="93"/>
    </row>
    <row r="111" spans="1:15" ht="17.100000000000001" customHeight="1" x14ac:dyDescent="0.25">
      <c r="A111" s="97"/>
      <c r="B111" s="81"/>
      <c r="C111" s="81"/>
      <c r="D111" s="81"/>
      <c r="E111" s="81"/>
      <c r="F111" s="81"/>
      <c r="G111" s="81"/>
      <c r="H111" s="81"/>
      <c r="I111" s="81"/>
      <c r="J111" s="81"/>
      <c r="K111" s="89"/>
      <c r="L111" s="55"/>
      <c r="M111" s="55"/>
      <c r="N111" s="55"/>
      <c r="O111" s="93"/>
    </row>
    <row r="112" spans="1:15" ht="17.100000000000001" customHeight="1" x14ac:dyDescent="0.25">
      <c r="A112" s="97"/>
      <c r="B112" s="81"/>
      <c r="C112" s="81"/>
      <c r="D112" s="81"/>
      <c r="E112" s="81"/>
      <c r="F112" s="81"/>
      <c r="G112" s="81"/>
      <c r="H112" s="81"/>
      <c r="I112" s="81"/>
      <c r="J112" s="81"/>
      <c r="K112" s="89"/>
      <c r="L112" s="55"/>
      <c r="M112" s="55"/>
      <c r="N112" s="55"/>
      <c r="O112" s="93"/>
    </row>
    <row r="113" spans="1:19" ht="17.100000000000001" customHeight="1" thickBot="1" x14ac:dyDescent="0.3">
      <c r="A113" s="98"/>
      <c r="B113" s="99"/>
      <c r="C113" s="99"/>
      <c r="D113" s="99"/>
      <c r="E113" s="99"/>
      <c r="F113" s="99"/>
      <c r="G113" s="99"/>
      <c r="H113" s="99"/>
      <c r="I113" s="99"/>
      <c r="J113" s="99"/>
      <c r="K113" s="90"/>
      <c r="L113" s="91"/>
      <c r="M113" s="91"/>
      <c r="N113" s="91"/>
      <c r="O113" s="94"/>
    </row>
    <row r="114" spans="1:19" ht="14.1" customHeight="1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</row>
    <row r="115" spans="1:19" ht="14.1" customHeight="1" x14ac:dyDescent="0.25"/>
    <row r="116" spans="1:19" ht="14.1" customHeight="1" x14ac:dyDescent="0.25"/>
    <row r="117" spans="1:19" ht="14.1" customHeight="1" x14ac:dyDescent="0.25"/>
  </sheetData>
  <sortState xmlns:xlrd2="http://schemas.microsoft.com/office/spreadsheetml/2017/richdata2" ref="A32:N76">
    <sortCondition ref="E32:E76"/>
  </sortState>
  <mergeCells count="75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95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74:A75"/>
    <mergeCell ref="B74:B75"/>
    <mergeCell ref="C74:C75"/>
    <mergeCell ref="D74:D75"/>
    <mergeCell ref="N74:N75"/>
    <mergeCell ref="B76:F76"/>
    <mergeCell ref="A88:G88"/>
    <mergeCell ref="J88:N88"/>
    <mergeCell ref="A89:N95"/>
    <mergeCell ref="E74:E75"/>
    <mergeCell ref="F74:F75"/>
    <mergeCell ref="G74:G75"/>
    <mergeCell ref="H74:L74"/>
    <mergeCell ref="M74:M75"/>
    <mergeCell ref="A83:N83"/>
    <mergeCell ref="A81:N81"/>
    <mergeCell ref="A85:N85"/>
    <mergeCell ref="A114:J114"/>
    <mergeCell ref="K114:S114"/>
    <mergeCell ref="A106:O106"/>
    <mergeCell ref="A107:D108"/>
    <mergeCell ref="E107:J108"/>
    <mergeCell ref="K107:N113"/>
    <mergeCell ref="O107:O113"/>
    <mergeCell ref="A109:J113"/>
    <mergeCell ref="A96:O96"/>
    <mergeCell ref="A97:F97"/>
    <mergeCell ref="G97:J97"/>
    <mergeCell ref="K97:N105"/>
    <mergeCell ref="O97:O105"/>
    <mergeCell ref="A98:F105"/>
    <mergeCell ref="G98:J105"/>
  </mergeCells>
  <phoneticPr fontId="14" type="noConversion"/>
  <hyperlinks>
    <hyperlink ref="E35" r:id="rId1" display="FITA VEDA ROSCA EM ROLOS DE 18 MM X 50 M (L X C)" xr:uid="{00000000-0004-0000-0000-000000000000}"/>
    <hyperlink ref="E39" r:id="rId2" display="CIMENTO PORTLAND COMPOSTO CP II-32" xr:uid="{00000000-0004-0000-0000-000001000000}"/>
    <hyperlink ref="E40" r:id="rId3" display="VALVULA DE DESCARGA EM METAL CROMADO PARA MICTORIO COM ACIONAMENTO POR PRESSAO E FECHAMENTO AUTOMATICO" xr:uid="{00000000-0004-0000-0000-000002000000}"/>
    <hyperlink ref="E42" r:id="rId4" display="VALVULA DE DESCARGA EM METAL CROMADO PARA MICTORIO COM ACIONAMENTO POR PRESSAO E FECHAMENTO AUTOMATICO" xr:uid="{00000000-0004-0000-0000-000003000000}"/>
    <hyperlink ref="E43" r:id="rId5" display="VALVULA DE DESCARGA EM METAL CROMADO PARA MICTORIO COM ACIONAMENTO POR PRESSAO E FECHAMENTO AUTOMATICO" xr:uid="{00000000-0004-0000-0000-000004000000}"/>
    <hyperlink ref="E44" r:id="rId6" display="FITA VEDA ROSCA EM ROLOS DE 18 MM X 50 M (L X C)" xr:uid="{00000000-0004-0000-0000-000005000000}"/>
    <hyperlink ref="E50" r:id="rId7" display="FITA VEDA ROSCA EM ROLOS DE 18 MM X 50 M (L X C)" xr:uid="{00000000-0004-0000-0000-000006000000}"/>
    <hyperlink ref="E57" r:id="rId8" display="FITA VEDA ROSCA EM ROLOS DE 18 MM X 50 M (L X C)" xr:uid="{03C0B6FE-9E49-4E74-9473-AF342D48F7D0}"/>
    <hyperlink ref="E59" r:id="rId9" display="VALVULA DE DESCARGA EM METAL CROMADO PARA MICTORIO COM ACIONAMENTO POR PRESSAO E FECHAMENTO AUTOMATICO" xr:uid="{75FEC9DB-1083-4B3F-9D50-0EE29594CFA9}"/>
  </hyperlinks>
  <pageMargins left="0.25" right="0.25" top="0.75" bottom="0.75" header="0.3" footer="0.3"/>
  <pageSetup paperSize="9" scale="53" orientation="landscape" r:id="rId10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C3DB903-ACC7-407A-B9D7-5B7492FECF61}"/>
</file>

<file path=customXml/itemProps2.xml><?xml version="1.0" encoding="utf-8"?>
<ds:datastoreItem xmlns:ds="http://schemas.openxmlformats.org/officeDocument/2006/customXml" ds:itemID="{83665E9A-4FC5-4CAC-931A-EB9E63768A52}"/>
</file>

<file path=customXml/itemProps3.xml><?xml version="1.0" encoding="utf-8"?>
<ds:datastoreItem xmlns:ds="http://schemas.openxmlformats.org/officeDocument/2006/customXml" ds:itemID="{9975952B-AC77-49F1-9D89-00DDDA024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2023-07-20T20:53:55Z</cp:lastPrinted>
  <dcterms:created xsi:type="dcterms:W3CDTF">2022-01-02T19:12:46Z</dcterms:created>
  <dcterms:modified xsi:type="dcterms:W3CDTF">2023-07-20T20:54:14Z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