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09-Fevereiro-23\"/>
    </mc:Choice>
  </mc:AlternateContent>
  <xr:revisionPtr revIDLastSave="0" documentId="13_ncr:1_{7417ED70-35CB-4120-ACD3-5B338EA551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ão Carlos" sheetId="1" r:id="rId1"/>
  </sheets>
  <definedNames>
    <definedName name="_xlnm.Print_Area" localSheetId="0">'São Carlos'!$A$1:$O$89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9" i="1" l="1"/>
  <c r="J69" i="1" s="1"/>
  <c r="I76" i="1"/>
  <c r="J76" i="1" s="1"/>
  <c r="I77" i="1"/>
  <c r="J77" i="1" s="1"/>
  <c r="K77" i="1" s="1"/>
  <c r="K69" i="1" l="1"/>
  <c r="L69" i="1" s="1"/>
  <c r="M69" i="1" s="1"/>
  <c r="K76" i="1"/>
  <c r="L76" i="1"/>
  <c r="M76" i="1" s="1"/>
  <c r="L77" i="1"/>
  <c r="M77" i="1" s="1"/>
  <c r="I79" i="1" l="1"/>
  <c r="J79" i="1" s="1"/>
  <c r="I57" i="1"/>
  <c r="J57" i="1"/>
  <c r="K57" i="1" s="1"/>
  <c r="I56" i="1"/>
  <c r="J56" i="1" s="1"/>
  <c r="K56" i="1" s="1"/>
  <c r="I55" i="1"/>
  <c r="J55" i="1" s="1"/>
  <c r="I54" i="1"/>
  <c r="J54" i="1"/>
  <c r="K54" i="1" s="1"/>
  <c r="I53" i="1"/>
  <c r="J53" i="1" s="1"/>
  <c r="K53" i="1" s="1"/>
  <c r="I52" i="1"/>
  <c r="J52" i="1" s="1"/>
  <c r="I51" i="1"/>
  <c r="J51" i="1" s="1"/>
  <c r="G51" i="1"/>
  <c r="I50" i="1"/>
  <c r="J50" i="1" s="1"/>
  <c r="G50" i="1"/>
  <c r="I49" i="1"/>
  <c r="J49" i="1" s="1"/>
  <c r="I48" i="1"/>
  <c r="J48" i="1" s="1"/>
  <c r="K48" i="1" s="1"/>
  <c r="I47" i="1"/>
  <c r="J47" i="1" s="1"/>
  <c r="K47" i="1" s="1"/>
  <c r="I46" i="1"/>
  <c r="J46" i="1" s="1"/>
  <c r="I45" i="1"/>
  <c r="J45" i="1" s="1"/>
  <c r="I44" i="1"/>
  <c r="J44" i="1" s="1"/>
  <c r="I43" i="1"/>
  <c r="J43" i="1" s="1"/>
  <c r="I42" i="1"/>
  <c r="J42" i="1" s="1"/>
  <c r="I38" i="1"/>
  <c r="J38" i="1" s="1"/>
  <c r="I41" i="1"/>
  <c r="J41" i="1" s="1"/>
  <c r="K41" i="1" s="1"/>
  <c r="I40" i="1"/>
  <c r="J40" i="1" s="1"/>
  <c r="K40" i="1" s="1"/>
  <c r="I33" i="1"/>
  <c r="J33" i="1" s="1"/>
  <c r="I32" i="1"/>
  <c r="J32" i="1" s="1"/>
  <c r="K79" i="1" l="1"/>
  <c r="L79" i="1" s="1"/>
  <c r="M79" i="1" s="1"/>
  <c r="K46" i="1"/>
  <c r="L46" i="1" s="1"/>
  <c r="M46" i="1" s="1"/>
  <c r="L47" i="1"/>
  <c r="M47" i="1" s="1"/>
  <c r="L48" i="1"/>
  <c r="M48" i="1" s="1"/>
  <c r="L53" i="1"/>
  <c r="M53" i="1" s="1"/>
  <c r="L54" i="1"/>
  <c r="M54" i="1" s="1"/>
  <c r="L57" i="1"/>
  <c r="M57" i="1" s="1"/>
  <c r="L56" i="1"/>
  <c r="M56" i="1" s="1"/>
  <c r="K55" i="1"/>
  <c r="L55" i="1" s="1"/>
  <c r="M55" i="1" s="1"/>
  <c r="K52" i="1"/>
  <c r="L52" i="1" s="1"/>
  <c r="M52" i="1" s="1"/>
  <c r="K51" i="1"/>
  <c r="L51" i="1" s="1"/>
  <c r="M51" i="1" s="1"/>
  <c r="K50" i="1"/>
  <c r="L50" i="1" s="1"/>
  <c r="M50" i="1" s="1"/>
  <c r="K49" i="1"/>
  <c r="L49" i="1" s="1"/>
  <c r="M49" i="1" s="1"/>
  <c r="K45" i="1"/>
  <c r="L45" i="1" s="1"/>
  <c r="M45" i="1" s="1"/>
  <c r="K44" i="1"/>
  <c r="L44" i="1" s="1"/>
  <c r="M44" i="1" s="1"/>
  <c r="K43" i="1"/>
  <c r="L43" i="1" s="1"/>
  <c r="M43" i="1" s="1"/>
  <c r="K42" i="1"/>
  <c r="L42" i="1" s="1"/>
  <c r="M42" i="1" s="1"/>
  <c r="L40" i="1"/>
  <c r="M40" i="1" s="1"/>
  <c r="K38" i="1"/>
  <c r="L38" i="1" s="1"/>
  <c r="M38" i="1" s="1"/>
  <c r="L41" i="1"/>
  <c r="M41" i="1" s="1"/>
  <c r="K33" i="1"/>
  <c r="L33" i="1" s="1"/>
  <c r="M33" i="1" s="1"/>
  <c r="K32" i="1"/>
  <c r="L32" i="1" s="1"/>
  <c r="M32" i="1" s="1"/>
  <c r="I39" i="1"/>
  <c r="J39" i="1" s="1"/>
  <c r="I36" i="1"/>
  <c r="J36" i="1" s="1"/>
  <c r="I35" i="1"/>
  <c r="J35" i="1" s="1"/>
  <c r="I34" i="1"/>
  <c r="J34" i="1" s="1"/>
  <c r="N48" i="1" l="1"/>
  <c r="N54" i="1"/>
  <c r="N42" i="1"/>
  <c r="N44" i="1"/>
  <c r="N51" i="1"/>
  <c r="N56" i="1"/>
  <c r="N47" i="1"/>
  <c r="N45" i="1"/>
  <c r="N52" i="1"/>
  <c r="N57" i="1"/>
  <c r="N33" i="1"/>
  <c r="N49" i="1"/>
  <c r="N46" i="1"/>
  <c r="N41" i="1"/>
  <c r="N43" i="1"/>
  <c r="N50" i="1"/>
  <c r="N55" i="1"/>
  <c r="N53" i="1"/>
  <c r="K39" i="1"/>
  <c r="L39" i="1" s="1"/>
  <c r="M39" i="1" s="1"/>
  <c r="N39" i="1" s="1"/>
  <c r="K36" i="1"/>
  <c r="L36" i="1" s="1"/>
  <c r="M36" i="1" s="1"/>
  <c r="K35" i="1"/>
  <c r="L35" i="1" s="1"/>
  <c r="M35" i="1" s="1"/>
  <c r="K34" i="1"/>
  <c r="L34" i="1" s="1"/>
  <c r="M34" i="1" s="1"/>
  <c r="N34" i="1" s="1"/>
  <c r="N38" i="1" l="1"/>
  <c r="N35" i="1"/>
  <c r="N40" i="1"/>
  <c r="I80" i="1"/>
  <c r="J80" i="1" s="1"/>
  <c r="K80" i="1" l="1"/>
  <c r="L80" i="1" s="1"/>
  <c r="M80" i="1" s="1"/>
  <c r="I67" i="1" l="1"/>
  <c r="J67" i="1" s="1"/>
  <c r="I68" i="1"/>
  <c r="J68" i="1" s="1"/>
  <c r="K67" i="1" l="1"/>
  <c r="L67" i="1" s="1"/>
  <c r="M67" i="1" s="1"/>
  <c r="K68" i="1"/>
  <c r="L68" i="1" s="1"/>
  <c r="M68" i="1" s="1"/>
  <c r="I72" i="1" l="1"/>
  <c r="J72" i="1" s="1"/>
  <c r="K72" i="1" s="1"/>
  <c r="L72" i="1" s="1"/>
  <c r="M72" i="1" s="1"/>
  <c r="I73" i="1"/>
  <c r="J73" i="1" s="1"/>
  <c r="K73" i="1" s="1"/>
  <c r="I74" i="1"/>
  <c r="J74" i="1" s="1"/>
  <c r="K74" i="1" s="1"/>
  <c r="I75" i="1"/>
  <c r="J75" i="1" s="1"/>
  <c r="K75" i="1" s="1"/>
  <c r="L74" i="1" l="1"/>
  <c r="M74" i="1" s="1"/>
  <c r="L75" i="1"/>
  <c r="M75" i="1" s="1"/>
  <c r="L73" i="1"/>
  <c r="M73" i="1" s="1"/>
  <c r="I37" i="1" l="1"/>
  <c r="J37" i="1" s="1"/>
  <c r="K37" i="1" l="1"/>
  <c r="L37" i="1" s="1"/>
  <c r="M37" i="1" s="1"/>
  <c r="N37" i="1" l="1"/>
  <c r="I71" i="1"/>
  <c r="J71" i="1" s="1"/>
  <c r="K71" i="1" l="1"/>
  <c r="L71" i="1" s="1"/>
  <c r="M71" i="1" s="1"/>
  <c r="N36" i="1" l="1"/>
  <c r="M31" i="1" l="1"/>
  <c r="N32" i="1" s="1"/>
  <c r="M66" i="1" l="1"/>
  <c r="N79" i="1" s="1"/>
  <c r="I18" i="1" l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K23" i="1" l="1"/>
  <c r="L23" i="1" s="1"/>
  <c r="M23" i="1" s="1"/>
  <c r="K25" i="1"/>
  <c r="L25" i="1" s="1"/>
  <c r="M25" i="1" s="1"/>
  <c r="K27" i="1"/>
  <c r="L27" i="1" s="1"/>
  <c r="M27" i="1" s="1"/>
  <c r="K19" i="1"/>
  <c r="L19" i="1" s="1"/>
  <c r="M19" i="1" s="1"/>
  <c r="K21" i="1"/>
  <c r="L21" i="1" s="1"/>
  <c r="M21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l="1"/>
  <c r="N69" i="1" s="1"/>
  <c r="N76" i="1" l="1"/>
  <c r="N77" i="1"/>
  <c r="N68" i="1"/>
  <c r="N67" i="1"/>
  <c r="N71" i="1"/>
  <c r="N72" i="1"/>
  <c r="N74" i="1"/>
  <c r="N73" i="1"/>
  <c r="N75" i="1"/>
  <c r="N19" i="1"/>
  <c r="N18" i="1"/>
  <c r="N23" i="1"/>
  <c r="N21" i="1"/>
  <c r="N26" i="1"/>
  <c r="N20" i="1"/>
  <c r="N27" i="1"/>
  <c r="N25" i="1"/>
  <c r="N24" i="1"/>
  <c r="N28" i="1"/>
  <c r="N22" i="1"/>
  <c r="N17" i="1"/>
  <c r="J82" i="1"/>
  <c r="N80" i="1" s="1"/>
  <c r="N16" i="1" l="1"/>
</calcChain>
</file>

<file path=xl/sharedStrings.xml><?xml version="1.0" encoding="utf-8"?>
<sst xmlns="http://schemas.openxmlformats.org/spreadsheetml/2006/main" count="351" uniqueCount="155">
  <si>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</si>
  <si>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</si>
  <si>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</si>
  <si>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</si>
  <si>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</si>
  <si>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</si>
  <si>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</si>
  <si>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</si>
  <si>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</si>
  <si>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</si>
  <si>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</si>
  <si>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</si>
  <si>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</si>
  <si>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</si>
  <si>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</si>
  <si>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</si>
  <si>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</si>
  <si>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</si>
  <si>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</si>
  <si>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</si>
  <si>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</si>
  <si>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</si>
  <si>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</si>
  <si>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</si>
  <si>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</si>
  <si>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</si>
  <si>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</si>
  <si>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</si>
  <si>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</si>
  <si>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</si>
  <si>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</si>
  <si>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</si>
  <si>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</si>
  <si>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</si>
  <si>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</si>
  <si>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</si>
  <si>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</si>
  <si>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</si>
  <si>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</si>
  <si>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</si>
  <si>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</si>
  <si>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</si>
  <si>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</si>
  <si>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</si>
  <si>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</si>
  <si>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</si>
  <si>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</si>
  <si>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</si>
  <si>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</si>
  <si>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</si>
  <si>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t>2.1</t>
  </si>
  <si>
    <t>2.2</t>
  </si>
  <si>
    <t>2.3</t>
  </si>
  <si>
    <t>Insumos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</si>
  <si>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</si>
  <si>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Data Orçamento: </t>
    </r>
    <r>
      <rPr>
        <sz val="8"/>
        <color rgb="FFFF0000"/>
        <rFont val="Arial"/>
        <family val="2"/>
      </rPr>
      <t>Jun/22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</si>
  <si>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</si>
  <si>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r>
      <t xml:space="preserve">Mês de referência: </t>
    </r>
    <r>
      <rPr>
        <sz val="8"/>
        <color rgb="FFFF0000"/>
        <rFont val="Arial"/>
        <family val="2"/>
      </rPr>
      <t>Maio/2022 (data da proposta)</t>
    </r>
  </si>
  <si>
    <t>DESCONTO (0,03%)</t>
  </si>
  <si>
    <t>ESCONTO (0,03%)</t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</si>
  <si>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05/2022)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</si>
  <si>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t>SIFAO PLASTICO FLEXIVEL SAIDA VERTICAL PARA COLUNA LAVATORIO, 1 X 1.1/2 "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</si>
  <si>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</si>
  <si>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</si>
  <si>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</si>
  <si>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</si>
  <si>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</si>
  <si>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</si>
  <si>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</si>
  <si>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</si>
  <si>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 xml:space="preserve"> 90776 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</si>
  <si>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</si>
  <si>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</si>
  <si>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</si>
  <si>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</si>
  <si>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</si>
  <si>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</si>
  <si>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</si>
  <si>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</si>
  <si>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</si>
  <si>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</si>
  <si>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</si>
  <si>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</si>
  <si>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</si>
  <si>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</si>
  <si>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</si>
  <si>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</si>
  <si>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</si>
  <si>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</si>
  <si>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</si>
  <si>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</si>
  <si>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</si>
  <si>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</si>
  <si>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</si>
  <si>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</si>
  <si>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</si>
  <si>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</si>
  <si>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</si>
  <si>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</si>
  <si>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</si>
  <si>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</si>
  <si>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</si>
  <si>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</si>
  <si>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</si>
  <si>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</si>
  <si>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m²</t>
  </si>
  <si>
    <t>2.24</t>
  </si>
  <si>
    <t>2.25</t>
  </si>
  <si>
    <t>2.26</t>
  </si>
  <si>
    <t>TORNEIRA METALICA CROMADA DE MESA PARA LAVATORIO, BICA ALTA, COM AREJADOR (REF 1195)</t>
  </si>
  <si>
    <t>KG</t>
  </si>
  <si>
    <t>ASSENTO SANITARIO DE PLASTICO, TIPO CONVENCIONAL</t>
  </si>
  <si>
    <t>SELANTE ELASTICO MONOCOMPONENTE A BASE DE POLIURETANO (PU) PARA JUNTAS DIVERSAS</t>
  </si>
  <si>
    <t>8.01.02</t>
  </si>
  <si>
    <t>ALUGUEL CAÇAMBA 4M3</t>
  </si>
  <si>
    <t>FITA ADESIVA ASFALTICA ALUMINIZADA MULTIUSO, L = 10 CM, ROLO DE 10 M</t>
  </si>
  <si>
    <t>FDE</t>
  </si>
  <si>
    <t>ADESIVO PARA TUBOS CPVC, *75* G</t>
  </si>
  <si>
    <t xml:space="preserve"> 88489 </t>
  </si>
  <si>
    <t>APLICAÇÃO MANUAL DE PINTURA COM TINTA LÁTEX ACRÍLICA EM PAREDES, DUAS DEMÃOS. AF_06/2014</t>
  </si>
  <si>
    <t>PINTURA DE PISO COM TINTA ACRÍLICA, APLICAÇÃO MANUAL, 3 DEMÃOS, INCLUSO FUNDO PREPARADOR. AF_05/2021</t>
  </si>
  <si>
    <t xml:space="preserve"> 88485 </t>
  </si>
  <si>
    <t>APLICAÇÃO DE FUNDO SELADOR ACRÍLICO EM PAREDES, UMA DEMÃO. AF_06/2014</t>
  </si>
  <si>
    <t xml:space="preserve"> 99814 </t>
  </si>
  <si>
    <t>LIMPEZA DE SUPERFÍCIE COM JATO DE ALTA PRESSÃO. AF_04/2019</t>
  </si>
  <si>
    <t>04.80.015</t>
  </si>
  <si>
    <t>DIVISORIAS DE CHAPAS DURATEX OU SIMILAR,INCL ENTARUGAMENTO</t>
  </si>
  <si>
    <t>1.15</t>
  </si>
  <si>
    <t>1.16</t>
  </si>
  <si>
    <t>ENGATE/RABICHO FLEXIVEL PLASTICO (PVC OU ABS) BRANCO 1/2 " X 40 CM</t>
  </si>
  <si>
    <t>FITA VEDA ROSCA EM ROLOS DE 18 MM X 50 M (L X C)</t>
  </si>
  <si>
    <t>TORNEIRA METALICA CROMADA PARA JARDIM / TANQUE, COM BICO PLASTICO, CANO LONGO, DE PAREDE, PADRAO POPULAR / USO GERAL , 1/2 " OU 3/4 " (REF 1153 / 1130)</t>
  </si>
  <si>
    <t>TORNEIRA METALICA CROMADA CANO CURTO, SEM BICO, SEM AREJADOR, DE PAREDE, PARA TANQUE E USO GERAL, 1/2 " OU 3/4 " (REF 1143)</t>
  </si>
  <si>
    <t>VALVULA DE ESFERA BRUTA EM BRONZE, BITOLA 3/4 " (REF 1552-B)</t>
  </si>
  <si>
    <t>FITA ISOLANTE ADESIVA ANTICHAMA, USO ATE 750 V, EM ROLO DE 19 MM X 20 M</t>
  </si>
  <si>
    <t>PASTA LUBRIFICANTE PARA TUBOS E CONEXOES COM JUNTA ELASTICA, EMBALAGEM DE *400* GR (USO EM PVC, ACO, POLIETILENO E OUTROS)</t>
  </si>
  <si>
    <t>REGISTRO DE ESFERA, PVC, COM VOLANTE, VS, SOLDAVEL, DN 25 MM, COM CORPO DIVIDIDO</t>
  </si>
  <si>
    <t>JOELHO, PVC SOLDAVEL, 45 GRAUS, 32 MM, PARA AGUA FRIA PREDIAL</t>
  </si>
  <si>
    <t>LUVA PVC SOLDAVEL, 110 MM, PARA AGUA FRIA PREDIAL</t>
  </si>
  <si>
    <t>TE SOLDAVEL, PVC, 90 GRAUS, 110 MM, PARA AGUA FRIA PREDIAL (NBR 5648)</t>
  </si>
  <si>
    <t>CIMENTO PORTLAND COMPOSTO CP II-32</t>
  </si>
  <si>
    <t>ACO CA-60, 8,0 MM OU 9,5 MM, VERGALHAO</t>
  </si>
  <si>
    <t>ACO CA-60, 4,2 MM, OU 5,0 MM, OU 6,0 MM, OU 7,0 MM, VERGALHAO</t>
  </si>
  <si>
    <t>JOELHO PVC, SOLDAVEL, PB, 90 GRAUS, DN 40 MM, PARA ESGOTO PREDIAL</t>
  </si>
  <si>
    <t>JOELHO PVC, SOLDAVEL, PB, 90 GRAUS, DN 50 MM, PARA ESGOTO PREDIAL</t>
  </si>
  <si>
    <t>LUVA SIMPLES, PVC, SOLDAVEL, DN 40 MM, SERIE NORMAL, PARA ESGOTO PREDIAL</t>
  </si>
  <si>
    <t>TE SANITARIO, PVC, DN 40 X 40 MM, SERIE NORMAL, PARA ESGOTO PREDIAL</t>
  </si>
  <si>
    <t>TE SANITARIO, PVC, DN 50 X 50 MM, SERIE NORMAL, PARA ESGOTO PREDIAL</t>
  </si>
  <si>
    <t>DIVISORIA BCO</t>
  </si>
  <si>
    <t>INSTALAÇÃO DE VIDRO LISO INCOLOR, E = 4 MM</t>
  </si>
  <si>
    <t>PINTURA COM TINTA ALQUÍDICA DE ACABAMENTO (ESMALTE SINTÉTICO BRILHANTE) APLICADA A ROLO OU PINCEL SOBRE SUPERFÍCIES METÁLICAS (EXCETO PERFIL) EXECUTADO EM OBRA (POR DEMÃO). AF_01/2020</t>
  </si>
  <si>
    <t>Pintura Fachada Clog - parte 02</t>
  </si>
  <si>
    <t>MECÂNICO DE REFRIGERAÇÃO COM ENCARGOS COMPLEMENTARES</t>
  </si>
  <si>
    <r>
      <t xml:space="preserve">Descrição serviço: </t>
    </r>
    <r>
      <rPr>
        <b/>
        <sz val="8"/>
        <color theme="1"/>
        <rFont val="Arial"/>
        <family val="2"/>
      </rPr>
      <t>ROTINAS DE MANUTENÇÃO PREDIAL NO CAMPUS SÃO CARLOS, REFERENTE AO MÊS DE FEVEREIRO/2023</t>
    </r>
  </si>
  <si>
    <t>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</si>
</sst>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Arial"/>
      <family val="1"/>
    </font>
    <font>
      <sz val="8"/>
      <name val="Arial"/>
      <family val="1"/>
    </font>
    <font>
      <sz val="9"/>
      <color rgb="FF333333"/>
      <name val="Arial"/>
      <family val="2"/>
    </font>
    <font>
      <b/>
      <sz val="8"/>
      <color rgb="FF00B0F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2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138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4" fontId="9" fillId="0" borderId="24" xfId="2" applyNumberFormat="1" applyFont="1" applyFill="1" applyBorder="1" applyAlignment="1" applyProtection="1">
      <alignment horizontal="center" vertical="center"/>
    </xf>
    <xf numFmtId="0" fontId="8" fillId="0" borderId="3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4" fillId="2" borderId="24" xfId="1" applyFont="1" applyBorder="1"/>
    <xf numFmtId="0" fontId="11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14" fillId="0" borderId="24" xfId="4" applyFont="1" applyFill="1" applyBorder="1"/>
    <xf numFmtId="2" fontId="8" fillId="0" borderId="24" xfId="1" applyNumberFormat="1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3" borderId="24" xfId="0" applyFont="1" applyFill="1" applyBorder="1" applyAlignment="1">
      <alignment horizontal="center" vertical="center" wrapText="1"/>
    </xf>
    <xf numFmtId="0" fontId="11" fillId="0" borderId="24" xfId="0" applyFont="1" applyBorder="1"/>
    <xf numFmtId="0" fontId="11" fillId="0" borderId="24" xfId="0" applyFont="1" applyBorder="1" applyAlignment="1">
      <alignment vertical="center"/>
    </xf>
    <xf numFmtId="0" fontId="14" fillId="0" borderId="24" xfId="4" applyFont="1" applyFill="1" applyBorder="1" applyAlignment="1">
      <alignment horizontal="left" vertical="center"/>
    </xf>
    <xf numFmtId="0" fontId="14" fillId="0" borderId="0" xfId="4" applyFont="1" applyFill="1" applyBorder="1" applyAlignment="1">
      <alignment horizontal="left" vertical="center"/>
    </xf>
    <xf numFmtId="0" fontId="17" fillId="0" borderId="0" xfId="0" applyFont="1"/>
    <xf numFmtId="0" fontId="15" fillId="0" borderId="24" xfId="0" applyFont="1" applyBorder="1" applyAlignment="1">
      <alignment horizontal="left" vertical="center" wrapText="1"/>
    </xf>
    <xf numFmtId="0" fontId="16" fillId="0" borderId="24" xfId="0" applyFont="1" applyBorder="1" applyAlignment="1">
      <alignment horizontal="left" vertical="center" wrapText="1"/>
    </xf>
    <xf numFmtId="4" fontId="18" fillId="0" borderId="24" xfId="2" applyNumberFormat="1" applyFont="1" applyBorder="1" applyAlignment="1" applyProtection="1">
      <alignment horizontal="center" vertical="center"/>
    </xf>
    <xf numFmtId="4" fontId="18" fillId="0" borderId="24" xfId="0" applyNumberFormat="1" applyFont="1" applyBorder="1" applyAlignment="1">
      <alignment horizontal="center" vertical="center" wrapText="1"/>
    </xf>
    <xf numFmtId="2" fontId="18" fillId="0" borderId="24" xfId="2" applyNumberFormat="1" applyFont="1" applyBorder="1" applyAlignment="1" applyProtection="1">
      <alignment horizontal="center" vertical="center"/>
    </xf>
    <xf numFmtId="2" fontId="18" fillId="0" borderId="24" xfId="1" applyNumberFormat="1" applyFont="1" applyFill="1" applyBorder="1" applyAlignment="1">
      <alignment horizontal="center" vertical="center"/>
    </xf>
    <xf numFmtId="0" fontId="7" fillId="0" borderId="24" xfId="1" applyFont="1" applyFill="1" applyBorder="1" applyAlignment="1">
      <alignment horizontal="center" vertical="center"/>
    </xf>
    <xf numFmtId="0" fontId="18" fillId="0" borderId="24" xfId="1" applyFont="1" applyFill="1" applyBorder="1" applyAlignment="1">
      <alignment horizontal="center" vertical="center"/>
    </xf>
    <xf numFmtId="4" fontId="18" fillId="3" borderId="15" xfId="0" applyNumberFormat="1" applyFont="1" applyFill="1" applyBorder="1" applyAlignment="1">
      <alignment horizontal="center" vertical="center" wrapText="1"/>
    </xf>
    <xf numFmtId="4" fontId="18" fillId="3" borderId="24" xfId="0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5" fillId="2" borderId="9" xfId="1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" fillId="2" borderId="28" xfId="1" applyFont="1" applyBorder="1" applyAlignment="1">
      <alignment horizontal="center" vertical="center" textRotation="90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4" fillId="2" borderId="26" xfId="1" applyFont="1" applyBorder="1" applyAlignment="1">
      <alignment horizontal="center" vertical="center"/>
    </xf>
    <xf numFmtId="0" fontId="4" fillId="2" borderId="18" xfId="1" applyFont="1" applyBorder="1" applyAlignment="1">
      <alignment horizontal="center" vertical="center"/>
    </xf>
    <xf numFmtId="0" fontId="4" fillId="2" borderId="44" xfId="1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43" fontId="10" fillId="0" borderId="11" xfId="0" applyNumberFormat="1" applyFont="1" applyBorder="1" applyAlignment="1">
      <alignment horizontal="center" vertical="top"/>
    </xf>
    <xf numFmtId="0" fontId="10" fillId="0" borderId="11" xfId="0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4" fontId="8" fillId="0" borderId="16" xfId="2" applyNumberFormat="1" applyFont="1" applyFill="1" applyBorder="1" applyAlignment="1" applyProtection="1">
      <alignment horizontal="left" vertical="center"/>
    </xf>
    <xf numFmtId="4" fontId="8" fillId="0" borderId="14" xfId="2" applyNumberFormat="1" applyFont="1" applyFill="1" applyBorder="1" applyAlignment="1" applyProtection="1">
      <alignment horizontal="left" vertical="center"/>
    </xf>
    <xf numFmtId="4" fontId="8" fillId="0" borderId="15" xfId="2" applyNumberFormat="1" applyFont="1" applyFill="1" applyBorder="1" applyAlignment="1" applyProtection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</cellXfs>
  <cellStyles count="5">
    <cellStyle name="Hiperlink" xfId="4" builtinId="8"/>
    <cellStyle name="Moeda" xfId="3" builtinId="4"/>
    <cellStyle name="Normal" xfId="0" builtinId="0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2022/10%20Outubro/Notas%20Fiscais/NF%20516064%20Jabu%20SA.pdf" TargetMode="External"/><Relationship Id="rId2" Type="http://schemas.openxmlformats.org/officeDocument/2006/relationships/hyperlink" Target="../../2022/10%20Outubro/Notas%20Fiscais/NF%20516064%20Jabu%20SA.pdf" TargetMode="External"/><Relationship Id="rId1" Type="http://schemas.openxmlformats.org/officeDocument/2006/relationships/hyperlink" Target="../../2022/10%20Outubro/Notas%20Fiscais/NF01%20Jabu%20SA.pdf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1"/>
  <sheetViews>
    <sheetView tabSelected="1" topLeftCell="A74" zoomScale="80" zoomScaleNormal="80" workbookViewId="0">
      <selection activeCell="J82" sqref="A1:O89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5.7109375" customWidth="1"/>
    <col min="8" max="8" width="23.7109375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</cols>
  <sheetData>
    <row r="1" spans="1:15" ht="17.100000000000001" customHeight="1" x14ac:dyDescent="0.25">
      <c r="A1" s="67" t="s">
        <v>0</v>
      </c>
      <c r="B1" s="68"/>
      <c r="C1" s="68"/>
      <c r="D1" s="68"/>
      <c r="E1" s="68"/>
      <c r="F1" s="68"/>
      <c r="G1" s="68"/>
      <c r="H1" s="68"/>
      <c r="I1" s="69"/>
      <c r="J1" s="76" t="s">
        <v>1</v>
      </c>
      <c r="K1" s="76"/>
      <c r="L1" s="76"/>
      <c r="M1" s="76"/>
      <c r="N1" s="76"/>
      <c r="O1" s="77"/>
    </row>
    <row r="2" spans="1:15" ht="17.100000000000001" customHeight="1" x14ac:dyDescent="0.25">
      <c r="A2" s="70"/>
      <c r="B2" s="71"/>
      <c r="C2" s="71"/>
      <c r="D2" s="71"/>
      <c r="E2" s="71"/>
      <c r="F2" s="71"/>
      <c r="G2" s="71"/>
      <c r="H2" s="71"/>
      <c r="I2" s="72"/>
      <c r="J2" s="78" t="s">
        <v>2</v>
      </c>
      <c r="K2" s="78"/>
      <c r="L2" s="78"/>
      <c r="M2" s="78"/>
      <c r="N2" s="78"/>
      <c r="O2" s="79"/>
    </row>
    <row r="3" spans="1:15" ht="17.100000000000001" customHeight="1" x14ac:dyDescent="0.25">
      <c r="A3" s="70"/>
      <c r="B3" s="71"/>
      <c r="C3" s="71"/>
      <c r="D3" s="71"/>
      <c r="E3" s="71"/>
      <c r="F3" s="71"/>
      <c r="G3" s="71"/>
      <c r="H3" s="71"/>
      <c r="I3" s="72"/>
      <c r="J3" s="78" t="s">
        <v>3</v>
      </c>
      <c r="K3" s="78"/>
      <c r="L3" s="78"/>
      <c r="M3" s="78" t="s">
        <v>4</v>
      </c>
      <c r="N3" s="78"/>
      <c r="O3" s="1"/>
    </row>
    <row r="4" spans="1:15" ht="17.100000000000001" customHeight="1" x14ac:dyDescent="0.25">
      <c r="A4" s="70"/>
      <c r="B4" s="71"/>
      <c r="C4" s="71"/>
      <c r="D4" s="71"/>
      <c r="E4" s="71"/>
      <c r="F4" s="71"/>
      <c r="G4" s="71"/>
      <c r="H4" s="71"/>
      <c r="I4" s="72"/>
      <c r="J4" s="78" t="s">
        <v>5</v>
      </c>
      <c r="K4" s="78"/>
      <c r="L4" s="78"/>
      <c r="M4" s="78" t="s">
        <v>6</v>
      </c>
      <c r="N4" s="78"/>
      <c r="O4" s="2"/>
    </row>
    <row r="5" spans="1:15" ht="17.100000000000001" customHeight="1" x14ac:dyDescent="0.25">
      <c r="A5" s="70"/>
      <c r="B5" s="71"/>
      <c r="C5" s="71"/>
      <c r="D5" s="71"/>
      <c r="E5" s="71"/>
      <c r="F5" s="71"/>
      <c r="G5" s="71"/>
      <c r="H5" s="71"/>
      <c r="I5" s="72"/>
      <c r="J5" s="78" t="s">
        <v>7</v>
      </c>
      <c r="K5" s="78"/>
      <c r="L5" s="78"/>
      <c r="M5" s="78" t="s">
        <v>8</v>
      </c>
      <c r="N5" s="78"/>
      <c r="O5" s="1"/>
    </row>
    <row r="6" spans="1:15" ht="17.100000000000001" customHeight="1" x14ac:dyDescent="0.25">
      <c r="A6" s="73"/>
      <c r="B6" s="74"/>
      <c r="C6" s="74"/>
      <c r="D6" s="74"/>
      <c r="E6" s="74"/>
      <c r="F6" s="74"/>
      <c r="G6" s="74"/>
      <c r="H6" s="74"/>
      <c r="I6" s="75"/>
      <c r="J6" s="78" t="s">
        <v>9</v>
      </c>
      <c r="K6" s="78"/>
      <c r="L6" s="78"/>
      <c r="M6" s="78" t="s">
        <v>10</v>
      </c>
      <c r="N6" s="78"/>
      <c r="O6" s="1"/>
    </row>
    <row r="7" spans="1:15" ht="17.100000000000001" customHeight="1" x14ac:dyDescent="0.25">
      <c r="A7" s="51" t="s">
        <v>11</v>
      </c>
      <c r="B7" s="52"/>
      <c r="C7" s="52"/>
      <c r="D7" s="52"/>
      <c r="E7" s="52"/>
      <c r="F7" s="52"/>
      <c r="G7" s="52"/>
      <c r="H7" s="52"/>
      <c r="I7" s="53"/>
      <c r="J7" s="54" t="s">
        <v>56</v>
      </c>
      <c r="K7" s="55"/>
      <c r="L7" s="55"/>
      <c r="M7" s="55"/>
      <c r="N7" s="56"/>
      <c r="O7" s="57" t="s">
        <v>12</v>
      </c>
    </row>
    <row r="8" spans="1:15" ht="17.100000000000001" customHeight="1" x14ac:dyDescent="0.25">
      <c r="A8" s="58" t="s">
        <v>153</v>
      </c>
      <c r="B8" s="59"/>
      <c r="C8" s="59"/>
      <c r="D8" s="59"/>
      <c r="E8" s="59"/>
      <c r="F8" s="59"/>
      <c r="G8" s="59"/>
      <c r="H8" s="59"/>
      <c r="I8" s="60"/>
      <c r="J8" s="54" t="s">
        <v>13</v>
      </c>
      <c r="K8" s="55"/>
      <c r="L8" s="55"/>
      <c r="M8" s="55"/>
      <c r="N8" s="56"/>
      <c r="O8" s="57"/>
    </row>
    <row r="9" spans="1:15" ht="17.100000000000001" customHeight="1" x14ac:dyDescent="0.25">
      <c r="A9" s="61"/>
      <c r="B9" s="62"/>
      <c r="C9" s="62"/>
      <c r="D9" s="62"/>
      <c r="E9" s="62"/>
      <c r="F9" s="62"/>
      <c r="G9" s="62"/>
      <c r="H9" s="62"/>
      <c r="I9" s="63"/>
      <c r="J9" s="54" t="s">
        <v>14</v>
      </c>
      <c r="K9" s="55"/>
      <c r="L9" s="55"/>
      <c r="M9" s="55"/>
      <c r="N9" s="56"/>
      <c r="O9" s="57"/>
    </row>
    <row r="10" spans="1:15" ht="17.100000000000001" customHeight="1" x14ac:dyDescent="0.25">
      <c r="A10" s="61"/>
      <c r="B10" s="62"/>
      <c r="C10" s="62"/>
      <c r="D10" s="62"/>
      <c r="E10" s="62"/>
      <c r="F10" s="62"/>
      <c r="G10" s="62"/>
      <c r="H10" s="62"/>
      <c r="I10" s="63"/>
      <c r="J10" s="54" t="s">
        <v>15</v>
      </c>
      <c r="K10" s="55"/>
      <c r="L10" s="55"/>
      <c r="M10" s="55"/>
      <c r="N10" s="56"/>
      <c r="O10" s="57"/>
    </row>
    <row r="11" spans="1:15" ht="17.100000000000001" customHeight="1" x14ac:dyDescent="0.25">
      <c r="A11" s="61"/>
      <c r="B11" s="62"/>
      <c r="C11" s="62"/>
      <c r="D11" s="62"/>
      <c r="E11" s="62"/>
      <c r="F11" s="62"/>
      <c r="G11" s="62"/>
      <c r="H11" s="62"/>
      <c r="I11" s="63"/>
      <c r="J11" s="54" t="s">
        <v>54</v>
      </c>
      <c r="K11" s="55"/>
      <c r="L11" s="55"/>
      <c r="M11" s="55"/>
      <c r="N11" s="56"/>
      <c r="O11" s="57"/>
    </row>
    <row r="12" spans="1:15" ht="17.100000000000001" customHeight="1" x14ac:dyDescent="0.25">
      <c r="A12" s="61"/>
      <c r="B12" s="62"/>
      <c r="C12" s="62"/>
      <c r="D12" s="62"/>
      <c r="E12" s="62"/>
      <c r="F12" s="62"/>
      <c r="G12" s="62"/>
      <c r="H12" s="62"/>
      <c r="I12" s="63"/>
      <c r="J12" s="54" t="s">
        <v>55</v>
      </c>
      <c r="K12" s="55"/>
      <c r="L12" s="55"/>
      <c r="M12" s="55"/>
      <c r="N12" s="56"/>
      <c r="O12" s="57"/>
    </row>
    <row r="13" spans="1:15" ht="17.100000000000001" customHeight="1" x14ac:dyDescent="0.25">
      <c r="A13" s="64"/>
      <c r="B13" s="65"/>
      <c r="C13" s="65"/>
      <c r="D13" s="65"/>
      <c r="E13" s="65"/>
      <c r="F13" s="65"/>
      <c r="G13" s="65"/>
      <c r="H13" s="65"/>
      <c r="I13" s="66"/>
      <c r="J13" s="54" t="s">
        <v>57</v>
      </c>
      <c r="K13" s="55"/>
      <c r="L13" s="55"/>
      <c r="M13" s="55"/>
      <c r="N13" s="56"/>
      <c r="O13" s="57"/>
    </row>
    <row r="14" spans="1:15" ht="17.100000000000001" customHeight="1" x14ac:dyDescent="0.25">
      <c r="A14" s="80" t="s">
        <v>16</v>
      </c>
      <c r="B14" s="82" t="s">
        <v>17</v>
      </c>
      <c r="C14" s="82" t="s">
        <v>18</v>
      </c>
      <c r="D14" s="82" t="s">
        <v>19</v>
      </c>
      <c r="E14" s="82" t="s">
        <v>20</v>
      </c>
      <c r="F14" s="82" t="s">
        <v>21</v>
      </c>
      <c r="G14" s="82" t="s">
        <v>22</v>
      </c>
      <c r="H14" s="84" t="s">
        <v>23</v>
      </c>
      <c r="I14" s="84"/>
      <c r="J14" s="84"/>
      <c r="K14" s="84"/>
      <c r="L14" s="85"/>
      <c r="M14" s="82" t="s">
        <v>24</v>
      </c>
      <c r="N14" s="82" t="s">
        <v>25</v>
      </c>
      <c r="O14" s="57" t="s">
        <v>26</v>
      </c>
    </row>
    <row r="15" spans="1:15" ht="17.100000000000001" customHeight="1" x14ac:dyDescent="0.25">
      <c r="A15" s="81"/>
      <c r="B15" s="83"/>
      <c r="C15" s="83"/>
      <c r="D15" s="83"/>
      <c r="E15" s="83"/>
      <c r="F15" s="83"/>
      <c r="G15" s="83"/>
      <c r="H15" s="3" t="s">
        <v>27</v>
      </c>
      <c r="I15" s="4" t="s">
        <v>28</v>
      </c>
      <c r="J15" s="3" t="s">
        <v>29</v>
      </c>
      <c r="K15" s="4" t="s">
        <v>58</v>
      </c>
      <c r="L15" s="3" t="s">
        <v>30</v>
      </c>
      <c r="M15" s="83"/>
      <c r="N15" s="83"/>
      <c r="O15" s="57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9"/>
      <c r="I16" s="9"/>
      <c r="J16" s="9"/>
      <c r="K16" s="9"/>
      <c r="L16" s="9"/>
      <c r="M16" s="26">
        <f>SUM(M17:M30)</f>
        <v>70558.444674432016</v>
      </c>
      <c r="N16" s="10">
        <f>SUM(N17:N28)</f>
        <v>0.99999999999999989</v>
      </c>
      <c r="O16" s="57"/>
    </row>
    <row r="17" spans="1:15" ht="26.25" customHeight="1" x14ac:dyDescent="0.25">
      <c r="A17" s="17" t="s">
        <v>32</v>
      </c>
      <c r="B17" s="17" t="s">
        <v>33</v>
      </c>
      <c r="C17" s="11" t="s">
        <v>70</v>
      </c>
      <c r="D17" s="11" t="s">
        <v>34</v>
      </c>
      <c r="E17" s="25" t="s">
        <v>71</v>
      </c>
      <c r="F17" s="13" t="s">
        <v>35</v>
      </c>
      <c r="G17" s="17">
        <v>180</v>
      </c>
      <c r="H17" s="43">
        <v>33.69</v>
      </c>
      <c r="I17" s="14">
        <f>H17*0.2232</f>
        <v>7.5196079999999998</v>
      </c>
      <c r="J17" s="14">
        <f t="shared" ref="J17" si="0">H17+I17</f>
        <v>41.209607999999996</v>
      </c>
      <c r="K17" s="14">
        <f>J17*(0.03%)</f>
        <v>1.2362882399999997E-2</v>
      </c>
      <c r="L17" s="14">
        <f t="shared" ref="L17" si="1">J17-K17</f>
        <v>41.197245117599998</v>
      </c>
      <c r="M17" s="14">
        <f t="shared" ref="M17" si="2">L17*G17</f>
        <v>7415.504121168</v>
      </c>
      <c r="N17" s="14">
        <f>M17/M$16</f>
        <v>0.1050973296730721</v>
      </c>
      <c r="O17" s="86"/>
    </row>
    <row r="18" spans="1:15" ht="26.25" customHeight="1" x14ac:dyDescent="0.25">
      <c r="A18" s="17" t="s">
        <v>74</v>
      </c>
      <c r="B18" s="17" t="s">
        <v>33</v>
      </c>
      <c r="C18" s="11" t="s">
        <v>62</v>
      </c>
      <c r="D18" s="11" t="s">
        <v>34</v>
      </c>
      <c r="E18" s="25" t="s">
        <v>63</v>
      </c>
      <c r="F18" s="13" t="s">
        <v>35</v>
      </c>
      <c r="G18" s="17">
        <v>180</v>
      </c>
      <c r="H18" s="43">
        <v>29.01</v>
      </c>
      <c r="I18" s="14">
        <f t="shared" ref="I18:I28" si="3">H18*0.2232</f>
        <v>6.4750320000000006</v>
      </c>
      <c r="J18" s="14">
        <f t="shared" ref="J18:J28" si="4">H18+I18</f>
        <v>35.485032000000004</v>
      </c>
      <c r="K18" s="14">
        <f t="shared" ref="K18:K28" si="5">J18*(0.03%)</f>
        <v>1.06455096E-2</v>
      </c>
      <c r="L18" s="14">
        <f t="shared" ref="L18:L28" si="6">J18-K18</f>
        <v>35.474386490400001</v>
      </c>
      <c r="M18" s="14">
        <f t="shared" ref="M18:M28" si="7">L18*G18</f>
        <v>6385.3895682720004</v>
      </c>
      <c r="N18" s="14">
        <f t="shared" ref="N18:N28" si="8">M18/M$16</f>
        <v>9.0497878712253538E-2</v>
      </c>
      <c r="O18" s="86"/>
    </row>
    <row r="19" spans="1:15" ht="26.25" customHeight="1" x14ac:dyDescent="0.25">
      <c r="A19" s="17" t="s">
        <v>75</v>
      </c>
      <c r="B19" s="17" t="s">
        <v>33</v>
      </c>
      <c r="C19" s="11" t="s">
        <v>62</v>
      </c>
      <c r="D19" s="11" t="s">
        <v>34</v>
      </c>
      <c r="E19" s="25" t="s">
        <v>63</v>
      </c>
      <c r="F19" s="13" t="s">
        <v>35</v>
      </c>
      <c r="G19" s="17">
        <v>180</v>
      </c>
      <c r="H19" s="43">
        <v>29.01</v>
      </c>
      <c r="I19" s="14">
        <f t="shared" si="3"/>
        <v>6.4750320000000006</v>
      </c>
      <c r="J19" s="14">
        <f t="shared" si="4"/>
        <v>35.485032000000004</v>
      </c>
      <c r="K19" s="14">
        <f t="shared" si="5"/>
        <v>1.06455096E-2</v>
      </c>
      <c r="L19" s="14">
        <f t="shared" si="6"/>
        <v>35.474386490400001</v>
      </c>
      <c r="M19" s="14">
        <f t="shared" si="7"/>
        <v>6385.3895682720004</v>
      </c>
      <c r="N19" s="14">
        <f t="shared" si="8"/>
        <v>9.0497878712253538E-2</v>
      </c>
      <c r="O19" s="86"/>
    </row>
    <row r="20" spans="1:15" ht="26.25" customHeight="1" x14ac:dyDescent="0.25">
      <c r="A20" s="17" t="s">
        <v>76</v>
      </c>
      <c r="B20" s="17" t="s">
        <v>33</v>
      </c>
      <c r="C20" s="11" t="s">
        <v>64</v>
      </c>
      <c r="D20" s="11" t="s">
        <v>34</v>
      </c>
      <c r="E20" s="25" t="s">
        <v>65</v>
      </c>
      <c r="F20" s="13" t="s">
        <v>35</v>
      </c>
      <c r="G20" s="17">
        <v>180</v>
      </c>
      <c r="H20" s="43">
        <v>24.94</v>
      </c>
      <c r="I20" s="14">
        <f t="shared" si="3"/>
        <v>5.5666080000000004</v>
      </c>
      <c r="J20" s="14">
        <f t="shared" si="4"/>
        <v>30.506608</v>
      </c>
      <c r="K20" s="14">
        <f t="shared" si="5"/>
        <v>9.1519823999999996E-3</v>
      </c>
      <c r="L20" s="14">
        <f t="shared" si="6"/>
        <v>30.497456017600001</v>
      </c>
      <c r="M20" s="14">
        <f t="shared" si="7"/>
        <v>5489.5420831680003</v>
      </c>
      <c r="N20" s="14">
        <f t="shared" si="8"/>
        <v>7.7801347641627133E-2</v>
      </c>
      <c r="O20" s="86"/>
    </row>
    <row r="21" spans="1:15" ht="26.25" customHeight="1" x14ac:dyDescent="0.25">
      <c r="A21" s="17" t="s">
        <v>77</v>
      </c>
      <c r="B21" s="17" t="s">
        <v>33</v>
      </c>
      <c r="C21" s="11" t="s">
        <v>64</v>
      </c>
      <c r="D21" s="11" t="s">
        <v>34</v>
      </c>
      <c r="E21" s="25" t="s">
        <v>65</v>
      </c>
      <c r="F21" s="13" t="s">
        <v>35</v>
      </c>
      <c r="G21" s="17">
        <v>180</v>
      </c>
      <c r="H21" s="43">
        <v>24.94</v>
      </c>
      <c r="I21" s="14">
        <f t="shared" si="3"/>
        <v>5.5666080000000004</v>
      </c>
      <c r="J21" s="14">
        <f t="shared" si="4"/>
        <v>30.506608</v>
      </c>
      <c r="K21" s="14">
        <f t="shared" si="5"/>
        <v>9.1519823999999996E-3</v>
      </c>
      <c r="L21" s="14">
        <f t="shared" si="6"/>
        <v>30.497456017600001</v>
      </c>
      <c r="M21" s="14">
        <f t="shared" si="7"/>
        <v>5489.5420831680003</v>
      </c>
      <c r="N21" s="14">
        <f t="shared" si="8"/>
        <v>7.7801347641627133E-2</v>
      </c>
      <c r="O21" s="86"/>
    </row>
    <row r="22" spans="1:15" ht="26.25" customHeight="1" x14ac:dyDescent="0.25">
      <c r="A22" s="17" t="s">
        <v>78</v>
      </c>
      <c r="B22" s="17" t="s">
        <v>33</v>
      </c>
      <c r="C22" s="11" t="s">
        <v>66</v>
      </c>
      <c r="D22" s="11" t="s">
        <v>34</v>
      </c>
      <c r="E22" s="25" t="s">
        <v>67</v>
      </c>
      <c r="F22" s="13" t="s">
        <v>35</v>
      </c>
      <c r="G22" s="17">
        <v>180</v>
      </c>
      <c r="H22" s="43">
        <v>28.4</v>
      </c>
      <c r="I22" s="14">
        <f t="shared" si="3"/>
        <v>6.3388799999999996</v>
      </c>
      <c r="J22" s="14">
        <f t="shared" si="4"/>
        <v>34.738879999999995</v>
      </c>
      <c r="K22" s="14">
        <f t="shared" si="5"/>
        <v>1.0421663999999997E-2</v>
      </c>
      <c r="L22" s="14">
        <f t="shared" si="6"/>
        <v>34.728458335999996</v>
      </c>
      <c r="M22" s="14">
        <f t="shared" si="7"/>
        <v>6251.122500479999</v>
      </c>
      <c r="N22" s="14">
        <f t="shared" si="8"/>
        <v>8.8594958822061365E-2</v>
      </c>
      <c r="O22" s="86"/>
    </row>
    <row r="23" spans="1:15" ht="26.25" customHeight="1" x14ac:dyDescent="0.25">
      <c r="A23" s="17" t="s">
        <v>79</v>
      </c>
      <c r="B23" s="17" t="s">
        <v>33</v>
      </c>
      <c r="C23" s="11" t="s">
        <v>66</v>
      </c>
      <c r="D23" s="11" t="s">
        <v>34</v>
      </c>
      <c r="E23" s="25" t="s">
        <v>67</v>
      </c>
      <c r="F23" s="13" t="s">
        <v>35</v>
      </c>
      <c r="G23" s="17">
        <v>180</v>
      </c>
      <c r="H23" s="43">
        <v>28.4</v>
      </c>
      <c r="I23" s="14">
        <f t="shared" si="3"/>
        <v>6.3388799999999996</v>
      </c>
      <c r="J23" s="14">
        <f t="shared" si="4"/>
        <v>34.738879999999995</v>
      </c>
      <c r="K23" s="14">
        <f t="shared" si="5"/>
        <v>1.0421663999999997E-2</v>
      </c>
      <c r="L23" s="14">
        <f t="shared" si="6"/>
        <v>34.728458335999996</v>
      </c>
      <c r="M23" s="14">
        <f t="shared" si="7"/>
        <v>6251.122500479999</v>
      </c>
      <c r="N23" s="14">
        <f t="shared" si="8"/>
        <v>8.8594958822061365E-2</v>
      </c>
      <c r="O23" s="86"/>
    </row>
    <row r="24" spans="1:15" ht="26.25" customHeight="1" x14ac:dyDescent="0.25">
      <c r="A24" s="17" t="s">
        <v>80</v>
      </c>
      <c r="B24" s="17" t="s">
        <v>33</v>
      </c>
      <c r="C24" s="11" t="s">
        <v>68</v>
      </c>
      <c r="D24" s="11" t="s">
        <v>34</v>
      </c>
      <c r="E24" s="25" t="s">
        <v>69</v>
      </c>
      <c r="F24" s="13" t="s">
        <v>35</v>
      </c>
      <c r="G24" s="17">
        <v>180</v>
      </c>
      <c r="H24" s="43">
        <v>24.45</v>
      </c>
      <c r="I24" s="14">
        <f t="shared" si="3"/>
        <v>5.4572399999999996</v>
      </c>
      <c r="J24" s="14">
        <f t="shared" si="4"/>
        <v>29.907239999999998</v>
      </c>
      <c r="K24" s="14">
        <f t="shared" si="5"/>
        <v>8.9721719999999987E-3</v>
      </c>
      <c r="L24" s="14">
        <f t="shared" si="6"/>
        <v>29.898267827999998</v>
      </c>
      <c r="M24" s="14">
        <f t="shared" si="7"/>
        <v>5381.6882090399995</v>
      </c>
      <c r="N24" s="14">
        <f t="shared" si="8"/>
        <v>7.6272772647866208E-2</v>
      </c>
      <c r="O24" s="86"/>
    </row>
    <row r="25" spans="1:15" ht="26.25" customHeight="1" x14ac:dyDescent="0.25">
      <c r="A25" s="17" t="s">
        <v>81</v>
      </c>
      <c r="B25" s="17" t="s">
        <v>33</v>
      </c>
      <c r="C25" s="11" t="s">
        <v>68</v>
      </c>
      <c r="D25" s="11" t="s">
        <v>34</v>
      </c>
      <c r="E25" s="25" t="s">
        <v>69</v>
      </c>
      <c r="F25" s="13" t="s">
        <v>35</v>
      </c>
      <c r="G25" s="17">
        <v>180</v>
      </c>
      <c r="H25" s="43">
        <v>24.45</v>
      </c>
      <c r="I25" s="14">
        <f t="shared" si="3"/>
        <v>5.4572399999999996</v>
      </c>
      <c r="J25" s="14">
        <f t="shared" si="4"/>
        <v>29.907239999999998</v>
      </c>
      <c r="K25" s="14">
        <f t="shared" si="5"/>
        <v>8.9721719999999987E-3</v>
      </c>
      <c r="L25" s="14">
        <f t="shared" si="6"/>
        <v>29.898267827999998</v>
      </c>
      <c r="M25" s="14">
        <f t="shared" si="7"/>
        <v>5381.6882090399995</v>
      </c>
      <c r="N25" s="14">
        <f t="shared" si="8"/>
        <v>7.6272772647866208E-2</v>
      </c>
      <c r="O25" s="86"/>
    </row>
    <row r="26" spans="1:15" ht="26.25" customHeight="1" x14ac:dyDescent="0.25">
      <c r="A26" s="17" t="s">
        <v>82</v>
      </c>
      <c r="B26" s="17" t="s">
        <v>33</v>
      </c>
      <c r="C26" s="11" t="s">
        <v>68</v>
      </c>
      <c r="D26" s="11" t="s">
        <v>34</v>
      </c>
      <c r="E26" s="25" t="s">
        <v>69</v>
      </c>
      <c r="F26" s="13" t="s">
        <v>35</v>
      </c>
      <c r="G26" s="17">
        <v>180</v>
      </c>
      <c r="H26" s="43">
        <v>24.45</v>
      </c>
      <c r="I26" s="14">
        <f t="shared" si="3"/>
        <v>5.4572399999999996</v>
      </c>
      <c r="J26" s="14">
        <f t="shared" si="4"/>
        <v>29.907239999999998</v>
      </c>
      <c r="K26" s="14">
        <f t="shared" si="5"/>
        <v>8.9721719999999987E-3</v>
      </c>
      <c r="L26" s="14">
        <f t="shared" si="6"/>
        <v>29.898267827999998</v>
      </c>
      <c r="M26" s="14">
        <f t="shared" si="7"/>
        <v>5381.6882090399995</v>
      </c>
      <c r="N26" s="14">
        <f t="shared" si="8"/>
        <v>7.6272772647866208E-2</v>
      </c>
      <c r="O26" s="86"/>
    </row>
    <row r="27" spans="1:15" ht="26.25" customHeight="1" x14ac:dyDescent="0.25">
      <c r="A27" s="17" t="s">
        <v>83</v>
      </c>
      <c r="B27" s="17" t="s">
        <v>33</v>
      </c>
      <c r="C27" s="11" t="s">
        <v>72</v>
      </c>
      <c r="D27" s="11" t="s">
        <v>34</v>
      </c>
      <c r="E27" s="12" t="s">
        <v>73</v>
      </c>
      <c r="F27" s="13" t="s">
        <v>35</v>
      </c>
      <c r="G27" s="17">
        <v>180</v>
      </c>
      <c r="H27" s="43">
        <v>24.41</v>
      </c>
      <c r="I27" s="14">
        <f t="shared" si="3"/>
        <v>5.4483120000000005</v>
      </c>
      <c r="J27" s="14">
        <f t="shared" si="4"/>
        <v>29.858312000000002</v>
      </c>
      <c r="K27" s="14">
        <f t="shared" si="5"/>
        <v>8.9574935999999997E-3</v>
      </c>
      <c r="L27" s="14">
        <f t="shared" si="6"/>
        <v>29.849354506400001</v>
      </c>
      <c r="M27" s="14">
        <f t="shared" si="7"/>
        <v>5372.8838111519999</v>
      </c>
      <c r="N27" s="14">
        <f t="shared" si="8"/>
        <v>7.6147991015722463E-2</v>
      </c>
      <c r="O27" s="86"/>
    </row>
    <row r="28" spans="1:15" ht="26.25" customHeight="1" x14ac:dyDescent="0.25">
      <c r="A28" s="17" t="s">
        <v>84</v>
      </c>
      <c r="B28" s="17" t="s">
        <v>33</v>
      </c>
      <c r="C28" s="11" t="s">
        <v>72</v>
      </c>
      <c r="D28" s="11" t="s">
        <v>34</v>
      </c>
      <c r="E28" s="12" t="s">
        <v>73</v>
      </c>
      <c r="F28" s="13" t="s">
        <v>35</v>
      </c>
      <c r="G28" s="17">
        <v>180</v>
      </c>
      <c r="H28" s="43">
        <v>24.41</v>
      </c>
      <c r="I28" s="14">
        <f t="shared" si="3"/>
        <v>5.4483120000000005</v>
      </c>
      <c r="J28" s="14">
        <f t="shared" si="4"/>
        <v>29.858312000000002</v>
      </c>
      <c r="K28" s="14">
        <f t="shared" si="5"/>
        <v>8.9574935999999997E-3</v>
      </c>
      <c r="L28" s="14">
        <f t="shared" si="6"/>
        <v>29.849354506400001</v>
      </c>
      <c r="M28" s="14">
        <f t="shared" si="7"/>
        <v>5372.8838111519999</v>
      </c>
      <c r="N28" s="14">
        <f t="shared" si="8"/>
        <v>7.6147991015722463E-2</v>
      </c>
      <c r="O28" s="86"/>
    </row>
    <row r="29" spans="1:15" x14ac:dyDescent="0.25">
      <c r="A29" s="80" t="s">
        <v>16</v>
      </c>
      <c r="B29" s="82" t="s">
        <v>17</v>
      </c>
      <c r="C29" s="82" t="s">
        <v>18</v>
      </c>
      <c r="D29" s="82" t="s">
        <v>19</v>
      </c>
      <c r="E29" s="82" t="s">
        <v>20</v>
      </c>
      <c r="F29" s="82" t="s">
        <v>21</v>
      </c>
      <c r="G29" s="82" t="s">
        <v>22</v>
      </c>
      <c r="H29" s="84" t="s">
        <v>23</v>
      </c>
      <c r="I29" s="84"/>
      <c r="J29" s="84"/>
      <c r="K29" s="84"/>
      <c r="L29" s="85"/>
      <c r="M29" s="82" t="s">
        <v>24</v>
      </c>
      <c r="N29" s="82" t="s">
        <v>25</v>
      </c>
      <c r="O29" s="86"/>
    </row>
    <row r="30" spans="1:15" ht="17.100000000000001" customHeight="1" x14ac:dyDescent="0.25">
      <c r="A30" s="81"/>
      <c r="B30" s="83"/>
      <c r="C30" s="83"/>
      <c r="D30" s="83"/>
      <c r="E30" s="83"/>
      <c r="F30" s="83"/>
      <c r="G30" s="83"/>
      <c r="H30" s="3" t="s">
        <v>27</v>
      </c>
      <c r="I30" s="4" t="s">
        <v>36</v>
      </c>
      <c r="J30" s="3" t="s">
        <v>29</v>
      </c>
      <c r="K30" s="4" t="s">
        <v>58</v>
      </c>
      <c r="L30" s="3" t="s">
        <v>30</v>
      </c>
      <c r="M30" s="83"/>
      <c r="N30" s="83"/>
      <c r="O30" s="57"/>
    </row>
    <row r="31" spans="1:15" ht="17.100000000000001" customHeight="1" x14ac:dyDescent="0.25">
      <c r="A31" s="15">
        <v>2</v>
      </c>
      <c r="B31" s="87" t="s">
        <v>37</v>
      </c>
      <c r="C31" s="87"/>
      <c r="D31" s="88"/>
      <c r="E31" s="88"/>
      <c r="F31" s="88"/>
      <c r="G31" s="16"/>
      <c r="H31" s="16"/>
      <c r="I31" s="16"/>
      <c r="J31" s="16"/>
      <c r="K31" s="16"/>
      <c r="L31" s="16"/>
      <c r="M31" s="27">
        <f>SUM(M32:M63)</f>
        <v>21234.037095714462</v>
      </c>
      <c r="N31" s="16"/>
      <c r="O31" s="86"/>
    </row>
    <row r="32" spans="1:15" s="19" customFormat="1" ht="17.100000000000001" customHeight="1" x14ac:dyDescent="0.2">
      <c r="A32" s="18" t="s">
        <v>50</v>
      </c>
      <c r="B32" s="18" t="s">
        <v>53</v>
      </c>
      <c r="C32" s="28">
        <v>377</v>
      </c>
      <c r="D32" s="18" t="s">
        <v>34</v>
      </c>
      <c r="E32" s="30" t="s">
        <v>111</v>
      </c>
      <c r="F32" s="18" t="s">
        <v>21</v>
      </c>
      <c r="G32" s="18">
        <v>20</v>
      </c>
      <c r="H32" s="45">
        <v>42.48</v>
      </c>
      <c r="I32" s="14">
        <f t="shared" ref="I32:I33" si="9">H32*0.1532</f>
        <v>6.5079359999999999</v>
      </c>
      <c r="J32" s="14">
        <f t="shared" ref="J32:J33" si="10">H32+I32</f>
        <v>48.987935999999998</v>
      </c>
      <c r="K32" s="14">
        <f t="shared" ref="K32:K33" si="11">J32*(0.03%)</f>
        <v>1.4696380799999999E-2</v>
      </c>
      <c r="L32" s="14">
        <f t="shared" ref="L32:L33" si="12">J32-K32</f>
        <v>48.973239619200001</v>
      </c>
      <c r="M32" s="14">
        <f t="shared" ref="M32:M33" si="13">L32*G32</f>
        <v>979.46479238400002</v>
      </c>
      <c r="N32" s="14">
        <f>M32/M31</f>
        <v>4.6127111296310183E-2</v>
      </c>
      <c r="O32" s="86"/>
    </row>
    <row r="33" spans="1:15" s="19" customFormat="1" ht="17.100000000000001" customHeight="1" x14ac:dyDescent="0.2">
      <c r="A33" s="18" t="s">
        <v>51</v>
      </c>
      <c r="B33" s="18" t="s">
        <v>53</v>
      </c>
      <c r="C33" s="18">
        <v>11762</v>
      </c>
      <c r="D33" s="18" t="s">
        <v>34</v>
      </c>
      <c r="E33" s="36" t="s">
        <v>131</v>
      </c>
      <c r="F33" s="18" t="s">
        <v>21</v>
      </c>
      <c r="G33" s="18">
        <v>10</v>
      </c>
      <c r="H33" s="46">
        <v>49.2</v>
      </c>
      <c r="I33" s="14">
        <f t="shared" si="9"/>
        <v>7.5374400000000001</v>
      </c>
      <c r="J33" s="14">
        <f t="shared" si="10"/>
        <v>56.737440000000007</v>
      </c>
      <c r="K33" s="14">
        <f t="shared" si="11"/>
        <v>1.7021232000000001E-2</v>
      </c>
      <c r="L33" s="14">
        <f t="shared" si="12"/>
        <v>56.720418768000009</v>
      </c>
      <c r="M33" s="14">
        <f t="shared" si="13"/>
        <v>567.20418768000013</v>
      </c>
      <c r="N33" s="14">
        <f t="shared" ref="N33:N57" si="14">M33/M32</f>
        <v>0.57909604519774027</v>
      </c>
      <c r="O33" s="86"/>
    </row>
    <row r="34" spans="1:15" s="19" customFormat="1" ht="17.100000000000001" customHeight="1" x14ac:dyDescent="0.2">
      <c r="A34" s="18" t="s">
        <v>52</v>
      </c>
      <c r="B34" s="18" t="s">
        <v>53</v>
      </c>
      <c r="C34" s="18">
        <v>39701</v>
      </c>
      <c r="D34" s="18" t="s">
        <v>34</v>
      </c>
      <c r="E34" s="29" t="s">
        <v>115</v>
      </c>
      <c r="F34" s="18" t="s">
        <v>21</v>
      </c>
      <c r="G34" s="18">
        <v>5</v>
      </c>
      <c r="H34" s="46">
        <v>98.43</v>
      </c>
      <c r="I34" s="14">
        <f t="shared" ref="I34:I35" si="15">H34*0.1532</f>
        <v>15.079476000000001</v>
      </c>
      <c r="J34" s="14">
        <f t="shared" ref="J34:J35" si="16">H34+I34</f>
        <v>113.50947600000001</v>
      </c>
      <c r="K34" s="14">
        <f t="shared" ref="K34:K35" si="17">J34*(0.03%)</f>
        <v>3.4052842799999997E-2</v>
      </c>
      <c r="L34" s="14">
        <f t="shared" ref="L34:L35" si="18">J34-K34</f>
        <v>113.47542315720001</v>
      </c>
      <c r="M34" s="14">
        <f t="shared" ref="M34:M35" si="19">L34*G34</f>
        <v>567.3771157860001</v>
      </c>
      <c r="N34" s="14" t="e">
        <f>M34/#REF!</f>
        <v>#REF!</v>
      </c>
      <c r="O34" s="86"/>
    </row>
    <row r="35" spans="1:15" s="19" customFormat="1" ht="17.100000000000001" customHeight="1" x14ac:dyDescent="0.2">
      <c r="A35" s="18" t="s">
        <v>85</v>
      </c>
      <c r="B35" s="18" t="s">
        <v>53</v>
      </c>
      <c r="C35" s="18">
        <v>6148</v>
      </c>
      <c r="D35" s="18" t="s">
        <v>34</v>
      </c>
      <c r="E35" s="38" t="s">
        <v>61</v>
      </c>
      <c r="F35" s="18" t="s">
        <v>21</v>
      </c>
      <c r="G35" s="18">
        <v>15</v>
      </c>
      <c r="H35" s="46">
        <v>10.8</v>
      </c>
      <c r="I35" s="14">
        <f t="shared" si="15"/>
        <v>1.65456</v>
      </c>
      <c r="J35" s="14">
        <f t="shared" si="16"/>
        <v>12.454560000000001</v>
      </c>
      <c r="K35" s="14">
        <f t="shared" si="17"/>
        <v>3.7363679999999999E-3</v>
      </c>
      <c r="L35" s="14">
        <f t="shared" si="18"/>
        <v>12.450823632000001</v>
      </c>
      <c r="M35" s="14">
        <f t="shared" si="19"/>
        <v>186.76235448</v>
      </c>
      <c r="N35" s="14" t="e">
        <f>M35/#REF!</f>
        <v>#REF!</v>
      </c>
      <c r="O35" s="86"/>
    </row>
    <row r="36" spans="1:15" s="19" customFormat="1" ht="17.100000000000001" customHeight="1" x14ac:dyDescent="0.2">
      <c r="A36" s="18" t="s">
        <v>86</v>
      </c>
      <c r="B36" s="18" t="s">
        <v>53</v>
      </c>
      <c r="C36" s="18">
        <v>11681</v>
      </c>
      <c r="D36" s="18" t="s">
        <v>34</v>
      </c>
      <c r="E36" s="37" t="s">
        <v>129</v>
      </c>
      <c r="F36" s="18" t="s">
        <v>21</v>
      </c>
      <c r="G36" s="18">
        <v>10</v>
      </c>
      <c r="H36" s="46">
        <v>9.0500000000000007</v>
      </c>
      <c r="I36" s="14">
        <f t="shared" ref="I36" si="20">H36*0.1532</f>
        <v>1.38646</v>
      </c>
      <c r="J36" s="14">
        <f t="shared" ref="J36" si="21">H36+I36</f>
        <v>10.43646</v>
      </c>
      <c r="K36" s="14">
        <f t="shared" ref="K36" si="22">J36*(0.03%)</f>
        <v>3.1309379999999998E-3</v>
      </c>
      <c r="L36" s="14">
        <f t="shared" ref="L36" si="23">J36-K36</f>
        <v>10.433329062</v>
      </c>
      <c r="M36" s="14">
        <f t="shared" ref="M36" si="24">L36*G36</f>
        <v>104.33329062</v>
      </c>
      <c r="N36" s="14" t="e">
        <f>M36/#REF!</f>
        <v>#REF!</v>
      </c>
      <c r="O36" s="86"/>
    </row>
    <row r="37" spans="1:15" s="24" customFormat="1" ht="16.5" customHeight="1" x14ac:dyDescent="0.2">
      <c r="A37" s="18" t="s">
        <v>87</v>
      </c>
      <c r="B37" s="18" t="s">
        <v>154</v>
      </c>
      <c r="C37" s="32" t="s">
        <v>113</v>
      </c>
      <c r="D37" s="32" t="s">
        <v>116</v>
      </c>
      <c r="E37" s="33" t="s">
        <v>114</v>
      </c>
      <c r="F37" s="32" t="s">
        <v>21</v>
      </c>
      <c r="G37" s="32">
        <v>14</v>
      </c>
      <c r="H37" s="44">
        <v>415.62</v>
      </c>
      <c r="I37" s="20">
        <f t="shared" ref="I37" si="25">H37*0.2232</f>
        <v>92.766384000000002</v>
      </c>
      <c r="J37" s="20">
        <f t="shared" ref="J37" si="26">H37+I37</f>
        <v>508.38638400000002</v>
      </c>
      <c r="K37" s="20">
        <f t="shared" ref="K37" si="27">J37*(0.03%)</f>
        <v>0.15251591519999999</v>
      </c>
      <c r="L37" s="20">
        <f t="shared" ref="L37" si="28">J37-K37</f>
        <v>508.23386808480001</v>
      </c>
      <c r="M37" s="20">
        <f t="shared" ref="M37" si="29">L37*G37</f>
        <v>7115.2741531871998</v>
      </c>
      <c r="N37" s="14" t="e">
        <f>M37/#REF!</f>
        <v>#REF!</v>
      </c>
      <c r="O37" s="86"/>
    </row>
    <row r="38" spans="1:15" s="19" customFormat="1" ht="17.100000000000001" customHeight="1" x14ac:dyDescent="0.2">
      <c r="A38" s="18" t="s">
        <v>88</v>
      </c>
      <c r="B38" s="18" t="s">
        <v>53</v>
      </c>
      <c r="C38" s="18">
        <v>20111</v>
      </c>
      <c r="D38" s="18" t="s">
        <v>34</v>
      </c>
      <c r="E38" s="29" t="s">
        <v>134</v>
      </c>
      <c r="F38" s="18" t="s">
        <v>21</v>
      </c>
      <c r="G38" s="18">
        <v>5</v>
      </c>
      <c r="H38" s="43">
        <v>18.14</v>
      </c>
      <c r="I38" s="14">
        <f t="shared" ref="I38:I47" si="30">H38*0.1532</f>
        <v>2.779048</v>
      </c>
      <c r="J38" s="14">
        <f t="shared" ref="J38:J47" si="31">H38+I38</f>
        <v>20.919048</v>
      </c>
      <c r="K38" s="14">
        <f t="shared" ref="K38:K47" si="32">J38*(0.03%)</f>
        <v>6.2757143999999992E-3</v>
      </c>
      <c r="L38" s="14">
        <f t="shared" ref="L38:L47" si="33">J38-K38</f>
        <v>20.912772285599999</v>
      </c>
      <c r="M38" s="14">
        <f t="shared" ref="M38:M47" si="34">L38*G38</f>
        <v>104.563861428</v>
      </c>
      <c r="N38" s="14" t="e">
        <f>M38/#REF!</f>
        <v>#REF!</v>
      </c>
      <c r="O38" s="86"/>
    </row>
    <row r="39" spans="1:15" s="19" customFormat="1" ht="17.100000000000001" customHeight="1" x14ac:dyDescent="0.2">
      <c r="A39" s="18" t="s">
        <v>89</v>
      </c>
      <c r="B39" s="18" t="s">
        <v>53</v>
      </c>
      <c r="C39" s="18">
        <v>3148</v>
      </c>
      <c r="D39" s="18" t="s">
        <v>34</v>
      </c>
      <c r="E39" s="36" t="s">
        <v>130</v>
      </c>
      <c r="F39" s="18" t="s">
        <v>21</v>
      </c>
      <c r="G39" s="18">
        <v>10</v>
      </c>
      <c r="H39" s="46">
        <v>8.92</v>
      </c>
      <c r="I39" s="14">
        <f t="shared" si="30"/>
        <v>1.366544</v>
      </c>
      <c r="J39" s="14">
        <f t="shared" si="31"/>
        <v>10.286543999999999</v>
      </c>
      <c r="K39" s="14">
        <f t="shared" si="32"/>
        <v>3.0859631999999994E-3</v>
      </c>
      <c r="L39" s="14">
        <f t="shared" si="33"/>
        <v>10.283458036799999</v>
      </c>
      <c r="M39" s="14">
        <f t="shared" si="34"/>
        <v>102.83458036799999</v>
      </c>
      <c r="N39" s="14">
        <f t="shared" si="14"/>
        <v>0.9834619625137816</v>
      </c>
      <c r="O39" s="86"/>
    </row>
    <row r="40" spans="1:15" s="19" customFormat="1" ht="17.100000000000001" customHeight="1" x14ac:dyDescent="0.2">
      <c r="A40" s="18" t="s">
        <v>90</v>
      </c>
      <c r="B40" s="18"/>
      <c r="C40" s="18">
        <v>13417</v>
      </c>
      <c r="D40" s="18" t="s">
        <v>34</v>
      </c>
      <c r="E40" s="40" t="s">
        <v>132</v>
      </c>
      <c r="F40" s="18" t="s">
        <v>21</v>
      </c>
      <c r="G40" s="18">
        <v>2</v>
      </c>
      <c r="H40" s="46">
        <v>78.010000000000005</v>
      </c>
      <c r="I40" s="14">
        <f t="shared" si="30"/>
        <v>11.951132000000001</v>
      </c>
      <c r="J40" s="14">
        <f t="shared" si="31"/>
        <v>89.961132000000006</v>
      </c>
      <c r="K40" s="14">
        <f t="shared" si="32"/>
        <v>2.6988339600000001E-2</v>
      </c>
      <c r="L40" s="14">
        <f t="shared" si="33"/>
        <v>89.934143660400011</v>
      </c>
      <c r="M40" s="14">
        <f t="shared" si="34"/>
        <v>179.86828732080002</v>
      </c>
      <c r="N40" s="14">
        <f t="shared" si="14"/>
        <v>1.7491031390134533</v>
      </c>
      <c r="O40" s="86"/>
    </row>
    <row r="41" spans="1:15" s="19" customFormat="1" ht="17.100000000000001" customHeight="1" x14ac:dyDescent="0.2">
      <c r="A41" s="18" t="s">
        <v>91</v>
      </c>
      <c r="B41" s="18"/>
      <c r="C41" s="18">
        <v>11749</v>
      </c>
      <c r="D41" s="18" t="s">
        <v>34</v>
      </c>
      <c r="E41" s="29" t="s">
        <v>133</v>
      </c>
      <c r="F41" s="18" t="s">
        <v>21</v>
      </c>
      <c r="G41" s="18">
        <v>10</v>
      </c>
      <c r="H41" s="46">
        <v>46.02</v>
      </c>
      <c r="I41" s="14">
        <f t="shared" si="30"/>
        <v>7.0502640000000003</v>
      </c>
      <c r="J41" s="14">
        <f t="shared" si="31"/>
        <v>53.070264000000002</v>
      </c>
      <c r="K41" s="14">
        <f t="shared" si="32"/>
        <v>1.59210792E-2</v>
      </c>
      <c r="L41" s="14">
        <f t="shared" si="33"/>
        <v>53.054342920800003</v>
      </c>
      <c r="M41" s="14">
        <f t="shared" si="34"/>
        <v>530.54342920800002</v>
      </c>
      <c r="N41" s="14">
        <f t="shared" si="14"/>
        <v>2.949621843353416</v>
      </c>
      <c r="O41" s="86"/>
    </row>
    <row r="42" spans="1:15" s="19" customFormat="1" ht="17.100000000000001" customHeight="1" x14ac:dyDescent="0.2">
      <c r="A42" s="18" t="s">
        <v>92</v>
      </c>
      <c r="B42" s="18" t="s">
        <v>53</v>
      </c>
      <c r="C42" s="18">
        <v>20078</v>
      </c>
      <c r="D42" s="18" t="s">
        <v>34</v>
      </c>
      <c r="E42" s="29" t="s">
        <v>135</v>
      </c>
      <c r="F42" s="18" t="s">
        <v>21</v>
      </c>
      <c r="G42" s="18">
        <v>3</v>
      </c>
      <c r="H42" s="43">
        <v>23.97</v>
      </c>
      <c r="I42" s="14">
        <f t="shared" si="30"/>
        <v>3.6722039999999998</v>
      </c>
      <c r="J42" s="14">
        <f t="shared" si="31"/>
        <v>27.642204</v>
      </c>
      <c r="K42" s="14">
        <f t="shared" si="32"/>
        <v>8.292661199999999E-3</v>
      </c>
      <c r="L42" s="14">
        <f t="shared" si="33"/>
        <v>27.633911338800001</v>
      </c>
      <c r="M42" s="14">
        <f t="shared" si="34"/>
        <v>82.901734016399999</v>
      </c>
      <c r="N42" s="14">
        <f t="shared" si="14"/>
        <v>0.15625814863102999</v>
      </c>
      <c r="O42" s="86"/>
    </row>
    <row r="43" spans="1:15" s="19" customFormat="1" ht="17.100000000000001" customHeight="1" x14ac:dyDescent="0.2">
      <c r="A43" s="18" t="s">
        <v>93</v>
      </c>
      <c r="B43" s="18" t="s">
        <v>53</v>
      </c>
      <c r="C43" s="28">
        <v>11674</v>
      </c>
      <c r="D43" s="18" t="s">
        <v>34</v>
      </c>
      <c r="E43" s="29" t="s">
        <v>136</v>
      </c>
      <c r="F43" s="18" t="s">
        <v>21</v>
      </c>
      <c r="G43" s="18">
        <v>10</v>
      </c>
      <c r="H43" s="43">
        <v>31.22</v>
      </c>
      <c r="I43" s="14">
        <f t="shared" si="30"/>
        <v>4.7829040000000003</v>
      </c>
      <c r="J43" s="14">
        <f t="shared" si="31"/>
        <v>36.002904000000001</v>
      </c>
      <c r="K43" s="14">
        <f t="shared" si="32"/>
        <v>1.0800871199999999E-2</v>
      </c>
      <c r="L43" s="14">
        <f t="shared" si="33"/>
        <v>35.992103128800004</v>
      </c>
      <c r="M43" s="14">
        <f t="shared" si="34"/>
        <v>359.92103128800005</v>
      </c>
      <c r="N43" s="14">
        <f t="shared" si="14"/>
        <v>4.3415380336531779</v>
      </c>
      <c r="O43" s="86"/>
    </row>
    <row r="44" spans="1:15" s="19" customFormat="1" ht="17.100000000000001" customHeight="1" x14ac:dyDescent="0.2">
      <c r="A44" s="18" t="s">
        <v>94</v>
      </c>
      <c r="B44" s="18" t="s">
        <v>53</v>
      </c>
      <c r="C44" s="18">
        <v>36791</v>
      </c>
      <c r="D44" s="18" t="s">
        <v>34</v>
      </c>
      <c r="E44" s="39" t="s">
        <v>109</v>
      </c>
      <c r="F44" s="18" t="s">
        <v>21</v>
      </c>
      <c r="G44" s="18">
        <v>10</v>
      </c>
      <c r="H44" s="48">
        <v>117.09</v>
      </c>
      <c r="I44" s="14">
        <f t="shared" si="30"/>
        <v>17.938188</v>
      </c>
      <c r="J44" s="14">
        <f t="shared" si="31"/>
        <v>135.028188</v>
      </c>
      <c r="K44" s="14">
        <f t="shared" si="32"/>
        <v>4.0508456399999997E-2</v>
      </c>
      <c r="L44" s="14">
        <f t="shared" si="33"/>
        <v>134.9876795436</v>
      </c>
      <c r="M44" s="14">
        <f t="shared" si="34"/>
        <v>1349.8767954360001</v>
      </c>
      <c r="N44" s="14">
        <f t="shared" si="14"/>
        <v>3.7504804612427929</v>
      </c>
      <c r="O44" s="86"/>
    </row>
    <row r="45" spans="1:15" s="19" customFormat="1" ht="17.100000000000001" customHeight="1" x14ac:dyDescent="0.2">
      <c r="A45" s="18" t="s">
        <v>95</v>
      </c>
      <c r="B45" s="18" t="s">
        <v>53</v>
      </c>
      <c r="C45" s="28">
        <v>142</v>
      </c>
      <c r="D45" s="18" t="s">
        <v>34</v>
      </c>
      <c r="E45" s="29" t="s">
        <v>112</v>
      </c>
      <c r="F45" s="18" t="s">
        <v>21</v>
      </c>
      <c r="G45" s="18">
        <v>110</v>
      </c>
      <c r="H45" s="43">
        <v>36.299999999999997</v>
      </c>
      <c r="I45" s="14">
        <f t="shared" si="30"/>
        <v>5.5611600000000001</v>
      </c>
      <c r="J45" s="14">
        <f t="shared" si="31"/>
        <v>41.861159999999998</v>
      </c>
      <c r="K45" s="14">
        <f t="shared" si="32"/>
        <v>1.2558347999999999E-2</v>
      </c>
      <c r="L45" s="14">
        <f t="shared" si="33"/>
        <v>41.848601651999999</v>
      </c>
      <c r="M45" s="14">
        <f t="shared" si="34"/>
        <v>4603.3461817199995</v>
      </c>
      <c r="N45" s="14">
        <f t="shared" si="14"/>
        <v>3.4101972841404042</v>
      </c>
      <c r="O45" s="86"/>
    </row>
    <row r="46" spans="1:15" s="19" customFormat="1" ht="17.100000000000001" customHeight="1" x14ac:dyDescent="0.2">
      <c r="A46" s="18" t="s">
        <v>96</v>
      </c>
      <c r="B46" s="18" t="s">
        <v>53</v>
      </c>
      <c r="C46" s="18">
        <v>3501</v>
      </c>
      <c r="D46" s="18" t="s">
        <v>34</v>
      </c>
      <c r="E46" s="29" t="s">
        <v>137</v>
      </c>
      <c r="F46" s="18" t="s">
        <v>21</v>
      </c>
      <c r="G46" s="18">
        <v>10</v>
      </c>
      <c r="H46" s="46">
        <v>5.99</v>
      </c>
      <c r="I46" s="14">
        <f t="shared" si="30"/>
        <v>0.91766800000000004</v>
      </c>
      <c r="J46" s="14">
        <f t="shared" si="31"/>
        <v>6.9076680000000001</v>
      </c>
      <c r="K46" s="14">
        <f t="shared" si="32"/>
        <v>2.0723003999999997E-3</v>
      </c>
      <c r="L46" s="14">
        <f t="shared" si="33"/>
        <v>6.9055956996000001</v>
      </c>
      <c r="M46" s="14">
        <f t="shared" si="34"/>
        <v>69.055956996000006</v>
      </c>
      <c r="N46" s="14">
        <f t="shared" si="14"/>
        <v>1.5001252191334838E-2</v>
      </c>
      <c r="O46" s="86"/>
    </row>
    <row r="47" spans="1:15" s="19" customFormat="1" ht="17.100000000000001" customHeight="1" x14ac:dyDescent="0.2">
      <c r="A47" s="18" t="s">
        <v>97</v>
      </c>
      <c r="B47" s="18" t="s">
        <v>53</v>
      </c>
      <c r="C47" s="18">
        <v>3867</v>
      </c>
      <c r="D47" s="18" t="s">
        <v>34</v>
      </c>
      <c r="E47" s="29" t="s">
        <v>138</v>
      </c>
      <c r="F47" s="18" t="s">
        <v>21</v>
      </c>
      <c r="G47" s="18">
        <v>5</v>
      </c>
      <c r="H47" s="46">
        <v>107.07</v>
      </c>
      <c r="I47" s="14">
        <f t="shared" si="30"/>
        <v>16.403123999999998</v>
      </c>
      <c r="J47" s="14">
        <f t="shared" si="31"/>
        <v>123.47312399999998</v>
      </c>
      <c r="K47" s="14">
        <f t="shared" si="32"/>
        <v>3.7041937199999993E-2</v>
      </c>
      <c r="L47" s="14">
        <f t="shared" si="33"/>
        <v>123.43608206279998</v>
      </c>
      <c r="M47" s="14">
        <f t="shared" si="34"/>
        <v>617.18041031399991</v>
      </c>
      <c r="N47" s="14">
        <f t="shared" si="14"/>
        <v>8.9373956594323847</v>
      </c>
      <c r="O47" s="86"/>
    </row>
    <row r="48" spans="1:15" s="19" customFormat="1" ht="17.100000000000001" customHeight="1" x14ac:dyDescent="0.2">
      <c r="A48" s="18" t="s">
        <v>98</v>
      </c>
      <c r="B48" s="18" t="s">
        <v>53</v>
      </c>
      <c r="C48" s="18">
        <v>7146</v>
      </c>
      <c r="D48" s="18" t="s">
        <v>34</v>
      </c>
      <c r="E48" s="29" t="s">
        <v>139</v>
      </c>
      <c r="F48" s="18" t="s">
        <v>21</v>
      </c>
      <c r="G48" s="18">
        <v>6</v>
      </c>
      <c r="H48" s="46">
        <v>231.88</v>
      </c>
      <c r="I48" s="14">
        <f t="shared" ref="I48:I57" si="35">H48*0.1532</f>
        <v>35.524016000000003</v>
      </c>
      <c r="J48" s="14">
        <f t="shared" ref="J48:J57" si="36">H48+I48</f>
        <v>267.40401600000001</v>
      </c>
      <c r="K48" s="14">
        <f t="shared" ref="K48:K57" si="37">J48*(0.03%)</f>
        <v>8.0221204800000001E-2</v>
      </c>
      <c r="L48" s="14">
        <f t="shared" ref="L48:L57" si="38">J48-K48</f>
        <v>267.3237947952</v>
      </c>
      <c r="M48" s="14">
        <f t="shared" ref="M48:M57" si="39">L48*G48</f>
        <v>1603.9427687712</v>
      </c>
      <c r="N48" s="14">
        <f t="shared" si="14"/>
        <v>2.5988231997758477</v>
      </c>
      <c r="O48" s="86"/>
    </row>
    <row r="49" spans="1:15" s="19" customFormat="1" ht="17.100000000000001" customHeight="1" x14ac:dyDescent="0.2">
      <c r="A49" s="18" t="s">
        <v>99</v>
      </c>
      <c r="B49" s="18" t="s">
        <v>53</v>
      </c>
      <c r="C49" s="18">
        <v>1379</v>
      </c>
      <c r="D49" s="18" t="s">
        <v>34</v>
      </c>
      <c r="E49" s="30" t="s">
        <v>140</v>
      </c>
      <c r="F49" s="18" t="s">
        <v>21</v>
      </c>
      <c r="G49" s="18">
        <v>1500</v>
      </c>
      <c r="H49" s="46">
        <v>0.66</v>
      </c>
      <c r="I49" s="14">
        <f t="shared" si="35"/>
        <v>0.10111200000000001</v>
      </c>
      <c r="J49" s="14">
        <f t="shared" si="36"/>
        <v>0.76111200000000001</v>
      </c>
      <c r="K49" s="14">
        <f t="shared" si="37"/>
        <v>2.2833359999999999E-4</v>
      </c>
      <c r="L49" s="14">
        <f t="shared" si="38"/>
        <v>0.76088366640000005</v>
      </c>
      <c r="M49" s="14">
        <f t="shared" si="39"/>
        <v>1141.3254996000001</v>
      </c>
      <c r="N49" s="14">
        <f t="shared" si="14"/>
        <v>0.71157495256166992</v>
      </c>
      <c r="O49" s="86"/>
    </row>
    <row r="50" spans="1:15" s="19" customFormat="1" ht="17.100000000000001" customHeight="1" x14ac:dyDescent="0.2">
      <c r="A50" s="18" t="s">
        <v>100</v>
      </c>
      <c r="B50" s="18" t="s">
        <v>53</v>
      </c>
      <c r="C50" s="18">
        <v>43060</v>
      </c>
      <c r="D50" s="18" t="s">
        <v>34</v>
      </c>
      <c r="E50" s="29" t="s">
        <v>141</v>
      </c>
      <c r="F50" s="18" t="s">
        <v>110</v>
      </c>
      <c r="G50" s="18">
        <f>4.704*5</f>
        <v>23.52</v>
      </c>
      <c r="H50" s="46">
        <v>8.8699999999999992</v>
      </c>
      <c r="I50" s="14">
        <f t="shared" si="35"/>
        <v>1.358884</v>
      </c>
      <c r="J50" s="14">
        <f t="shared" si="36"/>
        <v>10.228883999999999</v>
      </c>
      <c r="K50" s="14">
        <f t="shared" si="37"/>
        <v>3.0686651999999996E-3</v>
      </c>
      <c r="L50" s="14">
        <f t="shared" si="38"/>
        <v>10.225815334799998</v>
      </c>
      <c r="M50" s="14">
        <f t="shared" si="39"/>
        <v>240.51117667449594</v>
      </c>
      <c r="N50" s="14">
        <f t="shared" si="14"/>
        <v>0.2107296969696969</v>
      </c>
      <c r="O50" s="86"/>
    </row>
    <row r="51" spans="1:15" s="19" customFormat="1" ht="17.100000000000001" customHeight="1" x14ac:dyDescent="0.2">
      <c r="A51" s="18" t="s">
        <v>101</v>
      </c>
      <c r="B51" s="18" t="s">
        <v>53</v>
      </c>
      <c r="C51" s="47">
        <v>43059</v>
      </c>
      <c r="D51" s="18" t="s">
        <v>34</v>
      </c>
      <c r="E51" s="29" t="s">
        <v>142</v>
      </c>
      <c r="F51" s="18" t="s">
        <v>110</v>
      </c>
      <c r="G51" s="18">
        <f>1.31*5</f>
        <v>6.5500000000000007</v>
      </c>
      <c r="H51" s="46">
        <v>10.18</v>
      </c>
      <c r="I51" s="14">
        <f t="shared" si="35"/>
        <v>1.5595760000000001</v>
      </c>
      <c r="J51" s="14">
        <f t="shared" si="36"/>
        <v>11.739576</v>
      </c>
      <c r="K51" s="14">
        <f t="shared" si="37"/>
        <v>3.5218727999999995E-3</v>
      </c>
      <c r="L51" s="14">
        <f t="shared" si="38"/>
        <v>11.736054127199999</v>
      </c>
      <c r="M51" s="14">
        <f t="shared" si="39"/>
        <v>76.871154533160009</v>
      </c>
      <c r="N51" s="14">
        <f t="shared" si="14"/>
        <v>0.31961572678676892</v>
      </c>
      <c r="O51" s="86"/>
    </row>
    <row r="52" spans="1:15" s="19" customFormat="1" ht="17.100000000000001" customHeight="1" x14ac:dyDescent="0.2">
      <c r="A52" s="18" t="s">
        <v>102</v>
      </c>
      <c r="B52" s="18" t="s">
        <v>53</v>
      </c>
      <c r="C52" s="18">
        <v>21114</v>
      </c>
      <c r="D52" s="18" t="s">
        <v>34</v>
      </c>
      <c r="E52" s="29" t="s">
        <v>117</v>
      </c>
      <c r="F52" s="18" t="s">
        <v>21</v>
      </c>
      <c r="G52" s="18">
        <v>12</v>
      </c>
      <c r="H52" s="46">
        <v>29.79</v>
      </c>
      <c r="I52" s="14">
        <f t="shared" si="35"/>
        <v>4.563828</v>
      </c>
      <c r="J52" s="14">
        <f t="shared" si="36"/>
        <v>34.353828</v>
      </c>
      <c r="K52" s="14">
        <f t="shared" si="37"/>
        <v>1.0306148399999999E-2</v>
      </c>
      <c r="L52" s="14">
        <f t="shared" si="38"/>
        <v>34.343521851600002</v>
      </c>
      <c r="M52" s="14">
        <f t="shared" si="39"/>
        <v>412.12226221920002</v>
      </c>
      <c r="N52" s="14">
        <f t="shared" si="14"/>
        <v>5.3612081764873496</v>
      </c>
      <c r="O52" s="86"/>
    </row>
    <row r="53" spans="1:15" s="19" customFormat="1" ht="17.100000000000001" customHeight="1" x14ac:dyDescent="0.2">
      <c r="A53" s="18" t="s">
        <v>103</v>
      </c>
      <c r="B53" s="18" t="s">
        <v>53</v>
      </c>
      <c r="C53" s="18">
        <v>37949</v>
      </c>
      <c r="D53" s="18" t="s">
        <v>34</v>
      </c>
      <c r="E53" s="29" t="s">
        <v>143</v>
      </c>
      <c r="F53" s="18" t="s">
        <v>21</v>
      </c>
      <c r="G53" s="18">
        <v>10</v>
      </c>
      <c r="H53" s="46">
        <v>2.42</v>
      </c>
      <c r="I53" s="14">
        <f t="shared" si="35"/>
        <v>0.37074400000000002</v>
      </c>
      <c r="J53" s="14">
        <f t="shared" si="36"/>
        <v>2.7907440000000001</v>
      </c>
      <c r="K53" s="14">
        <f t="shared" si="37"/>
        <v>8.3722319999999996E-4</v>
      </c>
      <c r="L53" s="14">
        <f t="shared" si="38"/>
        <v>2.7899067768000001</v>
      </c>
      <c r="M53" s="14">
        <f t="shared" si="39"/>
        <v>27.899067768000002</v>
      </c>
      <c r="N53" s="14">
        <f t="shared" si="14"/>
        <v>6.7696094886427208E-2</v>
      </c>
      <c r="O53" s="86"/>
    </row>
    <row r="54" spans="1:15" s="19" customFormat="1" ht="17.100000000000001" customHeight="1" x14ac:dyDescent="0.2">
      <c r="A54" s="18" t="s">
        <v>104</v>
      </c>
      <c r="B54" s="18" t="s">
        <v>53</v>
      </c>
      <c r="C54" s="18">
        <v>3526</v>
      </c>
      <c r="D54" s="18" t="s">
        <v>34</v>
      </c>
      <c r="E54" s="29" t="s">
        <v>144</v>
      </c>
      <c r="F54" s="18" t="s">
        <v>21</v>
      </c>
      <c r="G54" s="18">
        <v>10</v>
      </c>
      <c r="H54" s="46">
        <v>3.25</v>
      </c>
      <c r="I54" s="14">
        <f t="shared" si="35"/>
        <v>0.49790000000000001</v>
      </c>
      <c r="J54" s="14">
        <f t="shared" si="36"/>
        <v>3.7479</v>
      </c>
      <c r="K54" s="14">
        <f t="shared" si="37"/>
        <v>1.12437E-3</v>
      </c>
      <c r="L54" s="14">
        <f t="shared" si="38"/>
        <v>3.7467756300000001</v>
      </c>
      <c r="M54" s="14">
        <f t="shared" si="39"/>
        <v>37.467756300000005</v>
      </c>
      <c r="N54" s="14">
        <f t="shared" si="14"/>
        <v>1.3429752066115703</v>
      </c>
      <c r="O54" s="86"/>
    </row>
    <row r="55" spans="1:15" s="19" customFormat="1" ht="17.100000000000001" customHeight="1" x14ac:dyDescent="0.2">
      <c r="A55" s="18" t="s">
        <v>106</v>
      </c>
      <c r="B55" s="18" t="s">
        <v>53</v>
      </c>
      <c r="C55" s="18">
        <v>3897</v>
      </c>
      <c r="D55" s="18" t="s">
        <v>34</v>
      </c>
      <c r="E55" s="29" t="s">
        <v>145</v>
      </c>
      <c r="F55" s="18" t="s">
        <v>21</v>
      </c>
      <c r="G55" s="18">
        <v>10</v>
      </c>
      <c r="H55" s="46">
        <v>1.72</v>
      </c>
      <c r="I55" s="14">
        <f t="shared" si="35"/>
        <v>0.26350400000000002</v>
      </c>
      <c r="J55" s="14">
        <f t="shared" si="36"/>
        <v>1.9835039999999999</v>
      </c>
      <c r="K55" s="14">
        <f t="shared" si="37"/>
        <v>5.9505119999999994E-4</v>
      </c>
      <c r="L55" s="14">
        <f t="shared" si="38"/>
        <v>1.9829089488</v>
      </c>
      <c r="M55" s="14">
        <f t="shared" si="39"/>
        <v>19.829089488000001</v>
      </c>
      <c r="N55" s="14">
        <f t="shared" si="14"/>
        <v>0.52923076923076917</v>
      </c>
      <c r="O55" s="86"/>
    </row>
    <row r="56" spans="1:15" s="19" customFormat="1" ht="17.100000000000001" customHeight="1" x14ac:dyDescent="0.2">
      <c r="A56" s="18" t="s">
        <v>107</v>
      </c>
      <c r="B56" s="18" t="s">
        <v>53</v>
      </c>
      <c r="C56" s="18">
        <v>37948</v>
      </c>
      <c r="D56" s="18" t="s">
        <v>34</v>
      </c>
      <c r="E56" s="29" t="s">
        <v>146</v>
      </c>
      <c r="F56" s="18" t="s">
        <v>21</v>
      </c>
      <c r="G56" s="18">
        <v>10</v>
      </c>
      <c r="H56" s="46">
        <v>4.17</v>
      </c>
      <c r="I56" s="14">
        <f t="shared" si="35"/>
        <v>0.63884399999999997</v>
      </c>
      <c r="J56" s="14">
        <f t="shared" si="36"/>
        <v>4.8088439999999997</v>
      </c>
      <c r="K56" s="14">
        <f t="shared" si="37"/>
        <v>1.4426531999999998E-3</v>
      </c>
      <c r="L56" s="14">
        <f t="shared" si="38"/>
        <v>4.8074013467999999</v>
      </c>
      <c r="M56" s="14">
        <f t="shared" si="39"/>
        <v>48.074013467999997</v>
      </c>
      <c r="N56" s="14">
        <f t="shared" si="14"/>
        <v>2.4244186046511627</v>
      </c>
      <c r="O56" s="86"/>
    </row>
    <row r="57" spans="1:15" s="19" customFormat="1" ht="17.100000000000001" customHeight="1" x14ac:dyDescent="0.2">
      <c r="A57" s="18" t="s">
        <v>108</v>
      </c>
      <c r="B57" s="18" t="s">
        <v>53</v>
      </c>
      <c r="C57" s="18">
        <v>7097</v>
      </c>
      <c r="D57" s="18" t="s">
        <v>34</v>
      </c>
      <c r="E57" s="40" t="s">
        <v>147</v>
      </c>
      <c r="F57" s="18" t="s">
        <v>21</v>
      </c>
      <c r="G57" s="18">
        <v>10</v>
      </c>
      <c r="H57" s="46">
        <v>9.15</v>
      </c>
      <c r="I57" s="14">
        <f t="shared" si="35"/>
        <v>1.40178</v>
      </c>
      <c r="J57" s="14">
        <f t="shared" si="36"/>
        <v>10.551780000000001</v>
      </c>
      <c r="K57" s="14">
        <f t="shared" si="37"/>
        <v>3.1655339999999998E-3</v>
      </c>
      <c r="L57" s="14">
        <f t="shared" si="38"/>
        <v>10.548614466</v>
      </c>
      <c r="M57" s="14">
        <f t="shared" si="39"/>
        <v>105.48614466000001</v>
      </c>
      <c r="N57" s="14">
        <f t="shared" si="14"/>
        <v>2.1942446043165469</v>
      </c>
      <c r="O57" s="86"/>
    </row>
    <row r="58" spans="1:15" s="19" customFormat="1" ht="17.100000000000001" customHeight="1" x14ac:dyDescent="0.2">
      <c r="A58" s="18"/>
      <c r="B58" s="18"/>
      <c r="C58" s="18"/>
      <c r="D58" s="18"/>
      <c r="E58" s="29"/>
      <c r="F58" s="18"/>
      <c r="G58" s="18"/>
      <c r="H58" s="31"/>
      <c r="I58" s="14"/>
      <c r="J58" s="14"/>
      <c r="K58" s="14"/>
      <c r="L58" s="14"/>
      <c r="M58" s="14"/>
      <c r="N58" s="14"/>
      <c r="O58" s="86"/>
    </row>
    <row r="59" spans="1:15" s="19" customFormat="1" ht="17.100000000000001" customHeight="1" x14ac:dyDescent="0.2">
      <c r="A59" s="18"/>
      <c r="B59" s="18"/>
      <c r="C59" s="18"/>
      <c r="D59" s="18"/>
      <c r="E59" s="29"/>
      <c r="F59" s="18"/>
      <c r="G59" s="18"/>
      <c r="H59" s="31"/>
      <c r="I59" s="14"/>
      <c r="J59" s="14"/>
      <c r="K59" s="14"/>
      <c r="L59" s="14"/>
      <c r="M59" s="14"/>
      <c r="N59" s="14"/>
      <c r="O59" s="86"/>
    </row>
    <row r="60" spans="1:15" s="19" customFormat="1" ht="17.100000000000001" customHeight="1" x14ac:dyDescent="0.2">
      <c r="A60" s="18"/>
      <c r="B60" s="18"/>
      <c r="C60" s="18"/>
      <c r="D60" s="18"/>
      <c r="E60" s="29"/>
      <c r="F60" s="18"/>
      <c r="G60" s="18"/>
      <c r="H60" s="31"/>
      <c r="I60" s="14"/>
      <c r="J60" s="14"/>
      <c r="K60" s="14"/>
      <c r="L60" s="14"/>
      <c r="M60" s="14"/>
      <c r="N60" s="14"/>
      <c r="O60" s="86"/>
    </row>
    <row r="61" spans="1:15" s="19" customFormat="1" ht="17.100000000000001" customHeight="1" x14ac:dyDescent="0.2">
      <c r="A61" s="18"/>
      <c r="B61" s="18"/>
      <c r="C61" s="18"/>
      <c r="D61" s="18"/>
      <c r="E61" s="29"/>
      <c r="F61" s="18"/>
      <c r="G61" s="18"/>
      <c r="H61" s="31"/>
      <c r="I61" s="14"/>
      <c r="J61" s="14"/>
      <c r="K61" s="14"/>
      <c r="L61" s="14"/>
      <c r="M61" s="14"/>
      <c r="N61" s="14"/>
      <c r="O61" s="86"/>
    </row>
    <row r="62" spans="1:15" s="19" customFormat="1" ht="17.100000000000001" customHeight="1" x14ac:dyDescent="0.2">
      <c r="A62" s="18"/>
      <c r="B62" s="18"/>
      <c r="C62" s="18"/>
      <c r="D62" s="18"/>
      <c r="E62" s="29"/>
      <c r="F62" s="18"/>
      <c r="G62" s="18"/>
      <c r="H62" s="31"/>
      <c r="I62" s="14"/>
      <c r="J62" s="14"/>
      <c r="K62" s="14"/>
      <c r="L62" s="14"/>
      <c r="M62" s="14"/>
      <c r="N62" s="14"/>
      <c r="O62" s="86"/>
    </row>
    <row r="63" spans="1:15" s="19" customFormat="1" ht="17.100000000000001" customHeight="1" x14ac:dyDescent="0.2">
      <c r="A63" s="18"/>
      <c r="B63" s="18"/>
      <c r="C63" s="18"/>
      <c r="D63" s="18"/>
      <c r="E63" s="29"/>
      <c r="F63" s="18"/>
      <c r="G63" s="18"/>
      <c r="H63" s="31"/>
      <c r="I63" s="14"/>
      <c r="J63" s="14"/>
      <c r="K63" s="14"/>
      <c r="L63" s="14"/>
      <c r="M63" s="14"/>
      <c r="N63" s="14"/>
      <c r="O63" s="86"/>
    </row>
    <row r="64" spans="1:15" ht="17.100000000000001" customHeight="1" x14ac:dyDescent="0.25">
      <c r="A64" s="80" t="s">
        <v>16</v>
      </c>
      <c r="B64" s="82" t="s">
        <v>17</v>
      </c>
      <c r="C64" s="82" t="s">
        <v>18</v>
      </c>
      <c r="D64" s="82" t="s">
        <v>19</v>
      </c>
      <c r="E64" s="82" t="s">
        <v>20</v>
      </c>
      <c r="F64" s="82" t="s">
        <v>21</v>
      </c>
      <c r="G64" s="82" t="s">
        <v>22</v>
      </c>
      <c r="H64" s="84" t="s">
        <v>23</v>
      </c>
      <c r="I64" s="84"/>
      <c r="J64" s="84"/>
      <c r="K64" s="84"/>
      <c r="L64" s="85"/>
      <c r="M64" s="82" t="s">
        <v>24</v>
      </c>
      <c r="N64" s="82" t="s">
        <v>25</v>
      </c>
      <c r="O64" s="57"/>
    </row>
    <row r="65" spans="1:15" ht="17.100000000000001" customHeight="1" x14ac:dyDescent="0.25">
      <c r="A65" s="81"/>
      <c r="B65" s="83"/>
      <c r="C65" s="83"/>
      <c r="D65" s="83"/>
      <c r="E65" s="83"/>
      <c r="F65" s="83"/>
      <c r="G65" s="83"/>
      <c r="H65" s="3" t="s">
        <v>27</v>
      </c>
      <c r="I65" s="4" t="s">
        <v>28</v>
      </c>
      <c r="J65" s="3" t="s">
        <v>29</v>
      </c>
      <c r="K65" s="4" t="s">
        <v>59</v>
      </c>
      <c r="L65" s="3" t="s">
        <v>30</v>
      </c>
      <c r="M65" s="83"/>
      <c r="N65" s="83"/>
      <c r="O65" s="57"/>
    </row>
    <row r="66" spans="1:15" ht="17.100000000000001" customHeight="1" x14ac:dyDescent="0.25">
      <c r="A66" s="5">
        <v>3</v>
      </c>
      <c r="B66" s="89" t="s">
        <v>38</v>
      </c>
      <c r="C66" s="90"/>
      <c r="D66" s="90"/>
      <c r="E66" s="90"/>
      <c r="F66" s="91"/>
      <c r="G66" s="9"/>
      <c r="H66" s="9"/>
      <c r="I66" s="9"/>
      <c r="J66" s="9"/>
      <c r="K66" s="9"/>
      <c r="L66" s="9"/>
      <c r="M66" s="26">
        <f>SUM(M67:M80)</f>
        <v>26258.773329442367</v>
      </c>
      <c r="N66" s="9"/>
      <c r="O66" s="57"/>
    </row>
    <row r="67" spans="1:15" ht="26.25" customHeight="1" x14ac:dyDescent="0.25">
      <c r="A67" s="17" t="s">
        <v>32</v>
      </c>
      <c r="B67" s="17" t="s">
        <v>33</v>
      </c>
      <c r="C67" s="11" t="s">
        <v>66</v>
      </c>
      <c r="D67" s="11" t="s">
        <v>34</v>
      </c>
      <c r="E67" s="25" t="s">
        <v>67</v>
      </c>
      <c r="F67" s="13" t="s">
        <v>35</v>
      </c>
      <c r="G67" s="17">
        <v>180</v>
      </c>
      <c r="H67" s="43">
        <v>28.4</v>
      </c>
      <c r="I67" s="14">
        <f t="shared" ref="I67" si="40">H67*0.2232</f>
        <v>6.3388799999999996</v>
      </c>
      <c r="J67" s="14">
        <f t="shared" ref="J67" si="41">H67+I67</f>
        <v>34.738879999999995</v>
      </c>
      <c r="K67" s="14">
        <f t="shared" ref="K67" si="42">J67*(0.03%)</f>
        <v>1.0421663999999997E-2</v>
      </c>
      <c r="L67" s="14">
        <f t="shared" ref="L67" si="43">J67-K67</f>
        <v>34.728458335999996</v>
      </c>
      <c r="M67" s="14">
        <f t="shared" ref="M67" si="44">L67*G67</f>
        <v>6251.122500479999</v>
      </c>
      <c r="N67" s="14">
        <f t="shared" ref="N67" si="45">M67/M$16</f>
        <v>8.8594958822061365E-2</v>
      </c>
      <c r="O67" s="86"/>
    </row>
    <row r="68" spans="1:15" ht="26.25" customHeight="1" x14ac:dyDescent="0.25">
      <c r="A68" s="17" t="s">
        <v>74</v>
      </c>
      <c r="B68" s="17" t="s">
        <v>33</v>
      </c>
      <c r="C68" s="11" t="s">
        <v>68</v>
      </c>
      <c r="D68" s="11" t="s">
        <v>34</v>
      </c>
      <c r="E68" s="25" t="s">
        <v>69</v>
      </c>
      <c r="F68" s="13" t="s">
        <v>35</v>
      </c>
      <c r="G68" s="17">
        <v>180</v>
      </c>
      <c r="H68" s="43">
        <v>24.45</v>
      </c>
      <c r="I68" s="14">
        <f t="shared" ref="I68" si="46">H68*0.2232</f>
        <v>5.4572399999999996</v>
      </c>
      <c r="J68" s="14">
        <f t="shared" ref="J68" si="47">H68+I68</f>
        <v>29.907239999999998</v>
      </c>
      <c r="K68" s="14">
        <f t="shared" ref="K68" si="48">J68*(0.03%)</f>
        <v>8.9721719999999987E-3</v>
      </c>
      <c r="L68" s="14">
        <f t="shared" ref="L68" si="49">J68-K68</f>
        <v>29.898267827999998</v>
      </c>
      <c r="M68" s="14">
        <f t="shared" ref="M68" si="50">L68*G68</f>
        <v>5381.6882090399995</v>
      </c>
      <c r="N68" s="14">
        <f t="shared" ref="N68" si="51">M68/M$16</f>
        <v>7.6272772647866208E-2</v>
      </c>
      <c r="O68" s="86"/>
    </row>
    <row r="69" spans="1:15" ht="26.25" customHeight="1" x14ac:dyDescent="0.25">
      <c r="A69" s="17" t="s">
        <v>74</v>
      </c>
      <c r="B69" s="17" t="s">
        <v>33</v>
      </c>
      <c r="C69" s="11">
        <v>100308</v>
      </c>
      <c r="D69" s="11" t="s">
        <v>34</v>
      </c>
      <c r="E69" s="25" t="s">
        <v>152</v>
      </c>
      <c r="F69" s="13" t="s">
        <v>35</v>
      </c>
      <c r="G69" s="17">
        <v>10</v>
      </c>
      <c r="H69" s="43">
        <v>28.8</v>
      </c>
      <c r="I69" s="14">
        <f t="shared" ref="I69" si="52">H69*0.2232</f>
        <v>6.4281600000000001</v>
      </c>
      <c r="J69" s="14">
        <f t="shared" ref="J69" si="53">H69+I69</f>
        <v>35.228160000000003</v>
      </c>
      <c r="K69" s="14">
        <f t="shared" ref="K69" si="54">J69*(0.03%)</f>
        <v>1.0568447999999999E-2</v>
      </c>
      <c r="L69" s="14">
        <f t="shared" ref="L69" si="55">J69-K69</f>
        <v>35.217591552000002</v>
      </c>
      <c r="M69" s="14">
        <f t="shared" ref="M69" si="56">L69*G69</f>
        <v>352.17591551999999</v>
      </c>
      <c r="N69" s="14">
        <f t="shared" ref="N69" si="57">M69/M$16</f>
        <v>4.9912652857499367E-3</v>
      </c>
      <c r="O69" s="86"/>
    </row>
    <row r="70" spans="1:15" s="24" customFormat="1" ht="23.25" customHeight="1" x14ac:dyDescent="0.2">
      <c r="A70" s="98" t="s">
        <v>151</v>
      </c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100"/>
      <c r="O70" s="86"/>
    </row>
    <row r="71" spans="1:15" s="24" customFormat="1" ht="26.25" customHeight="1" x14ac:dyDescent="0.2">
      <c r="A71" s="11" t="s">
        <v>80</v>
      </c>
      <c r="B71" s="17" t="s">
        <v>33</v>
      </c>
      <c r="C71" s="34" t="s">
        <v>118</v>
      </c>
      <c r="D71" s="41" t="s">
        <v>34</v>
      </c>
      <c r="E71" s="41" t="s">
        <v>119</v>
      </c>
      <c r="F71" s="34" t="s">
        <v>105</v>
      </c>
      <c r="G71" s="34">
        <v>195.92</v>
      </c>
      <c r="H71" s="49">
        <v>16.190000000000001</v>
      </c>
      <c r="I71" s="14">
        <f t="shared" ref="I71" si="58">H71*0.2232</f>
        <v>3.6136080000000006</v>
      </c>
      <c r="J71" s="14">
        <f t="shared" ref="J71" si="59">H71+I71</f>
        <v>19.803608000000001</v>
      </c>
      <c r="K71" s="14">
        <f t="shared" ref="K71" si="60">J71*(0.03%)</f>
        <v>5.9410823999999996E-3</v>
      </c>
      <c r="L71" s="14">
        <f t="shared" ref="L71" si="61">J71-K71</f>
        <v>19.797666917600001</v>
      </c>
      <c r="M71" s="14">
        <f t="shared" ref="M71" si="62">L71*G71</f>
        <v>3878.7589024961917</v>
      </c>
      <c r="N71" s="14">
        <f t="shared" ref="N71" si="63">M71/M$16</f>
        <v>5.4972284613038276E-2</v>
      </c>
      <c r="O71" s="86"/>
    </row>
    <row r="72" spans="1:15" s="24" customFormat="1" ht="26.25" customHeight="1" x14ac:dyDescent="0.2">
      <c r="A72" s="11" t="s">
        <v>81</v>
      </c>
      <c r="B72" s="17" t="s">
        <v>33</v>
      </c>
      <c r="C72" s="34" t="s">
        <v>118</v>
      </c>
      <c r="D72" s="41" t="s">
        <v>34</v>
      </c>
      <c r="E72" s="41" t="s">
        <v>119</v>
      </c>
      <c r="F72" s="34" t="s">
        <v>105</v>
      </c>
      <c r="G72" s="34">
        <v>195.92</v>
      </c>
      <c r="H72" s="49">
        <v>16.190000000000001</v>
      </c>
      <c r="I72" s="14">
        <f t="shared" ref="I72:I75" si="64">H72*0.2232</f>
        <v>3.6136080000000006</v>
      </c>
      <c r="J72" s="14">
        <f t="shared" ref="J72:J75" si="65">H72+I72</f>
        <v>19.803608000000001</v>
      </c>
      <c r="K72" s="14">
        <f t="shared" ref="K72:K75" si="66">J72*(0.03%)</f>
        <v>5.9410823999999996E-3</v>
      </c>
      <c r="L72" s="14">
        <f t="shared" ref="L72:L75" si="67">J72-K72</f>
        <v>19.797666917600001</v>
      </c>
      <c r="M72" s="14">
        <f t="shared" ref="M72:M75" si="68">L72*G72</f>
        <v>3878.7589024961917</v>
      </c>
      <c r="N72" s="14">
        <f t="shared" ref="N72:N75" si="69">M72/M$16</f>
        <v>5.4972284613038276E-2</v>
      </c>
      <c r="O72" s="86"/>
    </row>
    <row r="73" spans="1:15" s="24" customFormat="1" ht="26.25" customHeight="1" x14ac:dyDescent="0.2">
      <c r="A73" s="11" t="s">
        <v>82</v>
      </c>
      <c r="B73" s="17" t="s">
        <v>33</v>
      </c>
      <c r="C73" s="34">
        <v>102492</v>
      </c>
      <c r="D73" s="41" t="s">
        <v>34</v>
      </c>
      <c r="E73" s="41" t="s">
        <v>120</v>
      </c>
      <c r="F73" s="34" t="s">
        <v>105</v>
      </c>
      <c r="G73" s="34">
        <v>28.42</v>
      </c>
      <c r="H73" s="49">
        <v>24.54</v>
      </c>
      <c r="I73" s="14">
        <f t="shared" si="64"/>
        <v>5.477328</v>
      </c>
      <c r="J73" s="14">
        <f t="shared" si="65"/>
        <v>30.017327999999999</v>
      </c>
      <c r="K73" s="14">
        <f t="shared" si="66"/>
        <v>9.0051983999999991E-3</v>
      </c>
      <c r="L73" s="14">
        <f t="shared" si="67"/>
        <v>30.008322801599999</v>
      </c>
      <c r="M73" s="14">
        <f t="shared" si="68"/>
        <v>852.83653402147206</v>
      </c>
      <c r="N73" s="14">
        <f t="shared" si="69"/>
        <v>1.20869520006655E-2</v>
      </c>
      <c r="O73" s="86"/>
    </row>
    <row r="74" spans="1:15" s="24" customFormat="1" ht="26.25" customHeight="1" x14ac:dyDescent="0.2">
      <c r="A74" s="11" t="s">
        <v>83</v>
      </c>
      <c r="B74" s="17" t="s">
        <v>33</v>
      </c>
      <c r="C74" s="34" t="s">
        <v>121</v>
      </c>
      <c r="D74" s="41" t="s">
        <v>34</v>
      </c>
      <c r="E74" s="41" t="s">
        <v>122</v>
      </c>
      <c r="F74" s="34" t="s">
        <v>105</v>
      </c>
      <c r="G74" s="34">
        <v>195.92</v>
      </c>
      <c r="H74" s="49">
        <v>3.18</v>
      </c>
      <c r="I74" s="14">
        <f t="shared" si="64"/>
        <v>0.70977600000000007</v>
      </c>
      <c r="J74" s="14">
        <f t="shared" si="65"/>
        <v>3.8897760000000003</v>
      </c>
      <c r="K74" s="14">
        <f t="shared" si="66"/>
        <v>1.1669327999999999E-3</v>
      </c>
      <c r="L74" s="14">
        <f t="shared" si="67"/>
        <v>3.8886090672000004</v>
      </c>
      <c r="M74" s="14">
        <f t="shared" si="68"/>
        <v>761.85628844582402</v>
      </c>
      <c r="N74" s="14">
        <f t="shared" si="69"/>
        <v>1.0797521004908075E-2</v>
      </c>
      <c r="O74" s="86"/>
    </row>
    <row r="75" spans="1:15" s="24" customFormat="1" ht="23.25" customHeight="1" x14ac:dyDescent="0.2">
      <c r="A75" s="11" t="s">
        <v>84</v>
      </c>
      <c r="B75" s="17" t="s">
        <v>33</v>
      </c>
      <c r="C75" s="34" t="s">
        <v>123</v>
      </c>
      <c r="D75" s="41" t="s">
        <v>34</v>
      </c>
      <c r="E75" s="41" t="s">
        <v>124</v>
      </c>
      <c r="F75" s="34" t="s">
        <v>105</v>
      </c>
      <c r="G75" s="34">
        <v>224.34</v>
      </c>
      <c r="H75" s="49">
        <v>2.2200000000000002</v>
      </c>
      <c r="I75" s="14">
        <f t="shared" si="64"/>
        <v>0.49550400000000006</v>
      </c>
      <c r="J75" s="14">
        <f t="shared" si="65"/>
        <v>2.7155040000000001</v>
      </c>
      <c r="K75" s="14">
        <f t="shared" si="66"/>
        <v>8.1465119999999996E-4</v>
      </c>
      <c r="L75" s="14">
        <f t="shared" si="67"/>
        <v>2.7146893488000003</v>
      </c>
      <c r="M75" s="14">
        <f t="shared" si="68"/>
        <v>609.01340850979204</v>
      </c>
      <c r="N75" s="14">
        <f t="shared" si="69"/>
        <v>8.631332667831294E-3</v>
      </c>
      <c r="O75" s="86"/>
    </row>
    <row r="76" spans="1:15" s="24" customFormat="1" ht="23.25" customHeight="1" x14ac:dyDescent="0.2">
      <c r="A76" s="11"/>
      <c r="B76" s="17" t="s">
        <v>33</v>
      </c>
      <c r="C76" s="34">
        <v>100746</v>
      </c>
      <c r="D76" s="41" t="s">
        <v>34</v>
      </c>
      <c r="E76" s="41" t="s">
        <v>150</v>
      </c>
      <c r="F76" s="34" t="s">
        <v>105</v>
      </c>
      <c r="G76" s="34">
        <v>19.760000000000002</v>
      </c>
      <c r="H76" s="49">
        <v>27.1</v>
      </c>
      <c r="I76" s="14">
        <f t="shared" ref="I76:I77" si="70">H76*0.2232</f>
        <v>6.0487200000000003</v>
      </c>
      <c r="J76" s="14">
        <f t="shared" ref="J76:J77" si="71">H76+I76</f>
        <v>33.148720000000004</v>
      </c>
      <c r="K76" s="14">
        <f t="shared" ref="K76:K77" si="72">J76*(0.03%)</f>
        <v>9.9446159999999999E-3</v>
      </c>
      <c r="L76" s="14">
        <f t="shared" ref="L76:L77" si="73">J76-K76</f>
        <v>33.138775384000006</v>
      </c>
      <c r="M76" s="14">
        <f t="shared" ref="M76:M77" si="74">L76*G76</f>
        <v>654.82220158784014</v>
      </c>
      <c r="N76" s="14">
        <f t="shared" ref="N76:N77" si="75">M76/M$16</f>
        <v>9.2805645675623216E-3</v>
      </c>
      <c r="O76" s="86"/>
    </row>
    <row r="77" spans="1:15" s="24" customFormat="1" ht="23.25" customHeight="1" x14ac:dyDescent="0.2">
      <c r="A77" s="11"/>
      <c r="B77" s="17" t="s">
        <v>33</v>
      </c>
      <c r="C77" s="34" t="s">
        <v>118</v>
      </c>
      <c r="D77" s="41" t="s">
        <v>34</v>
      </c>
      <c r="E77" s="41" t="s">
        <v>119</v>
      </c>
      <c r="F77" s="34" t="s">
        <v>105</v>
      </c>
      <c r="G77" s="34">
        <v>32.56</v>
      </c>
      <c r="H77" s="49">
        <v>16.190000000000001</v>
      </c>
      <c r="I77" s="14">
        <f t="shared" si="70"/>
        <v>3.6136080000000006</v>
      </c>
      <c r="J77" s="14">
        <f t="shared" si="71"/>
        <v>19.803608000000001</v>
      </c>
      <c r="K77" s="14">
        <f t="shared" si="72"/>
        <v>5.9410823999999996E-3</v>
      </c>
      <c r="L77" s="14">
        <f t="shared" si="73"/>
        <v>19.797666917600001</v>
      </c>
      <c r="M77" s="14">
        <f t="shared" si="74"/>
        <v>644.61203483705606</v>
      </c>
      <c r="N77" s="14">
        <f t="shared" si="75"/>
        <v>9.1358594681529535E-3</v>
      </c>
      <c r="O77" s="86"/>
    </row>
    <row r="78" spans="1:15" s="24" customFormat="1" ht="23.25" customHeight="1" x14ac:dyDescent="0.2">
      <c r="A78" s="101" t="s">
        <v>148</v>
      </c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3"/>
      <c r="O78" s="86"/>
    </row>
    <row r="79" spans="1:15" s="24" customFormat="1" ht="23.25" customHeight="1" x14ac:dyDescent="0.2">
      <c r="A79" s="11" t="s">
        <v>128</v>
      </c>
      <c r="B79" s="17" t="s">
        <v>33</v>
      </c>
      <c r="C79" s="35" t="s">
        <v>125</v>
      </c>
      <c r="D79" s="35" t="s">
        <v>116</v>
      </c>
      <c r="E79" s="42" t="s">
        <v>126</v>
      </c>
      <c r="F79" s="35" t="s">
        <v>105</v>
      </c>
      <c r="G79" s="35">
        <v>11.25</v>
      </c>
      <c r="H79" s="50">
        <v>123.24</v>
      </c>
      <c r="I79" s="20">
        <f t="shared" ref="I79" si="76">H79*0.2232</f>
        <v>27.507168</v>
      </c>
      <c r="J79" s="20">
        <f t="shared" ref="J79" si="77">H79+I79</f>
        <v>150.74716799999999</v>
      </c>
      <c r="K79" s="20">
        <f t="shared" ref="K79" si="78">J79*(0.03%)</f>
        <v>4.5224150399999989E-2</v>
      </c>
      <c r="L79" s="20">
        <f t="shared" ref="L79" si="79">J79-K79</f>
        <v>150.70194384959999</v>
      </c>
      <c r="M79" s="20">
        <f t="shared" ref="M79" si="80">L79*G79</f>
        <v>1695.3968683079997</v>
      </c>
      <c r="N79" s="20">
        <f>M79/M66</f>
        <v>6.4564968326492778E-2</v>
      </c>
      <c r="O79" s="86"/>
    </row>
    <row r="80" spans="1:15" s="24" customFormat="1" ht="23.25" customHeight="1" x14ac:dyDescent="0.2">
      <c r="A80" s="11" t="s">
        <v>127</v>
      </c>
      <c r="B80" s="17" t="s">
        <v>33</v>
      </c>
      <c r="C80" s="34">
        <v>102162</v>
      </c>
      <c r="D80" s="34" t="s">
        <v>34</v>
      </c>
      <c r="E80" s="41" t="s">
        <v>149</v>
      </c>
      <c r="F80" s="34" t="s">
        <v>105</v>
      </c>
      <c r="G80" s="35">
        <v>3</v>
      </c>
      <c r="H80" s="50">
        <v>353.75</v>
      </c>
      <c r="I80" s="20">
        <f t="shared" ref="I80" si="81">H80*0.2232</f>
        <v>78.957000000000008</v>
      </c>
      <c r="J80" s="20">
        <f t="shared" ref="J80" si="82">H80+I80</f>
        <v>432.70699999999999</v>
      </c>
      <c r="K80" s="20">
        <f t="shared" ref="K80" si="83">J80*(0.03%)</f>
        <v>0.12981209999999999</v>
      </c>
      <c r="L80" s="20">
        <f t="shared" ref="L80" si="84">J80-K80</f>
        <v>432.57718790000001</v>
      </c>
      <c r="M80" s="20">
        <f t="shared" ref="M80" si="85">L80*G80</f>
        <v>1297.7315637000002</v>
      </c>
      <c r="N80" s="20">
        <f>M80/J82</f>
        <v>1.0992950160548695E-2</v>
      </c>
      <c r="O80" s="86"/>
    </row>
    <row r="81" spans="1:15" ht="17.100000000000001" customHeight="1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86"/>
    </row>
    <row r="82" spans="1:15" ht="17.100000000000001" customHeight="1" x14ac:dyDescent="0.25">
      <c r="A82" s="92"/>
      <c r="B82" s="93"/>
      <c r="C82" s="93"/>
      <c r="D82" s="93"/>
      <c r="E82" s="93"/>
      <c r="F82" s="93"/>
      <c r="G82" s="93"/>
      <c r="H82" s="21" t="s">
        <v>39</v>
      </c>
      <c r="I82" s="22"/>
      <c r="J82" s="94">
        <f>M16+M31+M66</f>
        <v>118051.25509958885</v>
      </c>
      <c r="K82" s="95"/>
      <c r="L82" s="95"/>
      <c r="M82" s="95"/>
      <c r="N82" s="96"/>
      <c r="O82" s="57"/>
    </row>
    <row r="83" spans="1:15" ht="17.100000000000001" customHeight="1" x14ac:dyDescent="0.25">
      <c r="A83" s="97" t="s">
        <v>60</v>
      </c>
      <c r="B83" s="62"/>
      <c r="C83" s="62"/>
      <c r="D83" s="62"/>
      <c r="E83" s="62"/>
      <c r="F83" s="62"/>
      <c r="G83" s="62"/>
      <c r="H83" s="59"/>
      <c r="I83" s="59"/>
      <c r="J83" s="59"/>
      <c r="K83" s="59"/>
      <c r="L83" s="59"/>
      <c r="M83" s="59"/>
      <c r="N83" s="60"/>
      <c r="O83" s="57"/>
    </row>
    <row r="84" spans="1:15" ht="17.100000000000001" customHeight="1" x14ac:dyDescent="0.25">
      <c r="A84" s="61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3"/>
      <c r="O84" s="57"/>
    </row>
    <row r="85" spans="1:15" ht="17.100000000000001" customHeight="1" x14ac:dyDescent="0.25">
      <c r="A85" s="61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3"/>
      <c r="O85" s="57"/>
    </row>
    <row r="86" spans="1:15" ht="17.100000000000001" customHeight="1" x14ac:dyDescent="0.25">
      <c r="A86" s="61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3"/>
      <c r="O86" s="57"/>
    </row>
    <row r="87" spans="1:15" ht="17.100000000000001" customHeight="1" x14ac:dyDescent="0.25">
      <c r="A87" s="61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3"/>
      <c r="O87" s="57"/>
    </row>
    <row r="88" spans="1:15" ht="17.100000000000001" customHeight="1" x14ac:dyDescent="0.25">
      <c r="A88" s="61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3"/>
      <c r="O88" s="57"/>
    </row>
    <row r="89" spans="1:15" ht="17.100000000000001" customHeight="1" x14ac:dyDescent="0.25">
      <c r="A89" s="64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6"/>
      <c r="O89" s="57"/>
    </row>
    <row r="90" spans="1:15" ht="17.100000000000001" customHeight="1" x14ac:dyDescent="0.25">
      <c r="A90" s="92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104"/>
    </row>
    <row r="91" spans="1:15" ht="17.100000000000001" customHeight="1" x14ac:dyDescent="0.25">
      <c r="A91" s="105" t="s">
        <v>40</v>
      </c>
      <c r="B91" s="106"/>
      <c r="C91" s="106"/>
      <c r="D91" s="106"/>
      <c r="E91" s="106"/>
      <c r="F91" s="106"/>
      <c r="G91" s="107" t="s">
        <v>41</v>
      </c>
      <c r="H91" s="107"/>
      <c r="I91" s="107"/>
      <c r="J91" s="107"/>
      <c r="K91" s="108"/>
      <c r="L91" s="109"/>
      <c r="M91" s="109"/>
      <c r="N91" s="110"/>
      <c r="O91" s="57" t="s">
        <v>42</v>
      </c>
    </row>
    <row r="92" spans="1:15" ht="17.100000000000001" customHeight="1" x14ac:dyDescent="0.25">
      <c r="A92" s="115" t="s">
        <v>43</v>
      </c>
      <c r="B92" s="116"/>
      <c r="C92" s="116"/>
      <c r="D92" s="116"/>
      <c r="E92" s="116"/>
      <c r="F92" s="117"/>
      <c r="G92" s="121" t="s">
        <v>44</v>
      </c>
      <c r="H92" s="116"/>
      <c r="I92" s="116"/>
      <c r="J92" s="117"/>
      <c r="K92" s="111"/>
      <c r="L92" s="112"/>
      <c r="M92" s="112"/>
      <c r="N92" s="113"/>
      <c r="O92" s="57"/>
    </row>
    <row r="93" spans="1:15" ht="17.100000000000001" customHeight="1" x14ac:dyDescent="0.25">
      <c r="A93" s="118"/>
      <c r="B93" s="119"/>
      <c r="C93" s="119"/>
      <c r="D93" s="119"/>
      <c r="E93" s="119"/>
      <c r="F93" s="120"/>
      <c r="G93" s="122"/>
      <c r="H93" s="119"/>
      <c r="I93" s="119"/>
      <c r="J93" s="120"/>
      <c r="K93" s="111"/>
      <c r="L93" s="112"/>
      <c r="M93" s="112"/>
      <c r="N93" s="113"/>
      <c r="O93" s="57"/>
    </row>
    <row r="94" spans="1:15" ht="17.100000000000001" customHeight="1" x14ac:dyDescent="0.25">
      <c r="A94" s="118"/>
      <c r="B94" s="119"/>
      <c r="C94" s="119"/>
      <c r="D94" s="119"/>
      <c r="E94" s="119"/>
      <c r="F94" s="120"/>
      <c r="G94" s="122"/>
      <c r="H94" s="119"/>
      <c r="I94" s="119"/>
      <c r="J94" s="120"/>
      <c r="K94" s="111"/>
      <c r="L94" s="112"/>
      <c r="M94" s="112"/>
      <c r="N94" s="113"/>
      <c r="O94" s="57"/>
    </row>
    <row r="95" spans="1:15" ht="17.100000000000001" customHeight="1" x14ac:dyDescent="0.25">
      <c r="A95" s="118"/>
      <c r="B95" s="119"/>
      <c r="C95" s="119"/>
      <c r="D95" s="119"/>
      <c r="E95" s="119"/>
      <c r="F95" s="120"/>
      <c r="G95" s="122"/>
      <c r="H95" s="119"/>
      <c r="I95" s="119"/>
      <c r="J95" s="120"/>
      <c r="K95" s="111"/>
      <c r="L95" s="112"/>
      <c r="M95" s="112"/>
      <c r="N95" s="113"/>
      <c r="O95" s="57"/>
    </row>
    <row r="96" spans="1:15" ht="17.100000000000001" customHeight="1" x14ac:dyDescent="0.25">
      <c r="A96" s="118"/>
      <c r="B96" s="119"/>
      <c r="C96" s="119"/>
      <c r="D96" s="119"/>
      <c r="E96" s="119"/>
      <c r="F96" s="120"/>
      <c r="G96" s="122"/>
      <c r="H96" s="119"/>
      <c r="I96" s="119"/>
      <c r="J96" s="120"/>
      <c r="K96" s="111"/>
      <c r="L96" s="112"/>
      <c r="M96" s="112"/>
      <c r="N96" s="113"/>
      <c r="O96" s="57"/>
    </row>
    <row r="97" spans="1:19" ht="17.100000000000001" customHeight="1" x14ac:dyDescent="0.25">
      <c r="A97" s="118"/>
      <c r="B97" s="119"/>
      <c r="C97" s="119"/>
      <c r="D97" s="119"/>
      <c r="E97" s="119"/>
      <c r="F97" s="120"/>
      <c r="G97" s="122"/>
      <c r="H97" s="119"/>
      <c r="I97" s="119"/>
      <c r="J97" s="120"/>
      <c r="K97" s="111"/>
      <c r="L97" s="112"/>
      <c r="M97" s="112"/>
      <c r="N97" s="113"/>
      <c r="O97" s="57"/>
    </row>
    <row r="98" spans="1:19" ht="17.100000000000001" customHeight="1" x14ac:dyDescent="0.25">
      <c r="A98" s="118"/>
      <c r="B98" s="119"/>
      <c r="C98" s="119"/>
      <c r="D98" s="119"/>
      <c r="E98" s="119"/>
      <c r="F98" s="120"/>
      <c r="G98" s="122"/>
      <c r="H98" s="119"/>
      <c r="I98" s="119"/>
      <c r="J98" s="120"/>
      <c r="K98" s="111"/>
      <c r="L98" s="112"/>
      <c r="M98" s="112"/>
      <c r="N98" s="113"/>
      <c r="O98" s="57"/>
    </row>
    <row r="99" spans="1:19" ht="17.100000000000001" customHeight="1" thickBot="1" x14ac:dyDescent="0.3">
      <c r="A99" s="118"/>
      <c r="B99" s="119"/>
      <c r="C99" s="119"/>
      <c r="D99" s="119"/>
      <c r="E99" s="119"/>
      <c r="F99" s="120"/>
      <c r="G99" s="122"/>
      <c r="H99" s="119"/>
      <c r="I99" s="119"/>
      <c r="J99" s="120"/>
      <c r="K99" s="111"/>
      <c r="L99" s="112"/>
      <c r="M99" s="112"/>
      <c r="N99" s="113"/>
      <c r="O99" s="114"/>
    </row>
    <row r="100" spans="1:19" ht="17.100000000000001" customHeight="1" thickBot="1" x14ac:dyDescent="0.3">
      <c r="A100" s="124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6"/>
    </row>
    <row r="101" spans="1:19" ht="17.100000000000001" customHeight="1" x14ac:dyDescent="0.25">
      <c r="A101" s="97" t="s">
        <v>45</v>
      </c>
      <c r="B101" s="62"/>
      <c r="C101" s="62"/>
      <c r="D101" s="63"/>
      <c r="E101" s="127" t="s">
        <v>46</v>
      </c>
      <c r="F101" s="62"/>
      <c r="G101" s="62"/>
      <c r="H101" s="62"/>
      <c r="I101" s="62"/>
      <c r="J101" s="62"/>
      <c r="K101" s="129" t="s">
        <v>47</v>
      </c>
      <c r="L101" s="93"/>
      <c r="M101" s="93"/>
      <c r="N101" s="93"/>
      <c r="O101" s="133" t="s">
        <v>48</v>
      </c>
    </row>
    <row r="102" spans="1:19" ht="17.100000000000001" customHeight="1" x14ac:dyDescent="0.25">
      <c r="A102" s="64"/>
      <c r="B102" s="65"/>
      <c r="C102" s="65"/>
      <c r="D102" s="66"/>
      <c r="E102" s="128"/>
      <c r="F102" s="65"/>
      <c r="G102" s="65"/>
      <c r="H102" s="65"/>
      <c r="I102" s="65"/>
      <c r="J102" s="65"/>
      <c r="K102" s="130"/>
      <c r="L102" s="93"/>
      <c r="M102" s="93"/>
      <c r="N102" s="93"/>
      <c r="O102" s="134"/>
    </row>
    <row r="103" spans="1:19" ht="17.100000000000001" customHeight="1" x14ac:dyDescent="0.25">
      <c r="A103" s="58" t="s">
        <v>49</v>
      </c>
      <c r="B103" s="59"/>
      <c r="C103" s="59"/>
      <c r="D103" s="59"/>
      <c r="E103" s="59"/>
      <c r="F103" s="59"/>
      <c r="G103" s="59"/>
      <c r="H103" s="59"/>
      <c r="I103" s="59"/>
      <c r="J103" s="59"/>
      <c r="K103" s="130"/>
      <c r="L103" s="93"/>
      <c r="M103" s="93"/>
      <c r="N103" s="93"/>
      <c r="O103" s="134"/>
    </row>
    <row r="104" spans="1:19" ht="17.100000000000001" customHeight="1" x14ac:dyDescent="0.25">
      <c r="A104" s="61"/>
      <c r="B104" s="62"/>
      <c r="C104" s="62"/>
      <c r="D104" s="62"/>
      <c r="E104" s="62"/>
      <c r="F104" s="62"/>
      <c r="G104" s="62"/>
      <c r="H104" s="62"/>
      <c r="I104" s="62"/>
      <c r="J104" s="62"/>
      <c r="K104" s="130"/>
      <c r="L104" s="93"/>
      <c r="M104" s="93"/>
      <c r="N104" s="93"/>
      <c r="O104" s="134"/>
    </row>
    <row r="105" spans="1:19" ht="17.100000000000001" customHeight="1" x14ac:dyDescent="0.25">
      <c r="A105" s="61"/>
      <c r="B105" s="62"/>
      <c r="C105" s="62"/>
      <c r="D105" s="62"/>
      <c r="E105" s="62"/>
      <c r="F105" s="62"/>
      <c r="G105" s="62"/>
      <c r="H105" s="62"/>
      <c r="I105" s="62"/>
      <c r="J105" s="62"/>
      <c r="K105" s="130"/>
      <c r="L105" s="93"/>
      <c r="M105" s="93"/>
      <c r="N105" s="93"/>
      <c r="O105" s="134"/>
    </row>
    <row r="106" spans="1:19" ht="17.100000000000001" customHeight="1" x14ac:dyDescent="0.25">
      <c r="A106" s="61"/>
      <c r="B106" s="62"/>
      <c r="C106" s="62"/>
      <c r="D106" s="62"/>
      <c r="E106" s="62"/>
      <c r="F106" s="62"/>
      <c r="G106" s="62"/>
      <c r="H106" s="62"/>
      <c r="I106" s="62"/>
      <c r="J106" s="62"/>
      <c r="K106" s="130"/>
      <c r="L106" s="93"/>
      <c r="M106" s="93"/>
      <c r="N106" s="93"/>
      <c r="O106" s="134"/>
    </row>
    <row r="107" spans="1:19" ht="17.100000000000001" customHeight="1" thickBot="1" x14ac:dyDescent="0.3">
      <c r="A107" s="136"/>
      <c r="B107" s="137"/>
      <c r="C107" s="137"/>
      <c r="D107" s="137"/>
      <c r="E107" s="137"/>
      <c r="F107" s="137"/>
      <c r="G107" s="137"/>
      <c r="H107" s="137"/>
      <c r="I107" s="137"/>
      <c r="J107" s="137"/>
      <c r="K107" s="131"/>
      <c r="L107" s="132"/>
      <c r="M107" s="132"/>
      <c r="N107" s="132"/>
      <c r="O107" s="135"/>
    </row>
    <row r="108" spans="1:19" ht="14.1" customHeight="1" x14ac:dyDescent="0.25">
      <c r="A108" s="123"/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</row>
    <row r="109" spans="1:19" ht="14.1" customHeight="1" x14ac:dyDescent="0.25"/>
    <row r="110" spans="1:19" ht="14.1" customHeight="1" x14ac:dyDescent="0.25"/>
    <row r="111" spans="1:19" ht="14.1" customHeight="1" x14ac:dyDescent="0.25"/>
  </sheetData>
  <sortState xmlns:xlrd2="http://schemas.microsoft.com/office/spreadsheetml/2017/richdata2" ref="A32:N57">
    <sortCondition ref="E32:E57"/>
  </sortState>
  <mergeCells count="74">
    <mergeCell ref="A108:J108"/>
    <mergeCell ref="K108:S108"/>
    <mergeCell ref="A100:O100"/>
    <mergeCell ref="A101:D102"/>
    <mergeCell ref="E101:J102"/>
    <mergeCell ref="K101:N107"/>
    <mergeCell ref="O101:O107"/>
    <mergeCell ref="A103:J107"/>
    <mergeCell ref="A90:O90"/>
    <mergeCell ref="A91:F91"/>
    <mergeCell ref="G91:J91"/>
    <mergeCell ref="K91:N99"/>
    <mergeCell ref="O91:O99"/>
    <mergeCell ref="A92:F99"/>
    <mergeCell ref="G92:J99"/>
    <mergeCell ref="N64:N65"/>
    <mergeCell ref="B66:F66"/>
    <mergeCell ref="A82:G82"/>
    <mergeCell ref="J82:N82"/>
    <mergeCell ref="A83:N89"/>
    <mergeCell ref="E64:E65"/>
    <mergeCell ref="F64:F65"/>
    <mergeCell ref="G64:G65"/>
    <mergeCell ref="H64:L64"/>
    <mergeCell ref="M64:M65"/>
    <mergeCell ref="A70:N70"/>
    <mergeCell ref="A78:N78"/>
    <mergeCell ref="O14:O89"/>
    <mergeCell ref="A29:A30"/>
    <mergeCell ref="B29:B30"/>
    <mergeCell ref="C29:C30"/>
    <mergeCell ref="D29:D30"/>
    <mergeCell ref="E29:E30"/>
    <mergeCell ref="F29:F30"/>
    <mergeCell ref="G29:G30"/>
    <mergeCell ref="H29:L29"/>
    <mergeCell ref="M29:M30"/>
    <mergeCell ref="N29:N30"/>
    <mergeCell ref="B31:F31"/>
    <mergeCell ref="A64:A65"/>
    <mergeCell ref="B64:B65"/>
    <mergeCell ref="C64:C65"/>
    <mergeCell ref="D64:D65"/>
    <mergeCell ref="F14:F15"/>
    <mergeCell ref="G14:G15"/>
    <mergeCell ref="H14:L14"/>
    <mergeCell ref="M14:M15"/>
    <mergeCell ref="N14:N15"/>
    <mergeCell ref="A14:A15"/>
    <mergeCell ref="B14:B15"/>
    <mergeCell ref="C14:C15"/>
    <mergeCell ref="D14:D15"/>
    <mergeCell ref="E14:E15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</mergeCells>
  <hyperlinks>
    <hyperlink ref="E35" r:id="rId1" display="FITA VEDA ROSCA EM ROLOS DE 18 MM X 50 M (L X C)" xr:uid="{00000000-0004-0000-0000-000000000000}"/>
    <hyperlink ref="E42" r:id="rId2" display="VALVULA DE DESCARGA EM METAL CROMADO PARA MICTORIO COM ACIONAMENTO POR PRESSAO E FECHAMENTO AUTOMATICO" xr:uid="{00000000-0004-0000-0000-000001000000}"/>
    <hyperlink ref="E43" r:id="rId3" display="VALVULA DE DESCARGA EM METAL CROMADO PARA MICTORIO COM ACIONAMENTO POR PRESSAO E FECHAMENTO AUTOMATICO" xr:uid="{00000000-0004-0000-0000-000002000000}"/>
  </hyperlinks>
  <pageMargins left="0.25" right="0.25" top="0.75" bottom="0.75" header="0.3" footer="0.3"/>
  <pageSetup paperSize="9" scale="53" orientation="landscape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42C7491-1684-4A6E-9854-115E927C60F5}"/>
</file>

<file path=customXml/itemProps2.xml><?xml version="1.0" encoding="utf-8"?>
<ds:datastoreItem xmlns:ds="http://schemas.openxmlformats.org/officeDocument/2006/customXml" ds:itemID="{2552A52A-7E8F-4A0F-8AF6-2A31EEBF9200}"/>
</file>

<file path=customXml/itemProps3.xml><?xml version="1.0" encoding="utf-8"?>
<ds:datastoreItem xmlns:ds="http://schemas.openxmlformats.org/officeDocument/2006/customXml" ds:itemID="{F562C5EF-E3E7-4111-9D9F-ACDB528AFC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São Carlos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2023-03-13T13:12:23Z</cp:lastPrinted>
  <dcterms:created xsi:type="dcterms:W3CDTF">2022-01-02T19:12:46Z</dcterms:created>
  <dcterms:modified xsi:type="dcterms:W3CDTF">2023-03-13T13:12:37Z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