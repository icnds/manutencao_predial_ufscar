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G:\Meu Drive\0-Gi contrato 2022\Medições\18-Novembro-23\"/>
    </mc:Choice>
  </mc:AlternateContent>
  <xr:revisionPtr revIDLastSave="0" documentId="13_ncr:1_{CF7496B3-4078-4322-A2D9-E27B33E57B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ão Carlos" sheetId="1" r:id="rId1"/>
  </sheets>
  <definedNames>
    <definedName name="_xlnm.Print_Area" localSheetId="0">'São Carlos'!$A$1:$O$135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0" i="1" l="1"/>
  <c r="J103" i="1"/>
  <c r="I103" i="1"/>
  <c r="K103" i="1" l="1"/>
  <c r="L103" i="1" s="1"/>
  <c r="M103" i="1" s="1"/>
  <c r="I100" i="1"/>
  <c r="J100" i="1" s="1"/>
  <c r="K100" i="1" l="1"/>
  <c r="L100" i="1"/>
  <c r="M100" i="1" s="1"/>
  <c r="G96" i="1"/>
  <c r="I67" i="1" l="1"/>
  <c r="J67" i="1" s="1"/>
  <c r="I68" i="1"/>
  <c r="J68" i="1" s="1"/>
  <c r="K68" i="1" s="1"/>
  <c r="I69" i="1"/>
  <c r="J69" i="1" s="1"/>
  <c r="I70" i="1"/>
  <c r="J70" i="1" s="1"/>
  <c r="K70" i="1" s="1"/>
  <c r="I71" i="1"/>
  <c r="J71" i="1" s="1"/>
  <c r="I72" i="1"/>
  <c r="J72" i="1" s="1"/>
  <c r="K72" i="1" s="1"/>
  <c r="I73" i="1"/>
  <c r="J73" i="1" s="1"/>
  <c r="I74" i="1"/>
  <c r="J74" i="1" s="1"/>
  <c r="K74" i="1" s="1"/>
  <c r="I75" i="1"/>
  <c r="J75" i="1" s="1"/>
  <c r="I76" i="1"/>
  <c r="J76" i="1" s="1"/>
  <c r="K76" i="1" s="1"/>
  <c r="I77" i="1"/>
  <c r="J77" i="1" s="1"/>
  <c r="I78" i="1"/>
  <c r="J78" i="1" s="1"/>
  <c r="K78" i="1" s="1"/>
  <c r="I79" i="1"/>
  <c r="J79" i="1" s="1"/>
  <c r="I80" i="1"/>
  <c r="J80" i="1" s="1"/>
  <c r="K80" i="1" s="1"/>
  <c r="I81" i="1"/>
  <c r="J81" i="1" s="1"/>
  <c r="I82" i="1"/>
  <c r="J82" i="1" s="1"/>
  <c r="K82" i="1" s="1"/>
  <c r="I83" i="1"/>
  <c r="J83" i="1" s="1"/>
  <c r="I66" i="1"/>
  <c r="J66" i="1" s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I58" i="1"/>
  <c r="J58" i="1" s="1"/>
  <c r="I57" i="1"/>
  <c r="J57" i="1" s="1"/>
  <c r="I56" i="1"/>
  <c r="J56" i="1" s="1"/>
  <c r="I55" i="1"/>
  <c r="J55" i="1" s="1"/>
  <c r="I53" i="1"/>
  <c r="J53" i="1" s="1"/>
  <c r="I54" i="1"/>
  <c r="J54" i="1" s="1"/>
  <c r="K54" i="1" s="1"/>
  <c r="I52" i="1"/>
  <c r="J52" i="1" s="1"/>
  <c r="I51" i="1"/>
  <c r="J51" i="1" s="1"/>
  <c r="I49" i="1"/>
  <c r="J49" i="1" s="1"/>
  <c r="I46" i="1"/>
  <c r="J46" i="1" s="1"/>
  <c r="I47" i="1"/>
  <c r="J47" i="1" s="1"/>
  <c r="K47" i="1" s="1"/>
  <c r="I48" i="1"/>
  <c r="J48" i="1" s="1"/>
  <c r="I50" i="1"/>
  <c r="J50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104" i="1"/>
  <c r="J104" i="1" s="1"/>
  <c r="I39" i="1"/>
  <c r="J39" i="1" s="1"/>
  <c r="K79" i="1" l="1"/>
  <c r="L79" i="1" s="1"/>
  <c r="M79" i="1" s="1"/>
  <c r="K71" i="1"/>
  <c r="L71" i="1" s="1"/>
  <c r="M71" i="1" s="1"/>
  <c r="K77" i="1"/>
  <c r="L77" i="1" s="1"/>
  <c r="M77" i="1" s="1"/>
  <c r="K81" i="1"/>
  <c r="L81" i="1" s="1"/>
  <c r="M81" i="1" s="1"/>
  <c r="K73" i="1"/>
  <c r="L73" i="1" s="1"/>
  <c r="M73" i="1" s="1"/>
  <c r="K69" i="1"/>
  <c r="L69" i="1" s="1"/>
  <c r="M69" i="1" s="1"/>
  <c r="K83" i="1"/>
  <c r="L83" i="1" s="1"/>
  <c r="M83" i="1" s="1"/>
  <c r="K75" i="1"/>
  <c r="L75" i="1" s="1"/>
  <c r="M75" i="1" s="1"/>
  <c r="K67" i="1"/>
  <c r="L67" i="1" s="1"/>
  <c r="M67" i="1" s="1"/>
  <c r="L82" i="1"/>
  <c r="M82" i="1" s="1"/>
  <c r="L80" i="1"/>
  <c r="M80" i="1" s="1"/>
  <c r="L78" i="1"/>
  <c r="M78" i="1" s="1"/>
  <c r="L76" i="1"/>
  <c r="M76" i="1" s="1"/>
  <c r="L74" i="1"/>
  <c r="M74" i="1" s="1"/>
  <c r="L72" i="1"/>
  <c r="M72" i="1" s="1"/>
  <c r="L70" i="1"/>
  <c r="M70" i="1" s="1"/>
  <c r="L68" i="1"/>
  <c r="M68" i="1" s="1"/>
  <c r="K66" i="1"/>
  <c r="L66" i="1" s="1"/>
  <c r="M66" i="1" s="1"/>
  <c r="K65" i="1"/>
  <c r="L65" i="1" s="1"/>
  <c r="M65" i="1" s="1"/>
  <c r="K64" i="1"/>
  <c r="L64" i="1" s="1"/>
  <c r="M64" i="1" s="1"/>
  <c r="K63" i="1"/>
  <c r="L63" i="1" s="1"/>
  <c r="M63" i="1" s="1"/>
  <c r="K62" i="1"/>
  <c r="L62" i="1" s="1"/>
  <c r="M62" i="1" s="1"/>
  <c r="K61" i="1"/>
  <c r="L61" i="1" s="1"/>
  <c r="M61" i="1" s="1"/>
  <c r="K60" i="1"/>
  <c r="L60" i="1" s="1"/>
  <c r="M60" i="1" s="1"/>
  <c r="K59" i="1"/>
  <c r="L59" i="1" s="1"/>
  <c r="M59" i="1" s="1"/>
  <c r="K58" i="1"/>
  <c r="L58" i="1" s="1"/>
  <c r="M58" i="1" s="1"/>
  <c r="K57" i="1"/>
  <c r="L57" i="1" s="1"/>
  <c r="M57" i="1" s="1"/>
  <c r="K56" i="1"/>
  <c r="L56" i="1" s="1"/>
  <c r="M56" i="1" s="1"/>
  <c r="N56" i="1" s="1"/>
  <c r="K55" i="1"/>
  <c r="L55" i="1" s="1"/>
  <c r="M55" i="1" s="1"/>
  <c r="K53" i="1"/>
  <c r="L53" i="1" s="1"/>
  <c r="M53" i="1" s="1"/>
  <c r="L54" i="1"/>
  <c r="M54" i="1" s="1"/>
  <c r="K46" i="1"/>
  <c r="L46" i="1" s="1"/>
  <c r="M46" i="1" s="1"/>
  <c r="K50" i="1"/>
  <c r="L50" i="1" s="1"/>
  <c r="M50" i="1" s="1"/>
  <c r="K48" i="1"/>
  <c r="L48" i="1" s="1"/>
  <c r="M48" i="1" s="1"/>
  <c r="K52" i="1"/>
  <c r="L52" i="1" s="1"/>
  <c r="M52" i="1" s="1"/>
  <c r="K51" i="1"/>
  <c r="L51" i="1" s="1"/>
  <c r="M51" i="1" s="1"/>
  <c r="K49" i="1"/>
  <c r="L49" i="1" s="1"/>
  <c r="M49" i="1" s="1"/>
  <c r="L47" i="1"/>
  <c r="M47" i="1" s="1"/>
  <c r="K45" i="1"/>
  <c r="L45" i="1" s="1"/>
  <c r="M45" i="1" s="1"/>
  <c r="K44" i="1"/>
  <c r="L44" i="1" s="1"/>
  <c r="M44" i="1" s="1"/>
  <c r="K43" i="1"/>
  <c r="L43" i="1" s="1"/>
  <c r="M43" i="1" s="1"/>
  <c r="K42" i="1"/>
  <c r="L42" i="1" s="1"/>
  <c r="M42" i="1" s="1"/>
  <c r="K41" i="1"/>
  <c r="L41" i="1" s="1"/>
  <c r="M41" i="1" s="1"/>
  <c r="K40" i="1"/>
  <c r="L40" i="1" s="1"/>
  <c r="M40" i="1" s="1"/>
  <c r="K104" i="1"/>
  <c r="L104" i="1" s="1"/>
  <c r="M104" i="1" s="1"/>
  <c r="K39" i="1"/>
  <c r="L39" i="1" s="1"/>
  <c r="M39" i="1" s="1"/>
  <c r="N52" i="1" l="1"/>
  <c r="N57" i="1"/>
  <c r="N53" i="1"/>
  <c r="N58" i="1"/>
  <c r="N62" i="1"/>
  <c r="N60" i="1"/>
  <c r="N61" i="1"/>
  <c r="N59" i="1"/>
  <c r="N54" i="1"/>
  <c r="N55" i="1"/>
  <c r="N40" i="1"/>
  <c r="N71" i="1"/>
  <c r="N44" i="1"/>
  <c r="N65" i="1"/>
  <c r="N63" i="1"/>
  <c r="N45" i="1"/>
  <c r="N64" i="1"/>
  <c r="N66" i="1"/>
  <c r="N67" i="1"/>
  <c r="N46" i="1"/>
  <c r="N77" i="1"/>
  <c r="N75" i="1"/>
  <c r="N73" i="1"/>
  <c r="N81" i="1"/>
  <c r="N78" i="1"/>
  <c r="N79" i="1"/>
  <c r="N83" i="1"/>
  <c r="N69" i="1"/>
  <c r="N72" i="1"/>
  <c r="N80" i="1"/>
  <c r="N74" i="1"/>
  <c r="N82" i="1"/>
  <c r="N70" i="1"/>
  <c r="N68" i="1"/>
  <c r="N76" i="1"/>
  <c r="N47" i="1"/>
  <c r="N51" i="1"/>
  <c r="N49" i="1"/>
  <c r="N41" i="1"/>
  <c r="N42" i="1"/>
  <c r="N48" i="1"/>
  <c r="N50" i="1"/>
  <c r="N43" i="1"/>
  <c r="I38" i="1" l="1"/>
  <c r="J38" i="1" s="1"/>
  <c r="K38" i="1" s="1"/>
  <c r="I37" i="1"/>
  <c r="J37" i="1" s="1"/>
  <c r="K37" i="1" s="1"/>
  <c r="I36" i="1"/>
  <c r="J36" i="1" s="1"/>
  <c r="K36" i="1" s="1"/>
  <c r="I35" i="1"/>
  <c r="J35" i="1" s="1"/>
  <c r="I32" i="1"/>
  <c r="J32" i="1" s="1"/>
  <c r="K32" i="1" s="1"/>
  <c r="I33" i="1"/>
  <c r="J33" i="1" s="1"/>
  <c r="I34" i="1"/>
  <c r="J34" i="1" s="1"/>
  <c r="K34" i="1" s="1"/>
  <c r="G98" i="1"/>
  <c r="L38" i="1" l="1"/>
  <c r="M38" i="1" s="1"/>
  <c r="L37" i="1"/>
  <c r="M37" i="1" s="1"/>
  <c r="L36" i="1"/>
  <c r="M36" i="1" s="1"/>
  <c r="K35" i="1"/>
  <c r="L35" i="1" s="1"/>
  <c r="M35" i="1" s="1"/>
  <c r="N35" i="1" s="1"/>
  <c r="K33" i="1"/>
  <c r="L33" i="1" s="1"/>
  <c r="M33" i="1" s="1"/>
  <c r="L34" i="1"/>
  <c r="M34" i="1" s="1"/>
  <c r="N34" i="1" s="1"/>
  <c r="L32" i="1"/>
  <c r="M32" i="1" s="1"/>
  <c r="N36" i="1" l="1"/>
  <c r="N37" i="1"/>
  <c r="N33" i="1"/>
  <c r="N38" i="1"/>
  <c r="N39" i="1"/>
  <c r="I95" i="1"/>
  <c r="J95" i="1" s="1"/>
  <c r="K95" i="1" l="1"/>
  <c r="L95" i="1" s="1"/>
  <c r="M95" i="1" s="1"/>
  <c r="I108" i="1" l="1"/>
  <c r="J108" i="1" s="1"/>
  <c r="I107" i="1"/>
  <c r="J107" i="1" s="1"/>
  <c r="I106" i="1"/>
  <c r="J106" i="1" s="1"/>
  <c r="I102" i="1"/>
  <c r="J102" i="1" s="1"/>
  <c r="I98" i="1"/>
  <c r="J98" i="1" s="1"/>
  <c r="K106" i="1" l="1"/>
  <c r="L106" i="1" s="1"/>
  <c r="M106" i="1" s="1"/>
  <c r="K107" i="1"/>
  <c r="L107" i="1" s="1"/>
  <c r="M107" i="1" s="1"/>
  <c r="K108" i="1"/>
  <c r="L108" i="1" s="1"/>
  <c r="M108" i="1" s="1"/>
  <c r="K102" i="1"/>
  <c r="L102" i="1" s="1"/>
  <c r="M102" i="1" s="1"/>
  <c r="K98" i="1"/>
  <c r="L98" i="1" s="1"/>
  <c r="M98" i="1" s="1"/>
  <c r="I96" i="1" l="1"/>
  <c r="J96" i="1" s="1"/>
  <c r="K96" i="1" l="1"/>
  <c r="L96" i="1" s="1"/>
  <c r="M96" i="1" s="1"/>
  <c r="I94" i="1" l="1"/>
  <c r="J94" i="1" s="1"/>
  <c r="K94" i="1" s="1"/>
  <c r="L94" i="1" l="1"/>
  <c r="M94" i="1" s="1"/>
  <c r="I93" i="1" l="1"/>
  <c r="J93" i="1" s="1"/>
  <c r="K93" i="1" l="1"/>
  <c r="L93" i="1" s="1"/>
  <c r="M93" i="1" s="1"/>
  <c r="M92" i="1" s="1"/>
  <c r="M31" i="1" l="1"/>
  <c r="N32" i="1" s="1"/>
  <c r="I18" i="1" l="1"/>
  <c r="J18" i="1" s="1"/>
  <c r="K18" i="1" s="1"/>
  <c r="I19" i="1"/>
  <c r="J19" i="1" s="1"/>
  <c r="I20" i="1"/>
  <c r="J20" i="1" s="1"/>
  <c r="K20" i="1" s="1"/>
  <c r="I21" i="1"/>
  <c r="J21" i="1" s="1"/>
  <c r="I22" i="1"/>
  <c r="J22" i="1" s="1"/>
  <c r="K22" i="1" s="1"/>
  <c r="I23" i="1"/>
  <c r="J23" i="1" s="1"/>
  <c r="I24" i="1"/>
  <c r="J24" i="1" s="1"/>
  <c r="K24" i="1" s="1"/>
  <c r="I25" i="1"/>
  <c r="J25" i="1" s="1"/>
  <c r="I26" i="1"/>
  <c r="J26" i="1" s="1"/>
  <c r="K26" i="1" s="1"/>
  <c r="I27" i="1"/>
  <c r="J27" i="1" s="1"/>
  <c r="I28" i="1"/>
  <c r="J28" i="1" s="1"/>
  <c r="K28" i="1" s="1"/>
  <c r="K23" i="1" l="1"/>
  <c r="L23" i="1" s="1"/>
  <c r="M23" i="1" s="1"/>
  <c r="K25" i="1"/>
  <c r="L25" i="1" s="1"/>
  <c r="M25" i="1" s="1"/>
  <c r="K27" i="1"/>
  <c r="L27" i="1" s="1"/>
  <c r="M27" i="1" s="1"/>
  <c r="K19" i="1"/>
  <c r="L19" i="1" s="1"/>
  <c r="M19" i="1" s="1"/>
  <c r="K21" i="1"/>
  <c r="L21" i="1" s="1"/>
  <c r="M21" i="1" s="1"/>
  <c r="L28" i="1"/>
  <c r="M28" i="1" s="1"/>
  <c r="L26" i="1"/>
  <c r="M26" i="1" s="1"/>
  <c r="L24" i="1"/>
  <c r="M24" i="1" s="1"/>
  <c r="L22" i="1"/>
  <c r="M22" i="1" s="1"/>
  <c r="L20" i="1"/>
  <c r="M20" i="1" s="1"/>
  <c r="L18" i="1"/>
  <c r="M18" i="1" s="1"/>
  <c r="I17" i="1"/>
  <c r="J17" i="1" s="1"/>
  <c r="K17" i="1" s="1"/>
  <c r="L17" i="1" l="1"/>
  <c r="M17" i="1" s="1"/>
  <c r="M16" i="1" s="1"/>
  <c r="N100" i="1" s="1"/>
  <c r="N95" i="1" l="1"/>
  <c r="N104" i="1"/>
  <c r="N108" i="1"/>
  <c r="N107" i="1"/>
  <c r="N106" i="1"/>
  <c r="N98" i="1"/>
  <c r="N102" i="1"/>
  <c r="N96" i="1"/>
  <c r="N93" i="1"/>
  <c r="N19" i="1"/>
  <c r="N18" i="1"/>
  <c r="N23" i="1"/>
  <c r="N21" i="1"/>
  <c r="N26" i="1"/>
  <c r="N20" i="1"/>
  <c r="N27" i="1"/>
  <c r="N25" i="1"/>
  <c r="N24" i="1"/>
  <c r="N28" i="1"/>
  <c r="N22" i="1"/>
  <c r="N17" i="1"/>
  <c r="J110" i="1"/>
  <c r="N16" i="1" l="1"/>
</calcChain>
</file>

<file path=xl/sharedStrings.xml><?xml version="1.0" encoding="utf-8"?>
<sst xmlns="http://schemas.openxmlformats.org/spreadsheetml/2006/main" count="484" uniqueCount="221">
  <si>
    <t>LOGO</t>
  </si>
  <si>
    <t>Ordem de Serviço</t>
  </si>
  <si>
    <t>Prioridade:</t>
  </si>
  <si>
    <t>URGENTE</t>
  </si>
  <si>
    <t xml:space="preserve">24 horas </t>
  </si>
  <si>
    <t>ALTA</t>
  </si>
  <si>
    <t>3 dias</t>
  </si>
  <si>
    <t>MÉDIA</t>
  </si>
  <si>
    <t>7 dias</t>
  </si>
  <si>
    <t>BAIXA</t>
  </si>
  <si>
    <t xml:space="preserve">15 dias </t>
  </si>
  <si>
    <r>
      <t xml:space="preserve">UNIDADE: </t>
    </r>
    <r>
      <rPr>
        <sz val="8"/>
        <color rgb="FFFF0000"/>
        <rFont val="Arial"/>
        <family val="2"/>
      </rPr>
      <t>UFSCar Campus São Carlos</t>
    </r>
  </si>
  <si>
    <t>SOLICITAÇÃO</t>
  </si>
  <si>
    <r>
      <t xml:space="preserve">Solicitante: </t>
    </r>
    <r>
      <rPr>
        <sz val="8"/>
        <color rgb="FFFF0000"/>
        <rFont val="Arial"/>
        <family val="2"/>
      </rPr>
      <t>Prefeitura Universitária do Campus São Carlos</t>
    </r>
  </si>
  <si>
    <r>
      <t xml:space="preserve">Ambiente: </t>
    </r>
    <r>
      <rPr>
        <sz val="8"/>
        <color rgb="FFFF0000"/>
        <rFont val="Arial"/>
        <family val="2"/>
      </rPr>
      <t>Campus São Carlos</t>
    </r>
  </si>
  <si>
    <r>
      <t xml:space="preserve">Prazo de execução: </t>
    </r>
    <r>
      <rPr>
        <sz val="8"/>
        <color rgb="FFFF0000"/>
        <rFont val="Arial"/>
        <family val="2"/>
      </rPr>
      <t>Continuado</t>
    </r>
  </si>
  <si>
    <t>ITEM</t>
  </si>
  <si>
    <t>TIPO</t>
  </si>
  <si>
    <t>CÓDIGO</t>
  </si>
  <si>
    <t>BANCO</t>
  </si>
  <si>
    <t>DESCRIÇÃO DAS ETAPAS</t>
  </si>
  <si>
    <t>UNID.</t>
  </si>
  <si>
    <t>QUANT.</t>
  </si>
  <si>
    <t>PREÇO</t>
  </si>
  <si>
    <t>TOTAL DA ETAPA</t>
  </si>
  <si>
    <t>%</t>
  </si>
  <si>
    <t>ORÇAMENTO</t>
  </si>
  <si>
    <t>UNITÁRIO SEM BDI</t>
  </si>
  <si>
    <t>BDI (22,32%)</t>
  </si>
  <si>
    <t>UNITÁRIO COM BDI</t>
  </si>
  <si>
    <t>UNITÁRIO C/ BDI e DESCONTO</t>
  </si>
  <si>
    <t>EQUIPE DE PRESTAÇÃO DE SERVIÇOS ROTINEIROS DE MANUTENÇÃO PREDIAL</t>
  </si>
  <si>
    <t>1.1</t>
  </si>
  <si>
    <t xml:space="preserve">Composição </t>
  </si>
  <si>
    <t>SINAPI</t>
  </si>
  <si>
    <t>h</t>
  </si>
  <si>
    <t>BDI (15,32%)</t>
  </si>
  <si>
    <t>MATERIAIS NECESSÁRIOS PARA O DESEMPENHO DAS ROTINAS</t>
  </si>
  <si>
    <t>SERVIÇOS / EQUIPAMENTOS ADICIONAIS NECESSÁRIOS DURANTE AS ROTINAS</t>
  </si>
  <si>
    <t>TOTAL DO SERVIÇO - R$</t>
  </si>
  <si>
    <t>APROVAÇÃO DO ORÇAMENTO</t>
  </si>
  <si>
    <t>Ordem Serviço Eletrônica</t>
  </si>
  <si>
    <t>APROVAÇÃO ORÇAMENTO</t>
  </si>
  <si>
    <t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</si>
  <si>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</si>
  <si>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</si>
  <si>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</si>
  <si>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</si>
  <si>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</si>
  <si>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</si>
  <si>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>2.1</t>
  </si>
  <si>
    <t>2.2</t>
  </si>
  <si>
    <t>2.3</t>
  </si>
  <si>
    <t>Insumos</t>
  </si>
  <si>
    <r>
      <t xml:space="preserve">Prazo de início: </t>
    </r>
    <r>
      <rPr>
        <sz val="8"/>
        <color rgb="FFFF0000"/>
        <rFont val="Arial"/>
        <family val="2"/>
      </rPr>
      <t>13/06/2022</t>
    </r>
  </si>
  <si>
    <r>
      <t xml:space="preserve">CONTRATO: </t>
    </r>
    <r>
      <rPr>
        <sz val="8"/>
        <color rgb="FFFF0000"/>
        <rFont val="Arial"/>
        <family val="2"/>
      </rPr>
      <t xml:space="preserve"> 023/2022</t>
    </r>
  </si>
  <si>
    <t>DESCONTO (0,03%)</t>
  </si>
  <si>
    <t>ESCONTO (0,03%)</t>
  </si>
  <si>
    <t xml:space="preserve"> 88267 </t>
  </si>
  <si>
    <t>ENCANADOR OU BOMBEIRO HIDRÁULICO COM ENCARGOS COMPLEMENTARES</t>
  </si>
  <si>
    <t xml:space="preserve"> 88248 </t>
  </si>
  <si>
    <t>AUXILIAR DE ENCANADOR OU BOMBEIRO HIDRÁULICO COM ENCARGOS COMPLEMENTARES</t>
  </si>
  <si>
    <t xml:space="preserve"> 88309 </t>
  </si>
  <si>
    <t>PEDREIRO COM ENCARGOS COMPLEMENTARES</t>
  </si>
  <si>
    <t xml:space="preserve"> 88242 </t>
  </si>
  <si>
    <t>AJUDANTE DE PEDREIRO COM ENCARGOS COMPLEMENTARES</t>
  </si>
  <si>
    <t xml:space="preserve"> 90776 </t>
  </si>
  <si>
    <t>ENCARREGADO GERAL COM ENCARGOS COMPLEMENTARES</t>
  </si>
  <si>
    <t xml:space="preserve"> 88241 </t>
  </si>
  <si>
    <t>AJUDANTE DE OPERAÇÃO EM GERAL COM ENCARGOS COMPLEMENTARES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</si>
  <si>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</si>
  <si>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</si>
  <si>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</si>
  <si>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</si>
  <si>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</si>
  <si>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</si>
  <si>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</si>
  <si>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</si>
  <si>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</si>
  <si>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</si>
  <si>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</si>
  <si>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2.8</t>
  </si>
  <si>
    <t>2.9</t>
  </si>
  <si>
    <t>2.13</t>
  </si>
  <si>
    <t>2.20</t>
  </si>
  <si>
    <t>TORNEIRA METALICA CROMADA PARA JARDIM / TANQUE, COM BICO PLASTICO, CANO LONGO, DE PAREDE, PADRAO POPULAR / USO GERAL , 1/2 " OU 3/4 " (REF 1153 / 1130)</t>
  </si>
  <si>
    <t>CIMENTO PORTLAND COMPOSTO CP II-32</t>
  </si>
  <si>
    <t>3.1</t>
  </si>
  <si>
    <t>3.3</t>
  </si>
  <si>
    <t>3.4</t>
  </si>
  <si>
    <t>2.21</t>
  </si>
  <si>
    <t>2.25</t>
  </si>
  <si>
    <t>2.33</t>
  </si>
  <si>
    <t>2.35</t>
  </si>
  <si>
    <t>2.36</t>
  </si>
  <si>
    <t>m²</t>
  </si>
  <si>
    <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/>
        <sz val="8"/>
        <color rgb="FFFF0000"/>
        <rFont val="Arial"/>
        <family val="2"/>
      </rPr>
      <t xml:space="preserve">SINAPI São Paulo (mês 05/2023) </t>
    </r>
    <r>
      <rPr>
        <sz val="8"/>
        <color theme="1"/>
        <rFont val="Arial"/>
        <family val="2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</si>
  <si>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r>
      <t xml:space="preserve">Mês de referência: </t>
    </r>
    <r>
      <rPr>
        <sz val="8"/>
        <color rgb="FFFF0000"/>
        <rFont val="Arial"/>
        <family val="2"/>
      </rPr>
      <t>Maio/2023 (data da proposta)</t>
    </r>
  </si>
  <si>
    <r>
      <t xml:space="preserve">Data Orçamento: </t>
    </r>
    <r>
      <rPr>
        <sz val="8"/>
        <color rgb="FFFF0000"/>
        <rFont val="Arial"/>
        <family val="2"/>
      </rPr>
      <t>Jun/23</t>
    </r>
  </si>
  <si>
    <t>M</t>
  </si>
  <si>
    <t>3.2</t>
  </si>
  <si>
    <t>SIFAO / TUBO SINFONADO EXTENSIVEL/SANFONADO, UNIVERSAL/ SIMPLES, ENTRE *50 A 70* CM, DE PLASTICO BRANCO</t>
  </si>
  <si>
    <t>m3</t>
  </si>
  <si>
    <t>PARAFUSO ZINCADO, AUTOBROCANTE, FLANGEADO, 4,2 MM X 19 MM</t>
  </si>
  <si>
    <t>CENTO</t>
  </si>
  <si>
    <t>ENGATE/RABICHO FLEXIVEL PLASTICO (PVC OU ABS) BRANCO 1/2 " X 40 CM</t>
  </si>
  <si>
    <t>TRANSPORTE COM CAMINHÃO BASCULANTE DE 10 M³, EM VIA URBANA EM LEITO NATURAL (UNIDADE: M3XKM). AF_07/2020</t>
  </si>
  <si>
    <t>M3XKM</t>
  </si>
  <si>
    <t>2.37</t>
  </si>
  <si>
    <t>2.38</t>
  </si>
  <si>
    <t>ASSENTO SANITARIO DE PLASTICO, TIPO CONVENCIONAL</t>
  </si>
  <si>
    <t>PINTOR COM ENCARGOS COMPLEMENTARES</t>
  </si>
  <si>
    <t>2.26</t>
  </si>
  <si>
    <t>2.22</t>
  </si>
  <si>
    <t>TUBO DE DESCARGA, TIPO BENGALA, PARA LIGACAO CAIXA DE DESCARGA - EMBUTIR, PVC, 40 MM X 150 CM</t>
  </si>
  <si>
    <t>TORNEIRA METALICA CROMADA DE MESA PARA LAVATORIO, BICA ALTA, COM AREJADOR (REF 1195)</t>
  </si>
  <si>
    <t>2.27</t>
  </si>
  <si>
    <t>2.19</t>
  </si>
  <si>
    <t>MASSA PLASTICA PARA MARMORE/GRANITO</t>
  </si>
  <si>
    <t>KG</t>
  </si>
  <si>
    <t>2.10</t>
  </si>
  <si>
    <t>VALVULA DE ESCOAMENTO PARA TANQUE, EM METAL CROMADO, 1.1/2 ", SEM LADRAO, COM TAMPAO PLASTICO</t>
  </si>
  <si>
    <t>2.14</t>
  </si>
  <si>
    <t>2.34</t>
  </si>
  <si>
    <t>JOELHO PVC, SOLDAVEL, 90 GRAUS, 25 MM, PARA AGUA FRIA PREDIAL</t>
  </si>
  <si>
    <t>LUVA PVC SOLDAVEL, 25 MM, PARA AGUA FRIA PREDIAL</t>
  </si>
  <si>
    <t>TORNEIRA METALICA CROMADA, DE MESA/BANCADA, PARA COZINHA, BICA MOVEL, COM AREJADOR, 1/2 " OU 3/4 " (REF 1167 / 1168)</t>
  </si>
  <si>
    <t>2.11</t>
  </si>
  <si>
    <t>2.16</t>
  </si>
  <si>
    <t>UNIAO PVC, SOLDAVEL, 60 MM, PARA AGUA FRIA PREDIAL</t>
  </si>
  <si>
    <t>ARAME RECOZIDO 16 BWG, D = 1,65 MM (0,016 KG/M) OU 18 BWG, D = 1,25 MM (0,01 KG/M)</t>
  </si>
  <si>
    <t>kg</t>
  </si>
  <si>
    <t>2.17</t>
  </si>
  <si>
    <t>CURVA DE PVC 90 GRAUS, SOLDAVEL, 25 MM, PARA AGUA FRIA PREDIAL (NBR 5648)</t>
  </si>
  <si>
    <t>REJUNTE CIMENTICIO, QUALQUER COR</t>
  </si>
  <si>
    <t>2.18</t>
  </si>
  <si>
    <t>2.39</t>
  </si>
  <si>
    <t>TIJOLO CERAMICO MACICO COMUM *5 X 10 X 20* CM (L X A X C)</t>
  </si>
  <si>
    <t>BLOCO CERAMICO / TIJOLO VAZADO PARA ALVENARIA DE VEDACAO, 8 FUROS NA HORIZONTAL, DE 9 X 19 X 19 CM (L XA X C)</t>
  </si>
  <si>
    <t>AREIA GROSSA - POSTO JAZIDA/FORNECEDOR (RETIRADO NA JAZIDA, SEM TRANSPORTE)</t>
  </si>
  <si>
    <t>TINTA ACRILICA PREMIUM PARA PISO</t>
  </si>
  <si>
    <t>L</t>
  </si>
  <si>
    <t>TINTA LATEX ACRILICA STANDARD, COR BRANCA</t>
  </si>
  <si>
    <t>2.43</t>
  </si>
  <si>
    <t>FITA CREPE ROLO DE 25 MM X 50 M</t>
  </si>
  <si>
    <t>GESSO EM PO PARA REVESTIMENTOS/MOLDURAS/SANCAS E USO GERAL</t>
  </si>
  <si>
    <t>Estimativa DMP - cobertura</t>
  </si>
  <si>
    <t xml:space="preserve"> 32.16.060 </t>
  </si>
  <si>
    <t>CPOS/CDHU</t>
  </si>
  <si>
    <t>Impermeabilização em membrana à base de polímeros acrílicos, na cor branca e reforço em tela poliéster</t>
  </si>
  <si>
    <t>2.4</t>
  </si>
  <si>
    <t>2.5</t>
  </si>
  <si>
    <t>2.6</t>
  </si>
  <si>
    <t>2.7</t>
  </si>
  <si>
    <t>2.12</t>
  </si>
  <si>
    <t>2.15</t>
  </si>
  <si>
    <t>2.23</t>
  </si>
  <si>
    <t>2.24</t>
  </si>
  <si>
    <t>2.28</t>
  </si>
  <si>
    <t>2.29</t>
  </si>
  <si>
    <t>2.30</t>
  </si>
  <si>
    <t>2.31</t>
  </si>
  <si>
    <t>2.32</t>
  </si>
  <si>
    <t>2.40</t>
  </si>
  <si>
    <t>2.41</t>
  </si>
  <si>
    <t>2.42</t>
  </si>
  <si>
    <t>2.44</t>
  </si>
  <si>
    <t>2.45</t>
  </si>
  <si>
    <t>2.46</t>
  </si>
  <si>
    <t>2.47</t>
  </si>
  <si>
    <t>2.48</t>
  </si>
  <si>
    <t>2.49</t>
  </si>
  <si>
    <t>2.50</t>
  </si>
  <si>
    <t>2.51</t>
  </si>
  <si>
    <t>2.52</t>
  </si>
  <si>
    <r>
      <t xml:space="preserve">Descrição serviço: </t>
    </r>
    <r>
      <rPr>
        <b/>
        <sz val="8"/>
        <color theme="1"/>
        <rFont val="Arial"/>
        <family val="2"/>
      </rPr>
      <t>ROTINAS DE MANUTENÇÃO PREDIAL NO CAMPUS SÃO CARLOS, REFERENTE AO PERIDO DE OUTUBRO/2023</t>
    </r>
  </si>
  <si>
    <t>m2</t>
  </si>
  <si>
    <t>PLACA VINILICA SEMIFLEXIVEL PARA REVESTIMENTO DE PISOS E PAREDES, E = 2 MM (SEM COLOCACAO)</t>
  </si>
  <si>
    <t>ARGAMASSA POLIMERICA IMPERMEABILIZANTE SEMIFLEXIVEL, BICOMPONENTE (MEMBRANA IMPERMEABILIZANTE ACRILICA)</t>
  </si>
  <si>
    <t>6.95.47</t>
  </si>
  <si>
    <t>REPARO P/VALVULA DESCARGA HIDRA LISA II</t>
  </si>
  <si>
    <t>CUMEEIRA UNIVERSAL PARA TELHA ONDULADA DE FIBROCIMENTO, E = 6 MM, ABA 210 MM, COMPRIMENTO 1100 MM (SEM AMIANTO)</t>
  </si>
  <si>
    <t>PISO EM CERAMICA ESMALTADA EXTRA, PEI MAIOR OU IGUAL A 4, FORMATO MENOR OU IGUAL A 2025 CM2</t>
  </si>
  <si>
    <t>FECHADURA ESPELHO PARA PORTA EXTERNA, EM ACO INOX (MAQUINA, TESTA E CONTRA-TESTA) E EM ZAMAC (MACANETA, LINGUETA E TRINCOS) COM ACABAMENTO CROMADO, MAQUINA DE 40 MM, INCLUINDO CHAVE TIPO CILINDRO</t>
  </si>
  <si>
    <t>ACO CA-50, 8,0 MM, VERGALHAO</t>
  </si>
  <si>
    <t>TRELICA NERVURADA (ESPACADOR), ALTURA = 120,0 MM, DIAMETRO DOS BANZOS INFERIORES E SUPERIOR = 6,0 MM, DIAMETRO DA DIAGONAL = 4,2 MM</t>
  </si>
  <si>
    <t>LIXA D'AGUA EM FOLHA, GRAO 100</t>
  </si>
  <si>
    <t>FUNDO PREPARADOR ACRILICO BASE AGUA</t>
  </si>
  <si>
    <t>IMPERMEABILIZANTE FLEXIVEL BRANCO DE BASE ACRILICA PARA COBERTURAS</t>
  </si>
  <si>
    <t>TUBO PVC, SOLDAVEL, DN 25 MM, AGUA FRIA (NBR-5648)</t>
  </si>
  <si>
    <t>m</t>
  </si>
  <si>
    <t>TUBO PVC, SOLDAVEL, DN 32 MM, AGUA FRIA (NBR-5648)</t>
  </si>
  <si>
    <t>ADESIVO PARA TUBOS CPVC, *75* G</t>
  </si>
  <si>
    <t>ANEL BORRACHA PARA TUBO ESGOTO PREDIAL, DN 50 MM (NBR 5688)</t>
  </si>
  <si>
    <t>LUVA SIMPLES, PVC SERIE R, 100 MM, PARA ESGOTO OU AGUAS PLUVIAIS PREDIAIS</t>
  </si>
  <si>
    <t>LAMPADA LED TUBULAR BIVOLT 18/20 W, BASE G13</t>
  </si>
  <si>
    <t>TE PVC, ROSCAVEL, 90 GRAUS, 1/2", AGUA FRIA PREDIAL</t>
  </si>
  <si>
    <t>VALVULA EM PLASTICO BRANCO PARA TANQUE 1.1/4 " X 1.1/2 ", SEM UNHO E SEM LADRAO</t>
  </si>
  <si>
    <t>JOELHO PPR 45 GRAUS, SOLDAVEL, F/F, DN 50 MM, PARA AQUA QUENTE E FRIA PREDIAL</t>
  </si>
  <si>
    <t>LUVA PVC SOLDAVEL, 32 MM, PARA AGUA FRIA PREDIAL</t>
  </si>
  <si>
    <t>LUVA PVC SOLDAVEL, 60 MM, PARA AGUA FRIA PREDIAL</t>
  </si>
  <si>
    <t>LUVA DE CORRER PARA TUBO SOLDAVEL, PVC, 25 MM, PARA AGUA FRIA PREDIAL</t>
  </si>
  <si>
    <t>LUVA DE CORRER PARA TUBO SOLDAVEL, PVC, 32 MM, PARA AGUA FRIA PREDIAL</t>
  </si>
  <si>
    <t>LUVA DE CORRER PARA TUBO SOLDAVEL, PVC, 60 MM, PARA AGUA FRIA PREDIAL</t>
  </si>
  <si>
    <t>TE PVC, SOLDAVEL, COM ROSCA NA BOLSA CENTRAL, 90 GRAUS, 25 MM X 3/4", PARA AGUA FRIA PREDIAL</t>
  </si>
  <si>
    <t>PINTURA DCSO</t>
  </si>
  <si>
    <t xml:space="preserve"> 88489 </t>
  </si>
  <si>
    <t>PINTURA LÁTEX ACRÍLICA PREMIUM, APLICAÇÃO MANUAL EM PAREDES, DUAS DEMÃOS. AF_04/2023</t>
  </si>
  <si>
    <t>APLICAÇÃO DE FUNDO SELADOR ACRÍLICO EM PAREDES, UMA DEMÃO. AF_06/2014</t>
  </si>
  <si>
    <t>APLICAÇÃO MANUAL DE MASSA ACRÍLICA EM PAREDES EXTERNAS DE CASAS, DUAS DEMÃOS. AF_05/2017</t>
  </si>
  <si>
    <t>PINTURA SALA MUSICALIZAÇÃO</t>
  </si>
  <si>
    <t>Maquina Escavação Poço 01</t>
  </si>
  <si>
    <t>3.5</t>
  </si>
  <si>
    <t>3.6</t>
  </si>
  <si>
    <t>3.7</t>
  </si>
  <si>
    <t>3.8</t>
  </si>
  <si>
    <t>3.9</t>
  </si>
  <si>
    <t>3.10</t>
  </si>
  <si>
    <t>3.11</t>
  </si>
  <si>
    <t>MINICARREGADEIRA SOBRE RODAS, POTÊNCIA LÍQUIDA DE 47 HP, CAPACIDADE NOMINAL DE OPERAÇÃO DE 646 KG - CHP DIURNO. AF_06/2015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</si>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</sst>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8"/>
      <color theme="1"/>
      <name val="Arial"/>
      <family val="2"/>
    </font>
    <font>
      <b/>
      <sz val="8"/>
      <color rgb="FF3F3F3F"/>
      <name val="Arial"/>
      <family val="2"/>
    </font>
    <font>
      <sz val="8"/>
      <color rgb="FF3F3F3F"/>
      <name val="Arial"/>
      <family val="2"/>
    </font>
    <font>
      <b/>
      <sz val="8"/>
      <color theme="1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Arial"/>
      <family val="2"/>
      <charset val="1"/>
    </font>
    <font>
      <b/>
      <sz val="8"/>
      <color theme="8"/>
      <name val="Arial"/>
      <family val="2"/>
    </font>
    <font>
      <sz val="8"/>
      <color rgb="FFFF0000"/>
      <name val="Calibri"/>
      <family val="2"/>
      <scheme val="minor"/>
    </font>
    <font>
      <b/>
      <sz val="8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rgb="FFFFFFFF"/>
      </patternFill>
    </fill>
  </fills>
  <borders count="4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3F3F3F"/>
      </left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0" borderId="0" applyNumberFormat="0" applyFill="0" applyBorder="0" applyAlignment="0" applyProtection="0"/>
    <xf numFmtId="44" fontId="1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5" borderId="1" applyProtection="0"/>
    <xf numFmtId="0" fontId="17" fillId="0" borderId="0" applyBorder="0" applyProtection="0"/>
  </cellStyleXfs>
  <cellXfs count="171">
    <xf numFmtId="0" fontId="0" fillId="0" borderId="0" xfId="0"/>
    <xf numFmtId="0" fontId="4" fillId="2" borderId="9" xfId="1" applyFont="1" applyBorder="1" applyAlignment="1"/>
    <xf numFmtId="0" fontId="5" fillId="2" borderId="9" xfId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4" fillId="2" borderId="26" xfId="1" applyFont="1" applyBorder="1" applyAlignment="1">
      <alignment vertical="center"/>
    </xf>
    <xf numFmtId="0" fontId="4" fillId="2" borderId="18" xfId="1" applyFont="1" applyBorder="1" applyAlignment="1">
      <alignment vertical="center"/>
    </xf>
    <xf numFmtId="0" fontId="4" fillId="2" borderId="26" xfId="1" applyFont="1" applyBorder="1" applyAlignment="1">
      <alignment horizontal="center" vertical="center"/>
    </xf>
    <xf numFmtId="0" fontId="4" fillId="2" borderId="27" xfId="1" applyFont="1" applyBorder="1" applyAlignment="1">
      <alignment horizontal="center" vertical="center"/>
    </xf>
    <xf numFmtId="4" fontId="4" fillId="2" borderId="27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4" xfId="2" applyFont="1" applyBorder="1" applyAlignment="1" applyProtection="1">
      <alignment horizontal="left" vertical="center" wrapText="1"/>
    </xf>
    <xf numFmtId="0" fontId="9" fillId="0" borderId="24" xfId="2" applyFont="1" applyBorder="1" applyAlignment="1" applyProtection="1">
      <alignment horizontal="center" vertical="center"/>
    </xf>
    <xf numFmtId="4" fontId="9" fillId="0" borderId="24" xfId="2" applyNumberFormat="1" applyFont="1" applyBorder="1" applyAlignment="1" applyProtection="1">
      <alignment horizontal="center" vertical="center"/>
    </xf>
    <xf numFmtId="0" fontId="5" fillId="2" borderId="29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9" fillId="0" borderId="24" xfId="1" applyFont="1" applyFill="1" applyBorder="1" applyAlignment="1">
      <alignment horizontal="center" vertical="center"/>
    </xf>
    <xf numFmtId="0" fontId="9" fillId="0" borderId="0" xfId="0" applyFont="1"/>
    <xf numFmtId="0" fontId="9" fillId="0" borderId="24" xfId="2" applyFont="1" applyFill="1" applyBorder="1" applyAlignment="1" applyProtection="1">
      <alignment horizontal="left" vertical="center" wrapText="1"/>
    </xf>
    <xf numFmtId="44" fontId="4" fillId="2" borderId="27" xfId="3" applyFont="1" applyFill="1" applyBorder="1" applyAlignment="1">
      <alignment horizontal="center" vertical="center"/>
    </xf>
    <xf numFmtId="44" fontId="4" fillId="2" borderId="24" xfId="3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4" xfId="0" applyFont="1" applyBorder="1"/>
    <xf numFmtId="0" fontId="13" fillId="0" borderId="24" xfId="4" applyFont="1" applyFill="1" applyBorder="1"/>
    <xf numFmtId="0" fontId="8" fillId="3" borderId="24" xfId="0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5" fillId="0" borderId="0" xfId="0" applyFont="1"/>
    <xf numFmtId="0" fontId="15" fillId="0" borderId="24" xfId="0" applyFont="1" applyBorder="1"/>
    <xf numFmtId="0" fontId="15" fillId="0" borderId="24" xfId="0" applyFont="1" applyBorder="1" applyAlignment="1">
      <alignment vertical="center"/>
    </xf>
    <xf numFmtId="0" fontId="13" fillId="2" borderId="25" xfId="1" applyFont="1" applyBorder="1" applyAlignment="1">
      <alignment horizontal="center" vertical="center"/>
    </xf>
    <xf numFmtId="0" fontId="18" fillId="2" borderId="27" xfId="1" applyFont="1" applyBorder="1" applyAlignment="1">
      <alignment horizontal="center" vertical="center"/>
    </xf>
    <xf numFmtId="44" fontId="18" fillId="2" borderId="27" xfId="3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4" xfId="2" applyFont="1" applyFill="1" applyBorder="1" applyAlignment="1" applyProtection="1">
      <alignment horizontal="left" vertical="center" wrapText="1"/>
    </xf>
    <xf numFmtId="0" fontId="13" fillId="0" borderId="24" xfId="2" applyFont="1" applyBorder="1" applyAlignment="1" applyProtection="1">
      <alignment horizontal="center" vertical="center"/>
    </xf>
    <xf numFmtId="4" fontId="13" fillId="0" borderId="24" xfId="2" applyNumberFormat="1" applyFont="1" applyBorder="1" applyAlignment="1" applyProtection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/>
    </xf>
    <xf numFmtId="4" fontId="13" fillId="0" borderId="24" xfId="2" applyNumberFormat="1" applyFont="1" applyFill="1" applyBorder="1" applyAlignment="1" applyProtection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left" vertical="top" wrapText="1"/>
    </xf>
    <xf numFmtId="0" fontId="20" fillId="2" borderId="24" xfId="1" applyFont="1" applyBorder="1"/>
    <xf numFmtId="0" fontId="18" fillId="0" borderId="39" xfId="0" applyFont="1" applyBorder="1" applyAlignment="1">
      <alignment vertical="top"/>
    </xf>
    <xf numFmtId="0" fontId="21" fillId="0" borderId="11" xfId="0" applyFont="1" applyBorder="1" applyAlignment="1">
      <alignment vertical="top"/>
    </xf>
    <xf numFmtId="0" fontId="13" fillId="0" borderId="24" xfId="1" applyFont="1" applyFill="1" applyBorder="1" applyAlignment="1">
      <alignment horizontal="center" vertical="center"/>
    </xf>
    <xf numFmtId="0" fontId="13" fillId="0" borderId="24" xfId="0" applyFont="1" applyBorder="1"/>
    <xf numFmtId="0" fontId="13" fillId="0" borderId="24" xfId="5" applyFont="1" applyFill="1" applyBorder="1" applyAlignment="1" applyProtection="1">
      <alignment horizontal="center" vertical="center"/>
    </xf>
    <xf numFmtId="0" fontId="13" fillId="0" borderId="24" xfId="0" applyFont="1" applyBorder="1" applyAlignment="1">
      <alignment horizontal="left" vertical="center" wrapText="1"/>
    </xf>
    <xf numFmtId="2" fontId="18" fillId="0" borderId="24" xfId="5" applyNumberFormat="1" applyFont="1" applyFill="1" applyBorder="1" applyAlignment="1" applyProtection="1">
      <alignment horizontal="center" vertical="center"/>
    </xf>
    <xf numFmtId="4" fontId="13" fillId="0" borderId="24" xfId="6" applyNumberFormat="1" applyFont="1" applyBorder="1" applyAlignment="1" applyProtection="1">
      <alignment horizontal="center" vertical="center"/>
    </xf>
    <xf numFmtId="0" fontId="13" fillId="0" borderId="24" xfId="4" applyFont="1" applyFill="1" applyBorder="1" applyAlignment="1">
      <alignment horizontal="left" vertical="center"/>
    </xf>
    <xf numFmtId="0" fontId="13" fillId="0" borderId="0" xfId="4" applyFont="1" applyFill="1" applyBorder="1"/>
    <xf numFmtId="0" fontId="22" fillId="0" borderId="24" xfId="5" applyFont="1" applyFill="1" applyBorder="1" applyAlignment="1" applyProtection="1">
      <alignment horizontal="center" vertical="center"/>
    </xf>
    <xf numFmtId="0" fontId="9" fillId="0" borderId="0" xfId="4" applyFont="1" applyFill="1" applyBorder="1"/>
    <xf numFmtId="0" fontId="13" fillId="0" borderId="0" xfId="4" applyFont="1" applyFill="1" applyBorder="1" applyAlignment="1">
      <alignment horizontal="left" vertical="center"/>
    </xf>
    <xf numFmtId="0" fontId="9" fillId="0" borderId="24" xfId="4" applyFont="1" applyFill="1" applyBorder="1"/>
    <xf numFmtId="0" fontId="15" fillId="0" borderId="0" xfId="0" applyFont="1" applyAlignment="1">
      <alignment vertical="center"/>
    </xf>
    <xf numFmtId="0" fontId="9" fillId="0" borderId="24" xfId="4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top" wrapText="1"/>
    </xf>
    <xf numFmtId="0" fontId="13" fillId="0" borderId="24" xfId="0" applyFont="1" applyBorder="1" applyAlignment="1">
      <alignment horizontal="center" vertical="top" wrapText="1"/>
    </xf>
    <xf numFmtId="4" fontId="23" fillId="0" borderId="24" xfId="2" applyNumberFormat="1" applyFont="1" applyBorder="1" applyAlignment="1" applyProtection="1">
      <alignment horizontal="center" vertical="center"/>
    </xf>
    <xf numFmtId="0" fontId="24" fillId="0" borderId="24" xfId="5" applyFont="1" applyFill="1" applyBorder="1" applyAlignment="1" applyProtection="1">
      <alignment horizontal="center" vertical="center"/>
    </xf>
    <xf numFmtId="2" fontId="23" fillId="0" borderId="24" xfId="1" applyNumberFormat="1" applyFont="1" applyFill="1" applyBorder="1" applyAlignment="1">
      <alignment horizontal="center" vertical="center"/>
    </xf>
    <xf numFmtId="4" fontId="25" fillId="0" borderId="24" xfId="0" applyNumberFormat="1" applyFont="1" applyBorder="1" applyAlignment="1">
      <alignment horizontal="center" vertical="center" wrapText="1"/>
    </xf>
    <xf numFmtId="2" fontId="23" fillId="0" borderId="24" xfId="2" applyNumberFormat="1" applyFont="1" applyBorder="1" applyAlignment="1" applyProtection="1">
      <alignment horizontal="center" vertical="center"/>
    </xf>
    <xf numFmtId="0" fontId="23" fillId="0" borderId="24" xfId="1" applyFont="1" applyFill="1" applyBorder="1" applyAlignment="1">
      <alignment horizontal="center" vertical="center"/>
    </xf>
    <xf numFmtId="2" fontId="25" fillId="0" borderId="24" xfId="5" applyNumberFormat="1" applyFont="1" applyFill="1" applyBorder="1" applyAlignment="1" applyProtection="1">
      <alignment horizontal="center" vertical="center"/>
    </xf>
    <xf numFmtId="4" fontId="21" fillId="0" borderId="24" xfId="0" applyNumberFormat="1" applyFont="1" applyBorder="1" applyAlignment="1">
      <alignment horizontal="center" vertical="center" wrapText="1"/>
    </xf>
    <xf numFmtId="4" fontId="25" fillId="0" borderId="24" xfId="2" applyNumberFormat="1" applyFont="1" applyBorder="1" applyAlignment="1" applyProtection="1">
      <alignment horizontal="center" vertical="center"/>
    </xf>
    <xf numFmtId="4" fontId="25" fillId="4" borderId="15" xfId="0" applyNumberFormat="1" applyFont="1" applyFill="1" applyBorder="1" applyAlignment="1">
      <alignment horizontal="center" vertical="center" wrapText="1"/>
    </xf>
    <xf numFmtId="4" fontId="25" fillId="4" borderId="24" xfId="0" applyNumberFormat="1" applyFont="1" applyFill="1" applyBorder="1" applyAlignment="1">
      <alignment horizontal="center" vertical="center" wrapText="1"/>
    </xf>
    <xf numFmtId="4" fontId="24" fillId="0" borderId="24" xfId="2" applyNumberFormat="1" applyFont="1" applyFill="1" applyBorder="1" applyAlignment="1" applyProtection="1">
      <alignment horizontal="center" vertical="center"/>
    </xf>
    <xf numFmtId="0" fontId="24" fillId="0" borderId="2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5" fillId="2" borderId="30" xfId="1" applyFont="1" applyBorder="1" applyAlignment="1">
      <alignment horizontal="left" vertical="top"/>
    </xf>
    <xf numFmtId="0" fontId="5" fillId="2" borderId="1" xfId="1" applyFont="1" applyAlignment="1">
      <alignment horizontal="left" vertical="top"/>
    </xf>
    <xf numFmtId="0" fontId="5" fillId="2" borderId="1" xfId="1" applyFont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5" fillId="2" borderId="9" xfId="1" applyFont="1" applyBorder="1" applyAlignment="1">
      <alignment horizontal="center" vertical="center" textRotation="90"/>
    </xf>
    <xf numFmtId="0" fontId="5" fillId="2" borderId="34" xfId="1" applyFont="1" applyBorder="1" applyAlignment="1">
      <alignment horizontal="center" vertical="center" textRotation="90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3" fillId="0" borderId="37" xfId="0" applyFont="1" applyBorder="1" applyAlignment="1">
      <alignment horizontal="center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33" xfId="0" applyFont="1" applyBorder="1" applyAlignment="1">
      <alignment horizontal="left" vertical="top" wrapText="1"/>
    </xf>
    <xf numFmtId="0" fontId="3" fillId="0" borderId="39" xfId="0" applyFont="1" applyBorder="1" applyAlignment="1">
      <alignment horizontal="left" vertical="top"/>
    </xf>
    <xf numFmtId="0" fontId="3" fillId="0" borderId="33" xfId="0" applyFont="1" applyBorder="1" applyAlignment="1">
      <alignment horizontal="center" wrapText="1"/>
    </xf>
    <xf numFmtId="0" fontId="3" fillId="0" borderId="33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5" fillId="2" borderId="38" xfId="1" applyFont="1" applyBorder="1" applyAlignment="1">
      <alignment horizontal="left" vertical="center" textRotation="90" wrapText="1"/>
    </xf>
    <xf numFmtId="0" fontId="5" fillId="2" borderId="28" xfId="1" applyFont="1" applyBorder="1" applyAlignment="1">
      <alignment horizontal="left" vertical="center" textRotation="90"/>
    </xf>
    <xf numFmtId="0" fontId="5" fillId="2" borderId="43" xfId="1" applyFont="1" applyBorder="1" applyAlignment="1">
      <alignment horizontal="left" vertical="center" textRotation="90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3" fillId="0" borderId="40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8" fillId="2" borderId="26" xfId="1" applyFont="1" applyBorder="1" applyAlignment="1">
      <alignment horizontal="center" vertical="center"/>
    </xf>
    <xf numFmtId="0" fontId="18" fillId="2" borderId="18" xfId="1" applyFont="1" applyBorder="1" applyAlignment="1">
      <alignment horizontal="center" vertical="center"/>
    </xf>
    <xf numFmtId="0" fontId="18" fillId="2" borderId="44" xfId="1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0" xfId="0" applyFont="1" applyAlignment="1">
      <alignment horizontal="center"/>
    </xf>
    <xf numFmtId="43" fontId="21" fillId="0" borderId="11" xfId="0" applyNumberFormat="1" applyFont="1" applyBorder="1" applyAlignment="1">
      <alignment horizontal="center" vertical="top"/>
    </xf>
    <xf numFmtId="0" fontId="21" fillId="0" borderId="11" xfId="0" applyFont="1" applyBorder="1" applyAlignment="1">
      <alignment horizontal="center" vertical="top"/>
    </xf>
    <xf numFmtId="0" fontId="21" fillId="0" borderId="12" xfId="0" applyFont="1" applyBorder="1" applyAlignment="1">
      <alignment horizontal="center" vertical="top"/>
    </xf>
    <xf numFmtId="0" fontId="3" fillId="0" borderId="19" xfId="0" applyFont="1" applyBorder="1" applyAlignment="1">
      <alignment horizontal="left" vertical="top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4" fontId="18" fillId="0" borderId="16" xfId="2" applyNumberFormat="1" applyFont="1" applyFill="1" applyBorder="1" applyAlignment="1" applyProtection="1">
      <alignment horizontal="left" vertical="center"/>
    </xf>
    <xf numFmtId="4" fontId="18" fillId="0" borderId="14" xfId="2" applyNumberFormat="1" applyFont="1" applyFill="1" applyBorder="1" applyAlignment="1" applyProtection="1">
      <alignment horizontal="left" vertical="center"/>
    </xf>
    <xf numFmtId="4" fontId="18" fillId="0" borderId="15" xfId="2" applyNumberFormat="1" applyFont="1" applyFill="1" applyBorder="1" applyAlignment="1" applyProtection="1">
      <alignment horizontal="left" vertical="center"/>
    </xf>
    <xf numFmtId="4" fontId="18" fillId="0" borderId="24" xfId="2" applyNumberFormat="1" applyFont="1" applyFill="1" applyBorder="1" applyAlignment="1" applyProtection="1">
      <alignment horizontal="left" vertical="center"/>
    </xf>
    <xf numFmtId="0" fontId="5" fillId="2" borderId="28" xfId="1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4" fillId="2" borderId="21" xfId="1" applyFont="1" applyBorder="1" applyAlignment="1">
      <alignment horizontal="center" vertical="center"/>
    </xf>
    <xf numFmtId="0" fontId="4" fillId="2" borderId="24" xfId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5" xfId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5" fillId="2" borderId="1" xfId="1" applyFont="1" applyAlignment="1">
      <alignment horizontal="center"/>
    </xf>
    <xf numFmtId="0" fontId="5" fillId="2" borderId="9" xfId="1" applyFont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43" fontId="15" fillId="0" borderId="0" xfId="0" applyNumberFormat="1" applyFont="1"/>
  </cellXfs>
  <cellStyles count="7">
    <cellStyle name="Excel Built-in Explanatory Text" xfId="6" xr:uid="{00000000-0005-0000-0000-000000000000}"/>
    <cellStyle name="Excel Built-in Output" xfId="5" xr:uid="{00000000-0005-0000-0000-000001000000}"/>
    <cellStyle name="Hiperlink" xfId="4" builtinId="8"/>
    <cellStyle name="Moeda" xfId="3" builtinId="4"/>
    <cellStyle name="Normal" xfId="0" builtinId="0"/>
    <cellStyle name="Saída" xfId="1" builtinId="21"/>
    <cellStyle name="Texto Explicativo" xfId="2" builtinId="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2042772</xdr:colOff>
      <xdr:row>1</xdr:row>
      <xdr:rowOff>96683</xdr:rowOff>
    </xdr:from>
    <xdr:to>
      <xdr:col>4</xdr:col>
      <xdr:colOff>2991910</xdr:colOff>
      <xdr:row>4</xdr:row>
      <xdr:rowOff>179114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0855" y="308350"/>
          <a:ext cx="949138" cy="7174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2022/09%20Setembro/Notas%20Fiscais/NF01%20Jabu%20SA.pdf" TargetMode="External"/><Relationship Id="rId2" Type="http://schemas.openxmlformats.org/officeDocument/2006/relationships/hyperlink" Target="../../2022/10%20Outubro/Notas%20Fiscais/NF%20Taurus%20SA.pdf" TargetMode="External"/><Relationship Id="rId1" Type="http://schemas.openxmlformats.org/officeDocument/2006/relationships/hyperlink" Target="../10%20Out/2022/10%20Outubro/Notas%20Fiscais/NF%20516064%20Jabu%20SA.pdf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../10%20Out/2022/10%20Outubro/Notas%20Fiscais/NF%2099401%20Tauru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9"/>
  <sheetViews>
    <sheetView tabSelected="1" topLeftCell="F102" zoomScale="80" zoomScaleNormal="80" workbookViewId="0">
      <selection activeCell="J110" sqref="J110:N110"/>
    </sheetView>
  </sheetViews>
  <sheetFormatPr defaultRowHeight="15" x14ac:dyDescent="0.25"/>
  <cols>
    <col min="2" max="3" width="10.7109375" customWidth="1"/>
    <col min="4" max="4" width="12.140625" customWidth="1"/>
    <col min="5" max="5" width="66.5703125" customWidth="1"/>
    <col min="6" max="6" width="6.42578125" customWidth="1"/>
    <col min="8" max="8" width="23.7109375" bestFit="1" customWidth="1"/>
    <col min="9" max="9" width="12.42578125" bestFit="1" customWidth="1"/>
    <col min="10" max="10" width="19" bestFit="1" customWidth="1"/>
    <col min="11" max="11" width="18.85546875" bestFit="1" customWidth="1"/>
    <col min="12" max="12" width="29.28515625" bestFit="1" customWidth="1"/>
    <col min="13" max="13" width="18" bestFit="1" customWidth="1"/>
    <col min="14" max="14" width="10.7109375" customWidth="1"/>
    <col min="15" max="15" width="4.7109375" customWidth="1"/>
    <col min="17" max="17" width="9.5703125" bestFit="1" customWidth="1"/>
  </cols>
  <sheetData>
    <row r="1" spans="1:15" ht="17.100000000000001" customHeight="1" x14ac:dyDescent="0.25">
      <c r="A1" s="151" t="s">
        <v>0</v>
      </c>
      <c r="B1" s="152"/>
      <c r="C1" s="152"/>
      <c r="D1" s="152"/>
      <c r="E1" s="152"/>
      <c r="F1" s="152"/>
      <c r="G1" s="152"/>
      <c r="H1" s="152"/>
      <c r="I1" s="153"/>
      <c r="J1" s="160" t="s">
        <v>1</v>
      </c>
      <c r="K1" s="160"/>
      <c r="L1" s="160"/>
      <c r="M1" s="160"/>
      <c r="N1" s="160"/>
      <c r="O1" s="161"/>
    </row>
    <row r="2" spans="1:15" ht="17.100000000000001" customHeight="1" x14ac:dyDescent="0.25">
      <c r="A2" s="154"/>
      <c r="B2" s="155"/>
      <c r="C2" s="155"/>
      <c r="D2" s="155"/>
      <c r="E2" s="155"/>
      <c r="F2" s="155"/>
      <c r="G2" s="155"/>
      <c r="H2" s="155"/>
      <c r="I2" s="156"/>
      <c r="J2" s="162" t="s">
        <v>2</v>
      </c>
      <c r="K2" s="162"/>
      <c r="L2" s="162"/>
      <c r="M2" s="162"/>
      <c r="N2" s="162"/>
      <c r="O2" s="163"/>
    </row>
    <row r="3" spans="1:15" ht="17.100000000000001" customHeight="1" x14ac:dyDescent="0.25">
      <c r="A3" s="154"/>
      <c r="B3" s="155"/>
      <c r="C3" s="155"/>
      <c r="D3" s="155"/>
      <c r="E3" s="155"/>
      <c r="F3" s="155"/>
      <c r="G3" s="155"/>
      <c r="H3" s="155"/>
      <c r="I3" s="156"/>
      <c r="J3" s="162" t="s">
        <v>3</v>
      </c>
      <c r="K3" s="162"/>
      <c r="L3" s="162"/>
      <c r="M3" s="162" t="s">
        <v>4</v>
      </c>
      <c r="N3" s="162"/>
      <c r="O3" s="1"/>
    </row>
    <row r="4" spans="1:15" ht="17.100000000000001" customHeight="1" x14ac:dyDescent="0.25">
      <c r="A4" s="154"/>
      <c r="B4" s="155"/>
      <c r="C4" s="155"/>
      <c r="D4" s="155"/>
      <c r="E4" s="155"/>
      <c r="F4" s="155"/>
      <c r="G4" s="155"/>
      <c r="H4" s="155"/>
      <c r="I4" s="156"/>
      <c r="J4" s="162" t="s">
        <v>5</v>
      </c>
      <c r="K4" s="162"/>
      <c r="L4" s="162"/>
      <c r="M4" s="162" t="s">
        <v>6</v>
      </c>
      <c r="N4" s="162"/>
      <c r="O4" s="2"/>
    </row>
    <row r="5" spans="1:15" ht="17.100000000000001" customHeight="1" x14ac:dyDescent="0.25">
      <c r="A5" s="154"/>
      <c r="B5" s="155"/>
      <c r="C5" s="155"/>
      <c r="D5" s="155"/>
      <c r="E5" s="155"/>
      <c r="F5" s="155"/>
      <c r="G5" s="155"/>
      <c r="H5" s="155"/>
      <c r="I5" s="156"/>
      <c r="J5" s="162" t="s">
        <v>7</v>
      </c>
      <c r="K5" s="162"/>
      <c r="L5" s="162"/>
      <c r="M5" s="162" t="s">
        <v>8</v>
      </c>
      <c r="N5" s="162"/>
      <c r="O5" s="1"/>
    </row>
    <row r="6" spans="1:15" ht="17.100000000000001" customHeight="1" x14ac:dyDescent="0.25">
      <c r="A6" s="157"/>
      <c r="B6" s="158"/>
      <c r="C6" s="158"/>
      <c r="D6" s="158"/>
      <c r="E6" s="158"/>
      <c r="F6" s="158"/>
      <c r="G6" s="158"/>
      <c r="H6" s="158"/>
      <c r="I6" s="159"/>
      <c r="J6" s="162" t="s">
        <v>9</v>
      </c>
      <c r="K6" s="162"/>
      <c r="L6" s="162"/>
      <c r="M6" s="162" t="s">
        <v>10</v>
      </c>
      <c r="N6" s="162"/>
      <c r="O6" s="1"/>
    </row>
    <row r="7" spans="1:15" ht="17.100000000000001" customHeight="1" x14ac:dyDescent="0.25">
      <c r="A7" s="164" t="s">
        <v>11</v>
      </c>
      <c r="B7" s="165"/>
      <c r="C7" s="165"/>
      <c r="D7" s="165"/>
      <c r="E7" s="165"/>
      <c r="F7" s="165"/>
      <c r="G7" s="165"/>
      <c r="H7" s="165"/>
      <c r="I7" s="166"/>
      <c r="J7" s="167" t="s">
        <v>55</v>
      </c>
      <c r="K7" s="168"/>
      <c r="L7" s="168"/>
      <c r="M7" s="168"/>
      <c r="N7" s="169"/>
      <c r="O7" s="89" t="s">
        <v>12</v>
      </c>
    </row>
    <row r="8" spans="1:15" ht="17.100000000000001" customHeight="1" x14ac:dyDescent="0.25">
      <c r="A8" s="118" t="s">
        <v>175</v>
      </c>
      <c r="B8" s="119"/>
      <c r="C8" s="119"/>
      <c r="D8" s="119"/>
      <c r="E8" s="119"/>
      <c r="F8" s="119"/>
      <c r="G8" s="119"/>
      <c r="H8" s="119"/>
      <c r="I8" s="133"/>
      <c r="J8" s="167" t="s">
        <v>13</v>
      </c>
      <c r="K8" s="168"/>
      <c r="L8" s="168"/>
      <c r="M8" s="168"/>
      <c r="N8" s="169"/>
      <c r="O8" s="89"/>
    </row>
    <row r="9" spans="1:15" ht="17.100000000000001" customHeight="1" x14ac:dyDescent="0.25">
      <c r="A9" s="120"/>
      <c r="B9" s="104"/>
      <c r="C9" s="104"/>
      <c r="D9" s="104"/>
      <c r="E9" s="104"/>
      <c r="F9" s="104"/>
      <c r="G9" s="104"/>
      <c r="H9" s="104"/>
      <c r="I9" s="105"/>
      <c r="J9" s="167" t="s">
        <v>14</v>
      </c>
      <c r="K9" s="168"/>
      <c r="L9" s="168"/>
      <c r="M9" s="168"/>
      <c r="N9" s="169"/>
      <c r="O9" s="89"/>
    </row>
    <row r="10" spans="1:15" ht="17.100000000000001" customHeight="1" x14ac:dyDescent="0.25">
      <c r="A10" s="120"/>
      <c r="B10" s="104"/>
      <c r="C10" s="104"/>
      <c r="D10" s="104"/>
      <c r="E10" s="104"/>
      <c r="F10" s="104"/>
      <c r="G10" s="104"/>
      <c r="H10" s="104"/>
      <c r="I10" s="105"/>
      <c r="J10" s="167" t="s">
        <v>15</v>
      </c>
      <c r="K10" s="168"/>
      <c r="L10" s="168"/>
      <c r="M10" s="168"/>
      <c r="N10" s="169"/>
      <c r="O10" s="89"/>
    </row>
    <row r="11" spans="1:15" ht="17.100000000000001" customHeight="1" x14ac:dyDescent="0.25">
      <c r="A11" s="120"/>
      <c r="B11" s="104"/>
      <c r="C11" s="104"/>
      <c r="D11" s="104"/>
      <c r="E11" s="104"/>
      <c r="F11" s="104"/>
      <c r="G11" s="104"/>
      <c r="H11" s="104"/>
      <c r="I11" s="105"/>
      <c r="J11" s="167" t="s">
        <v>54</v>
      </c>
      <c r="K11" s="168"/>
      <c r="L11" s="168"/>
      <c r="M11" s="168"/>
      <c r="N11" s="169"/>
      <c r="O11" s="89"/>
    </row>
    <row r="12" spans="1:15" ht="17.100000000000001" customHeight="1" x14ac:dyDescent="0.25">
      <c r="A12" s="120"/>
      <c r="B12" s="104"/>
      <c r="C12" s="104"/>
      <c r="D12" s="104"/>
      <c r="E12" s="104"/>
      <c r="F12" s="104"/>
      <c r="G12" s="104"/>
      <c r="H12" s="104"/>
      <c r="I12" s="105"/>
      <c r="J12" s="167" t="s">
        <v>98</v>
      </c>
      <c r="K12" s="168"/>
      <c r="L12" s="168"/>
      <c r="M12" s="168"/>
      <c r="N12" s="169"/>
      <c r="O12" s="89"/>
    </row>
    <row r="13" spans="1:15" ht="17.100000000000001" customHeight="1" x14ac:dyDescent="0.25">
      <c r="A13" s="106"/>
      <c r="B13" s="107"/>
      <c r="C13" s="107"/>
      <c r="D13" s="107"/>
      <c r="E13" s="107"/>
      <c r="F13" s="107"/>
      <c r="G13" s="107"/>
      <c r="H13" s="107"/>
      <c r="I13" s="108"/>
      <c r="J13" s="167" t="s">
        <v>97</v>
      </c>
      <c r="K13" s="168"/>
      <c r="L13" s="168"/>
      <c r="M13" s="168"/>
      <c r="N13" s="169"/>
      <c r="O13" s="89"/>
    </row>
    <row r="14" spans="1:15" ht="17.100000000000001" customHeight="1" x14ac:dyDescent="0.25">
      <c r="A14" s="141" t="s">
        <v>16</v>
      </c>
      <c r="B14" s="143" t="s">
        <v>17</v>
      </c>
      <c r="C14" s="143" t="s">
        <v>18</v>
      </c>
      <c r="D14" s="143" t="s">
        <v>19</v>
      </c>
      <c r="E14" s="143" t="s">
        <v>20</v>
      </c>
      <c r="F14" s="143" t="s">
        <v>21</v>
      </c>
      <c r="G14" s="143" t="s">
        <v>22</v>
      </c>
      <c r="H14" s="145" t="s">
        <v>23</v>
      </c>
      <c r="I14" s="145"/>
      <c r="J14" s="145"/>
      <c r="K14" s="145"/>
      <c r="L14" s="146"/>
      <c r="M14" s="143" t="s">
        <v>24</v>
      </c>
      <c r="N14" s="143" t="s">
        <v>25</v>
      </c>
      <c r="O14" s="89" t="s">
        <v>26</v>
      </c>
    </row>
    <row r="15" spans="1:15" ht="17.100000000000001" customHeight="1" x14ac:dyDescent="0.25">
      <c r="A15" s="142"/>
      <c r="B15" s="144"/>
      <c r="C15" s="144"/>
      <c r="D15" s="144"/>
      <c r="E15" s="144"/>
      <c r="F15" s="144"/>
      <c r="G15" s="144"/>
      <c r="H15" s="3" t="s">
        <v>27</v>
      </c>
      <c r="I15" s="4" t="s">
        <v>28</v>
      </c>
      <c r="J15" s="3" t="s">
        <v>29</v>
      </c>
      <c r="K15" s="4" t="s">
        <v>56</v>
      </c>
      <c r="L15" s="3" t="s">
        <v>30</v>
      </c>
      <c r="M15" s="144"/>
      <c r="N15" s="144"/>
      <c r="O15" s="89"/>
    </row>
    <row r="16" spans="1:15" ht="17.100000000000001" customHeight="1" x14ac:dyDescent="0.25">
      <c r="A16" s="5">
        <v>1</v>
      </c>
      <c r="B16" s="6"/>
      <c r="C16" s="7"/>
      <c r="D16" s="7"/>
      <c r="E16" s="8" t="s">
        <v>31</v>
      </c>
      <c r="F16" s="9"/>
      <c r="G16" s="9"/>
      <c r="H16" s="9"/>
      <c r="I16" s="9"/>
      <c r="J16" s="9"/>
      <c r="K16" s="9"/>
      <c r="L16" s="9"/>
      <c r="M16" s="21">
        <f>SUM(M17:M28)</f>
        <v>81102.408160144812</v>
      </c>
      <c r="N16" s="10">
        <f>SUM(N17:N28)</f>
        <v>1</v>
      </c>
      <c r="O16" s="89"/>
    </row>
    <row r="17" spans="1:15" ht="26.25" customHeight="1" x14ac:dyDescent="0.25">
      <c r="A17" s="17" t="s">
        <v>32</v>
      </c>
      <c r="B17" s="17" t="s">
        <v>33</v>
      </c>
      <c r="C17" s="11" t="s">
        <v>66</v>
      </c>
      <c r="D17" s="11" t="s">
        <v>34</v>
      </c>
      <c r="E17" s="20" t="s">
        <v>67</v>
      </c>
      <c r="F17" s="13" t="s">
        <v>35</v>
      </c>
      <c r="G17" s="17">
        <v>193</v>
      </c>
      <c r="H17" s="64">
        <v>38.46</v>
      </c>
      <c r="I17" s="14">
        <f>H17*0.2232</f>
        <v>8.5842720000000003</v>
      </c>
      <c r="J17" s="14">
        <f>H17+I17</f>
        <v>47.044271999999999</v>
      </c>
      <c r="K17" s="14">
        <f>J17*(0.03%)</f>
        <v>1.4113281599999999E-2</v>
      </c>
      <c r="L17" s="14">
        <f>J17-K17</f>
        <v>47.030158718400003</v>
      </c>
      <c r="M17" s="14">
        <f>L17*G17</f>
        <v>9076.8206326512009</v>
      </c>
      <c r="N17" s="14">
        <f>M17/M$16</f>
        <v>0.11191801622866872</v>
      </c>
      <c r="O17" s="140"/>
    </row>
    <row r="18" spans="1:15" ht="26.25" customHeight="1" x14ac:dyDescent="0.25">
      <c r="A18" s="17" t="s">
        <v>70</v>
      </c>
      <c r="B18" s="17" t="s">
        <v>33</v>
      </c>
      <c r="C18" s="11" t="s">
        <v>58</v>
      </c>
      <c r="D18" s="11" t="s">
        <v>34</v>
      </c>
      <c r="E18" s="20" t="s">
        <v>59</v>
      </c>
      <c r="F18" s="13" t="s">
        <v>35</v>
      </c>
      <c r="G18" s="17">
        <v>193</v>
      </c>
      <c r="H18" s="64">
        <v>33.25</v>
      </c>
      <c r="I18" s="14">
        <f t="shared" ref="I18:I28" si="0">H18*0.2232</f>
        <v>7.4214000000000002</v>
      </c>
      <c r="J18" s="14">
        <f t="shared" ref="J18:J28" si="1">H18+I18</f>
        <v>40.671399999999998</v>
      </c>
      <c r="K18" s="14">
        <f t="shared" ref="K18:K28" si="2">J18*(0.03%)</f>
        <v>1.2201419999999999E-2</v>
      </c>
      <c r="L18" s="14">
        <f t="shared" ref="L18:L28" si="3">J18-K18</f>
        <v>40.659198580000002</v>
      </c>
      <c r="M18" s="14">
        <f t="shared" ref="M18:M28" si="4">L18*G18</f>
        <v>7847.2253259400004</v>
      </c>
      <c r="N18" s="14">
        <f t="shared" ref="N18:N28" si="5">M18/M$16</f>
        <v>9.6756995309496482E-2</v>
      </c>
      <c r="O18" s="140"/>
    </row>
    <row r="19" spans="1:15" ht="26.25" customHeight="1" x14ac:dyDescent="0.25">
      <c r="A19" s="17" t="s">
        <v>71</v>
      </c>
      <c r="B19" s="17" t="s">
        <v>33</v>
      </c>
      <c r="C19" s="11" t="s">
        <v>58</v>
      </c>
      <c r="D19" s="11" t="s">
        <v>34</v>
      </c>
      <c r="E19" s="20" t="s">
        <v>59</v>
      </c>
      <c r="F19" s="13" t="s">
        <v>35</v>
      </c>
      <c r="G19" s="17">
        <v>180</v>
      </c>
      <c r="H19" s="64">
        <v>33.25</v>
      </c>
      <c r="I19" s="14">
        <f t="shared" si="0"/>
        <v>7.4214000000000002</v>
      </c>
      <c r="J19" s="14">
        <f t="shared" si="1"/>
        <v>40.671399999999998</v>
      </c>
      <c r="K19" s="14">
        <f t="shared" si="2"/>
        <v>1.2201419999999999E-2</v>
      </c>
      <c r="L19" s="14">
        <f t="shared" si="3"/>
        <v>40.659198580000002</v>
      </c>
      <c r="M19" s="14">
        <f t="shared" si="4"/>
        <v>7318.6557444</v>
      </c>
      <c r="N19" s="14">
        <f t="shared" si="5"/>
        <v>9.0239684744608112E-2</v>
      </c>
      <c r="O19" s="140"/>
    </row>
    <row r="20" spans="1:15" ht="26.25" customHeight="1" x14ac:dyDescent="0.25">
      <c r="A20" s="17" t="s">
        <v>72</v>
      </c>
      <c r="B20" s="17" t="s">
        <v>33</v>
      </c>
      <c r="C20" s="11" t="s">
        <v>60</v>
      </c>
      <c r="D20" s="11" t="s">
        <v>34</v>
      </c>
      <c r="E20" s="20" t="s">
        <v>61</v>
      </c>
      <c r="F20" s="13" t="s">
        <v>35</v>
      </c>
      <c r="G20" s="17">
        <v>193</v>
      </c>
      <c r="H20" s="64">
        <v>28.58</v>
      </c>
      <c r="I20" s="14">
        <f t="shared" si="0"/>
        <v>6.3790560000000003</v>
      </c>
      <c r="J20" s="14">
        <f t="shared" si="1"/>
        <v>34.959055999999997</v>
      </c>
      <c r="K20" s="14">
        <f t="shared" si="2"/>
        <v>1.0487716799999998E-2</v>
      </c>
      <c r="L20" s="14">
        <f t="shared" si="3"/>
        <v>34.948568283199997</v>
      </c>
      <c r="M20" s="14">
        <f t="shared" si="4"/>
        <v>6745.073678657599</v>
      </c>
      <c r="N20" s="14">
        <f t="shared" si="5"/>
        <v>8.3167366193846876E-2</v>
      </c>
      <c r="O20" s="140"/>
    </row>
    <row r="21" spans="1:15" ht="26.25" customHeight="1" x14ac:dyDescent="0.25">
      <c r="A21" s="17" t="s">
        <v>73</v>
      </c>
      <c r="B21" s="17" t="s">
        <v>33</v>
      </c>
      <c r="C21" s="11" t="s">
        <v>60</v>
      </c>
      <c r="D21" s="11" t="s">
        <v>34</v>
      </c>
      <c r="E21" s="20" t="s">
        <v>61</v>
      </c>
      <c r="F21" s="13" t="s">
        <v>35</v>
      </c>
      <c r="G21" s="17">
        <v>180</v>
      </c>
      <c r="H21" s="64">
        <v>28.58</v>
      </c>
      <c r="I21" s="14">
        <f t="shared" si="0"/>
        <v>6.3790560000000003</v>
      </c>
      <c r="J21" s="14">
        <f t="shared" si="1"/>
        <v>34.959055999999997</v>
      </c>
      <c r="K21" s="14">
        <f t="shared" si="2"/>
        <v>1.0487716799999998E-2</v>
      </c>
      <c r="L21" s="14">
        <f t="shared" si="3"/>
        <v>34.948568283199997</v>
      </c>
      <c r="M21" s="14">
        <f t="shared" si="4"/>
        <v>6290.7422909759998</v>
      </c>
      <c r="N21" s="14">
        <f t="shared" si="5"/>
        <v>7.756541924814736E-2</v>
      </c>
      <c r="O21" s="140"/>
    </row>
    <row r="22" spans="1:15" ht="26.25" customHeight="1" x14ac:dyDescent="0.25">
      <c r="A22" s="17" t="s">
        <v>74</v>
      </c>
      <c r="B22" s="17" t="s">
        <v>33</v>
      </c>
      <c r="C22" s="11" t="s">
        <v>62</v>
      </c>
      <c r="D22" s="11" t="s">
        <v>34</v>
      </c>
      <c r="E22" s="20" t="s">
        <v>63</v>
      </c>
      <c r="F22" s="13" t="s">
        <v>35</v>
      </c>
      <c r="G22" s="17">
        <v>180</v>
      </c>
      <c r="H22" s="64">
        <v>31.59</v>
      </c>
      <c r="I22" s="14">
        <f t="shared" si="0"/>
        <v>7.0508880000000005</v>
      </c>
      <c r="J22" s="14">
        <f t="shared" si="1"/>
        <v>38.640888000000004</v>
      </c>
      <c r="K22" s="14">
        <f t="shared" si="2"/>
        <v>1.1592266400000001E-2</v>
      </c>
      <c r="L22" s="14">
        <f t="shared" si="3"/>
        <v>38.629295733600003</v>
      </c>
      <c r="M22" s="14">
        <f t="shared" si="4"/>
        <v>6953.2732320480009</v>
      </c>
      <c r="N22" s="14">
        <f t="shared" si="5"/>
        <v>8.5734485446080311E-2</v>
      </c>
      <c r="O22" s="140"/>
    </row>
    <row r="23" spans="1:15" ht="26.25" customHeight="1" x14ac:dyDescent="0.25">
      <c r="A23" s="17" t="s">
        <v>75</v>
      </c>
      <c r="B23" s="17" t="s">
        <v>33</v>
      </c>
      <c r="C23" s="11" t="s">
        <v>62</v>
      </c>
      <c r="D23" s="11" t="s">
        <v>34</v>
      </c>
      <c r="E23" s="20" t="s">
        <v>63</v>
      </c>
      <c r="F23" s="13" t="s">
        <v>35</v>
      </c>
      <c r="G23" s="17">
        <v>180</v>
      </c>
      <c r="H23" s="64">
        <v>31.59</v>
      </c>
      <c r="I23" s="14">
        <f t="shared" si="0"/>
        <v>7.0508880000000005</v>
      </c>
      <c r="J23" s="14">
        <f t="shared" si="1"/>
        <v>38.640888000000004</v>
      </c>
      <c r="K23" s="14">
        <f t="shared" si="2"/>
        <v>1.1592266400000001E-2</v>
      </c>
      <c r="L23" s="14">
        <f t="shared" si="3"/>
        <v>38.629295733600003</v>
      </c>
      <c r="M23" s="14">
        <f t="shared" si="4"/>
        <v>6953.2732320480009</v>
      </c>
      <c r="N23" s="14">
        <f t="shared" si="5"/>
        <v>8.5734485446080311E-2</v>
      </c>
      <c r="O23" s="140"/>
    </row>
    <row r="24" spans="1:15" ht="26.25" customHeight="1" x14ac:dyDescent="0.25">
      <c r="A24" s="17" t="s">
        <v>76</v>
      </c>
      <c r="B24" s="17" t="s">
        <v>33</v>
      </c>
      <c r="C24" s="11" t="s">
        <v>64</v>
      </c>
      <c r="D24" s="11" t="s">
        <v>34</v>
      </c>
      <c r="E24" s="20" t="s">
        <v>65</v>
      </c>
      <c r="F24" s="13" t="s">
        <v>35</v>
      </c>
      <c r="G24" s="17">
        <v>180</v>
      </c>
      <c r="H24" s="64">
        <v>27.2</v>
      </c>
      <c r="I24" s="14">
        <f t="shared" si="0"/>
        <v>6.07104</v>
      </c>
      <c r="J24" s="14">
        <f t="shared" si="1"/>
        <v>33.271039999999999</v>
      </c>
      <c r="K24" s="14">
        <f t="shared" si="2"/>
        <v>9.9813119999999991E-3</v>
      </c>
      <c r="L24" s="14">
        <f t="shared" si="3"/>
        <v>33.261058687999999</v>
      </c>
      <c r="M24" s="14">
        <f t="shared" si="4"/>
        <v>5986.9905638399996</v>
      </c>
      <c r="N24" s="14">
        <f t="shared" si="5"/>
        <v>7.3820133084310985E-2</v>
      </c>
      <c r="O24" s="140"/>
    </row>
    <row r="25" spans="1:15" ht="26.25" customHeight="1" x14ac:dyDescent="0.25">
      <c r="A25" s="17" t="s">
        <v>77</v>
      </c>
      <c r="B25" s="17" t="s">
        <v>33</v>
      </c>
      <c r="C25" s="11" t="s">
        <v>64</v>
      </c>
      <c r="D25" s="11" t="s">
        <v>34</v>
      </c>
      <c r="E25" s="20" t="s">
        <v>65</v>
      </c>
      <c r="F25" s="13" t="s">
        <v>35</v>
      </c>
      <c r="G25" s="17">
        <v>180</v>
      </c>
      <c r="H25" s="64">
        <v>27.2</v>
      </c>
      <c r="I25" s="14">
        <f t="shared" si="0"/>
        <v>6.07104</v>
      </c>
      <c r="J25" s="14">
        <f t="shared" si="1"/>
        <v>33.271039999999999</v>
      </c>
      <c r="K25" s="14">
        <f t="shared" si="2"/>
        <v>9.9813119999999991E-3</v>
      </c>
      <c r="L25" s="14">
        <f t="shared" si="3"/>
        <v>33.261058687999999</v>
      </c>
      <c r="M25" s="14">
        <f t="shared" si="4"/>
        <v>5986.9905638399996</v>
      </c>
      <c r="N25" s="14">
        <f t="shared" si="5"/>
        <v>7.3820133084310985E-2</v>
      </c>
      <c r="O25" s="140"/>
    </row>
    <row r="26" spans="1:15" ht="26.25" customHeight="1" x14ac:dyDescent="0.25">
      <c r="A26" s="17" t="s">
        <v>78</v>
      </c>
      <c r="B26" s="17" t="s">
        <v>33</v>
      </c>
      <c r="C26" s="11" t="s">
        <v>64</v>
      </c>
      <c r="D26" s="11" t="s">
        <v>34</v>
      </c>
      <c r="E26" s="20" t="s">
        <v>65</v>
      </c>
      <c r="F26" s="13" t="s">
        <v>35</v>
      </c>
      <c r="G26" s="17">
        <v>180</v>
      </c>
      <c r="H26" s="64">
        <v>27.2</v>
      </c>
      <c r="I26" s="14">
        <f t="shared" si="0"/>
        <v>6.07104</v>
      </c>
      <c r="J26" s="14">
        <f t="shared" si="1"/>
        <v>33.271039999999999</v>
      </c>
      <c r="K26" s="14">
        <f t="shared" si="2"/>
        <v>9.9813119999999991E-3</v>
      </c>
      <c r="L26" s="14">
        <f t="shared" si="3"/>
        <v>33.261058687999999</v>
      </c>
      <c r="M26" s="14">
        <f t="shared" si="4"/>
        <v>5986.9905638399996</v>
      </c>
      <c r="N26" s="14">
        <f t="shared" si="5"/>
        <v>7.3820133084310985E-2</v>
      </c>
      <c r="O26" s="140"/>
    </row>
    <row r="27" spans="1:15" ht="26.25" customHeight="1" x14ac:dyDescent="0.25">
      <c r="A27" s="17" t="s">
        <v>79</v>
      </c>
      <c r="B27" s="17" t="s">
        <v>33</v>
      </c>
      <c r="C27" s="11" t="s">
        <v>68</v>
      </c>
      <c r="D27" s="11" t="s">
        <v>34</v>
      </c>
      <c r="E27" s="12" t="s">
        <v>69</v>
      </c>
      <c r="F27" s="13" t="s">
        <v>35</v>
      </c>
      <c r="G27" s="17">
        <v>180</v>
      </c>
      <c r="H27" s="64">
        <v>27.16</v>
      </c>
      <c r="I27" s="14">
        <f t="shared" si="0"/>
        <v>6.0621119999999999</v>
      </c>
      <c r="J27" s="14">
        <f t="shared" si="1"/>
        <v>33.222112000000003</v>
      </c>
      <c r="K27" s="14">
        <f t="shared" si="2"/>
        <v>9.9666336000000001E-3</v>
      </c>
      <c r="L27" s="14">
        <f t="shared" si="3"/>
        <v>33.212145366400001</v>
      </c>
      <c r="M27" s="14">
        <f t="shared" si="4"/>
        <v>5978.186165952</v>
      </c>
      <c r="N27" s="14">
        <f t="shared" si="5"/>
        <v>7.3711574065069355E-2</v>
      </c>
      <c r="O27" s="140"/>
    </row>
    <row r="28" spans="1:15" ht="26.25" customHeight="1" x14ac:dyDescent="0.25">
      <c r="A28" s="17" t="s">
        <v>80</v>
      </c>
      <c r="B28" s="17" t="s">
        <v>33</v>
      </c>
      <c r="C28" s="11" t="s">
        <v>68</v>
      </c>
      <c r="D28" s="11" t="s">
        <v>34</v>
      </c>
      <c r="E28" s="12" t="s">
        <v>69</v>
      </c>
      <c r="F28" s="13" t="s">
        <v>35</v>
      </c>
      <c r="G28" s="17">
        <v>180</v>
      </c>
      <c r="H28" s="64">
        <v>27.16</v>
      </c>
      <c r="I28" s="14">
        <f t="shared" si="0"/>
        <v>6.0621119999999999</v>
      </c>
      <c r="J28" s="14">
        <f t="shared" si="1"/>
        <v>33.222112000000003</v>
      </c>
      <c r="K28" s="14">
        <f t="shared" si="2"/>
        <v>9.9666336000000001E-3</v>
      </c>
      <c r="L28" s="14">
        <f t="shared" si="3"/>
        <v>33.212145366400001</v>
      </c>
      <c r="M28" s="14">
        <f t="shared" si="4"/>
        <v>5978.186165952</v>
      </c>
      <c r="N28" s="14">
        <f t="shared" si="5"/>
        <v>7.3711574065069355E-2</v>
      </c>
      <c r="O28" s="140"/>
    </row>
    <row r="29" spans="1:15" x14ac:dyDescent="0.25">
      <c r="A29" s="141" t="s">
        <v>16</v>
      </c>
      <c r="B29" s="143" t="s">
        <v>17</v>
      </c>
      <c r="C29" s="143" t="s">
        <v>18</v>
      </c>
      <c r="D29" s="143" t="s">
        <v>19</v>
      </c>
      <c r="E29" s="143" t="s">
        <v>20</v>
      </c>
      <c r="F29" s="143" t="s">
        <v>21</v>
      </c>
      <c r="G29" s="143" t="s">
        <v>22</v>
      </c>
      <c r="H29" s="145" t="s">
        <v>23</v>
      </c>
      <c r="I29" s="145"/>
      <c r="J29" s="145"/>
      <c r="K29" s="145"/>
      <c r="L29" s="146"/>
      <c r="M29" s="143" t="s">
        <v>24</v>
      </c>
      <c r="N29" s="143" t="s">
        <v>25</v>
      </c>
      <c r="O29" s="140"/>
    </row>
    <row r="30" spans="1:15" ht="17.100000000000001" customHeight="1" x14ac:dyDescent="0.25">
      <c r="A30" s="142"/>
      <c r="B30" s="144"/>
      <c r="C30" s="144"/>
      <c r="D30" s="144"/>
      <c r="E30" s="144"/>
      <c r="F30" s="144"/>
      <c r="G30" s="144"/>
      <c r="H30" s="3" t="s">
        <v>27</v>
      </c>
      <c r="I30" s="26" t="s">
        <v>36</v>
      </c>
      <c r="J30" s="3" t="s">
        <v>29</v>
      </c>
      <c r="K30" s="4" t="s">
        <v>56</v>
      </c>
      <c r="L30" s="3" t="s">
        <v>30</v>
      </c>
      <c r="M30" s="144"/>
      <c r="N30" s="144"/>
      <c r="O30" s="89"/>
    </row>
    <row r="31" spans="1:15" ht="17.100000000000001" customHeight="1" x14ac:dyDescent="0.25">
      <c r="A31" s="15">
        <v>2</v>
      </c>
      <c r="B31" s="147" t="s">
        <v>37</v>
      </c>
      <c r="C31" s="147"/>
      <c r="D31" s="148"/>
      <c r="E31" s="148"/>
      <c r="F31" s="148"/>
      <c r="G31" s="16"/>
      <c r="H31" s="16"/>
      <c r="I31" s="16"/>
      <c r="J31" s="16"/>
      <c r="K31" s="16"/>
      <c r="L31" s="16"/>
      <c r="M31" s="22">
        <f>SUM(M32:M89)</f>
        <v>35818.261962400305</v>
      </c>
      <c r="N31" s="16"/>
      <c r="O31" s="140"/>
    </row>
    <row r="32" spans="1:15" s="19" customFormat="1" ht="17.100000000000001" customHeight="1" x14ac:dyDescent="0.2">
      <c r="A32" s="18" t="s">
        <v>50</v>
      </c>
      <c r="B32" s="18" t="s">
        <v>53</v>
      </c>
      <c r="C32" s="18">
        <v>4823</v>
      </c>
      <c r="D32" s="18" t="s">
        <v>34</v>
      </c>
      <c r="E32" s="32" t="s">
        <v>118</v>
      </c>
      <c r="F32" s="18" t="s">
        <v>119</v>
      </c>
      <c r="G32" s="18">
        <v>5</v>
      </c>
      <c r="H32" s="66">
        <v>42.01</v>
      </c>
      <c r="I32" s="14">
        <f t="shared" ref="I32:I38" si="6">H32*0.1532</f>
        <v>6.4359320000000002</v>
      </c>
      <c r="J32" s="14">
        <f t="shared" ref="J32:J34" si="7">H32+I32</f>
        <v>48.445931999999999</v>
      </c>
      <c r="K32" s="14">
        <f t="shared" ref="K32:K34" si="8">J32*(0.03%)</f>
        <v>1.4533779599999998E-2</v>
      </c>
      <c r="L32" s="14">
        <f t="shared" ref="L32:L34" si="9">J32-K32</f>
        <v>48.431398220399998</v>
      </c>
      <c r="M32" s="14">
        <f t="shared" ref="M32:M34" si="10">L32*G32</f>
        <v>242.15699110200001</v>
      </c>
      <c r="N32" s="14">
        <f>M32/M31</f>
        <v>6.7607130506834963E-3</v>
      </c>
      <c r="O32" s="140"/>
    </row>
    <row r="33" spans="1:15" s="19" customFormat="1" ht="17.100000000000001" customHeight="1" x14ac:dyDescent="0.2">
      <c r="A33" s="18" t="s">
        <v>51</v>
      </c>
      <c r="B33" s="18" t="s">
        <v>53</v>
      </c>
      <c r="C33" s="18">
        <v>11681</v>
      </c>
      <c r="D33" s="18" t="s">
        <v>34</v>
      </c>
      <c r="E33" s="32" t="s">
        <v>105</v>
      </c>
      <c r="F33" s="18" t="s">
        <v>21</v>
      </c>
      <c r="G33" s="18">
        <v>10</v>
      </c>
      <c r="H33" s="66">
        <v>8.24</v>
      </c>
      <c r="I33" s="14">
        <f t="shared" si="6"/>
        <v>1.2623680000000002</v>
      </c>
      <c r="J33" s="14">
        <f t="shared" si="7"/>
        <v>9.5023680000000006</v>
      </c>
      <c r="K33" s="14">
        <f t="shared" si="8"/>
        <v>2.8507103999999999E-3</v>
      </c>
      <c r="L33" s="14">
        <f t="shared" si="9"/>
        <v>9.4995172896</v>
      </c>
      <c r="M33" s="14">
        <f t="shared" si="10"/>
        <v>94.995172896</v>
      </c>
      <c r="N33" s="14">
        <f t="shared" ref="N33:N40" si="11">M33/M32</f>
        <v>0.39228755058319448</v>
      </c>
      <c r="O33" s="140"/>
    </row>
    <row r="34" spans="1:15" s="30" customFormat="1" ht="16.5" customHeight="1" x14ac:dyDescent="0.2">
      <c r="A34" s="18" t="s">
        <v>52</v>
      </c>
      <c r="B34" s="18" t="s">
        <v>53</v>
      </c>
      <c r="C34" s="40">
        <v>37588</v>
      </c>
      <c r="D34" s="18" t="s">
        <v>34</v>
      </c>
      <c r="E34" s="41" t="s">
        <v>121</v>
      </c>
      <c r="F34" s="18" t="s">
        <v>21</v>
      </c>
      <c r="G34" s="40">
        <v>5</v>
      </c>
      <c r="H34" s="67">
        <v>51.9</v>
      </c>
      <c r="I34" s="14">
        <f t="shared" si="6"/>
        <v>7.9510800000000001</v>
      </c>
      <c r="J34" s="14">
        <f t="shared" si="7"/>
        <v>59.851079999999996</v>
      </c>
      <c r="K34" s="14">
        <f t="shared" si="8"/>
        <v>1.7955323999999998E-2</v>
      </c>
      <c r="L34" s="14">
        <f t="shared" si="9"/>
        <v>59.833124675999997</v>
      </c>
      <c r="M34" s="14">
        <f t="shared" si="10"/>
        <v>299.16562338</v>
      </c>
      <c r="N34" s="14">
        <f t="shared" si="11"/>
        <v>3.1492718446601944</v>
      </c>
      <c r="O34" s="140"/>
    </row>
    <row r="35" spans="1:15" s="19" customFormat="1" ht="17.100000000000001" customHeight="1" x14ac:dyDescent="0.2">
      <c r="A35" s="18" t="s">
        <v>150</v>
      </c>
      <c r="B35" s="18" t="s">
        <v>53</v>
      </c>
      <c r="C35" s="23">
        <v>377</v>
      </c>
      <c r="D35" s="18" t="s">
        <v>34</v>
      </c>
      <c r="E35" s="25" t="s">
        <v>110</v>
      </c>
      <c r="F35" s="18" t="s">
        <v>21</v>
      </c>
      <c r="G35" s="18">
        <v>20</v>
      </c>
      <c r="H35" s="68">
        <v>41.71</v>
      </c>
      <c r="I35" s="14">
        <f t="shared" si="6"/>
        <v>6.3899720000000002</v>
      </c>
      <c r="J35" s="14">
        <f t="shared" ref="J35:J39" si="12">H35+I35</f>
        <v>48.099972000000001</v>
      </c>
      <c r="K35" s="14">
        <f t="shared" ref="K35:K39" si="13">J35*(0.03%)</f>
        <v>1.4429991599999999E-2</v>
      </c>
      <c r="L35" s="14">
        <f t="shared" ref="L35:L39" si="14">J35-K35</f>
        <v>48.085542008400004</v>
      </c>
      <c r="M35" s="14">
        <f t="shared" ref="M35:M39" si="15">L35*G35</f>
        <v>961.71084016800012</v>
      </c>
      <c r="N35" s="14">
        <f t="shared" si="11"/>
        <v>3.214643545279384</v>
      </c>
      <c r="O35" s="140"/>
    </row>
    <row r="36" spans="1:15" s="19" customFormat="1" ht="17.100000000000001" customHeight="1" x14ac:dyDescent="0.2">
      <c r="A36" s="18" t="s">
        <v>151</v>
      </c>
      <c r="B36" s="18" t="s">
        <v>53</v>
      </c>
      <c r="C36" s="18">
        <v>43132</v>
      </c>
      <c r="D36" s="18" t="s">
        <v>34</v>
      </c>
      <c r="E36" s="25" t="s">
        <v>130</v>
      </c>
      <c r="F36" s="18" t="s">
        <v>131</v>
      </c>
      <c r="G36" s="18">
        <v>5</v>
      </c>
      <c r="H36" s="66">
        <v>23.18</v>
      </c>
      <c r="I36" s="14">
        <f t="shared" si="6"/>
        <v>3.5511759999999999</v>
      </c>
      <c r="J36" s="14">
        <f t="shared" si="12"/>
        <v>26.731175999999998</v>
      </c>
      <c r="K36" s="14">
        <f t="shared" si="13"/>
        <v>8.019352799999999E-3</v>
      </c>
      <c r="L36" s="14">
        <f t="shared" si="14"/>
        <v>26.723156647199996</v>
      </c>
      <c r="M36" s="14">
        <f t="shared" si="15"/>
        <v>133.61578323599997</v>
      </c>
      <c r="N36" s="14">
        <f t="shared" si="11"/>
        <v>0.1389355070726444</v>
      </c>
      <c r="O36" s="140"/>
    </row>
    <row r="37" spans="1:15" s="19" customFormat="1" ht="17.100000000000001" customHeight="1" x14ac:dyDescent="0.2">
      <c r="A37" s="18" t="s">
        <v>152</v>
      </c>
      <c r="B37" s="18" t="s">
        <v>53</v>
      </c>
      <c r="C37" s="18">
        <v>1379</v>
      </c>
      <c r="D37" s="18" t="s">
        <v>34</v>
      </c>
      <c r="E37" s="25" t="s">
        <v>86</v>
      </c>
      <c r="F37" s="18" t="s">
        <v>119</v>
      </c>
      <c r="G37" s="18">
        <v>2500</v>
      </c>
      <c r="H37" s="66">
        <v>0.57999999999999996</v>
      </c>
      <c r="I37" s="14">
        <f t="shared" si="6"/>
        <v>8.8855999999999991E-2</v>
      </c>
      <c r="J37" s="14">
        <f t="shared" si="12"/>
        <v>0.6688559999999999</v>
      </c>
      <c r="K37" s="14">
        <f t="shared" si="13"/>
        <v>2.0065679999999996E-4</v>
      </c>
      <c r="L37" s="14">
        <f t="shared" si="14"/>
        <v>0.66865534319999986</v>
      </c>
      <c r="M37" s="14">
        <f t="shared" si="15"/>
        <v>1671.6383579999997</v>
      </c>
      <c r="N37" s="14">
        <f t="shared" si="11"/>
        <v>12.510785159620363</v>
      </c>
      <c r="O37" s="140"/>
    </row>
    <row r="38" spans="1:15" s="19" customFormat="1" ht="17.100000000000001" customHeight="1" x14ac:dyDescent="0.2">
      <c r="A38" s="18" t="s">
        <v>153</v>
      </c>
      <c r="B38" s="18" t="s">
        <v>53</v>
      </c>
      <c r="C38" s="18">
        <v>367</v>
      </c>
      <c r="D38" s="18" t="s">
        <v>34</v>
      </c>
      <c r="E38" s="24" t="s">
        <v>139</v>
      </c>
      <c r="F38" s="18" t="s">
        <v>102</v>
      </c>
      <c r="G38" s="18">
        <v>5</v>
      </c>
      <c r="H38" s="69">
        <v>60.78</v>
      </c>
      <c r="I38" s="14">
        <f t="shared" si="6"/>
        <v>9.311496</v>
      </c>
      <c r="J38" s="14">
        <f t="shared" si="12"/>
        <v>70.091496000000006</v>
      </c>
      <c r="K38" s="14">
        <f t="shared" si="13"/>
        <v>2.1027448800000001E-2</v>
      </c>
      <c r="L38" s="14">
        <f t="shared" si="14"/>
        <v>70.070468551200008</v>
      </c>
      <c r="M38" s="14">
        <f t="shared" si="15"/>
        <v>350.35234275600004</v>
      </c>
      <c r="N38" s="14">
        <f t="shared" si="11"/>
        <v>0.20958620689655177</v>
      </c>
      <c r="O38" s="140"/>
    </row>
    <row r="39" spans="1:15" s="30" customFormat="1" ht="16.5" customHeight="1" x14ac:dyDescent="0.2">
      <c r="A39" s="18" t="s">
        <v>81</v>
      </c>
      <c r="B39" s="18" t="s">
        <v>53</v>
      </c>
      <c r="C39" s="40">
        <v>4790</v>
      </c>
      <c r="D39" s="18" t="s">
        <v>34</v>
      </c>
      <c r="E39" s="41" t="s">
        <v>177</v>
      </c>
      <c r="F39" s="40" t="s">
        <v>176</v>
      </c>
      <c r="G39" s="40">
        <v>100</v>
      </c>
      <c r="H39" s="67">
        <v>92.09</v>
      </c>
      <c r="I39" s="42">
        <f t="shared" ref="I39" si="16">H39*0.1532</f>
        <v>14.108188</v>
      </c>
      <c r="J39" s="42">
        <f t="shared" si="12"/>
        <v>106.198188</v>
      </c>
      <c r="K39" s="42">
        <f t="shared" si="13"/>
        <v>3.18594564E-2</v>
      </c>
      <c r="L39" s="14">
        <f t="shared" si="14"/>
        <v>106.1663285436</v>
      </c>
      <c r="M39" s="14">
        <f t="shared" si="15"/>
        <v>10616.632854359999</v>
      </c>
      <c r="N39" s="14">
        <f t="shared" si="11"/>
        <v>30.3027311615663</v>
      </c>
      <c r="O39" s="140"/>
    </row>
    <row r="40" spans="1:15" s="19" customFormat="1" ht="17.100000000000001" customHeight="1" x14ac:dyDescent="0.2">
      <c r="A40" s="18" t="s">
        <v>82</v>
      </c>
      <c r="B40" s="18" t="s">
        <v>53</v>
      </c>
      <c r="C40" s="18">
        <v>135</v>
      </c>
      <c r="D40" s="18" t="s">
        <v>34</v>
      </c>
      <c r="E40" s="25" t="s">
        <v>178</v>
      </c>
      <c r="F40" s="18" t="s">
        <v>131</v>
      </c>
      <c r="G40" s="18">
        <v>120</v>
      </c>
      <c r="H40" s="66">
        <v>3.3</v>
      </c>
      <c r="I40" s="14">
        <f t="shared" ref="I40:I45" si="17">H40*0.1532</f>
        <v>0.50556000000000001</v>
      </c>
      <c r="J40" s="14">
        <f t="shared" ref="J40:J45" si="18">H40+I40</f>
        <v>3.8055599999999998</v>
      </c>
      <c r="K40" s="14">
        <f t="shared" ref="K40:K45" si="19">J40*(0.03%)</f>
        <v>1.1416679999999998E-3</v>
      </c>
      <c r="L40" s="14">
        <f t="shared" ref="L40:L45" si="20">J40-K40</f>
        <v>3.804418332</v>
      </c>
      <c r="M40" s="14">
        <f t="shared" ref="M40:M45" si="21">L40*G40</f>
        <v>456.53019984000002</v>
      </c>
      <c r="N40" s="14">
        <f t="shared" si="11"/>
        <v>4.3001411662504076E-2</v>
      </c>
      <c r="O40" s="140"/>
    </row>
    <row r="41" spans="1:15" s="19" customFormat="1" ht="17.100000000000001" customHeight="1" x14ac:dyDescent="0.2">
      <c r="A41" s="18" t="s">
        <v>120</v>
      </c>
      <c r="B41" s="18" t="s">
        <v>53</v>
      </c>
      <c r="C41" s="23">
        <v>34357</v>
      </c>
      <c r="D41" s="18" t="s">
        <v>34</v>
      </c>
      <c r="E41" s="25" t="s">
        <v>134</v>
      </c>
      <c r="F41" s="18" t="s">
        <v>131</v>
      </c>
      <c r="G41" s="18">
        <v>5</v>
      </c>
      <c r="H41" s="68">
        <v>4.6900000000000004</v>
      </c>
      <c r="I41" s="14">
        <f t="shared" si="17"/>
        <v>0.71850800000000004</v>
      </c>
      <c r="J41" s="14">
        <f t="shared" si="18"/>
        <v>5.4085080000000003</v>
      </c>
      <c r="K41" s="14">
        <f t="shared" si="19"/>
        <v>1.6225523999999999E-3</v>
      </c>
      <c r="L41" s="14">
        <f t="shared" si="20"/>
        <v>5.4068854476000006</v>
      </c>
      <c r="M41" s="14">
        <f t="shared" si="21"/>
        <v>27.034427238000003</v>
      </c>
      <c r="N41" s="14">
        <f t="shared" ref="N41:N45" si="22">M41/M40</f>
        <v>5.9217171717171724E-2</v>
      </c>
      <c r="O41" s="140"/>
    </row>
    <row r="42" spans="1:15" s="19" customFormat="1" ht="17.100000000000001" customHeight="1" x14ac:dyDescent="0.2">
      <c r="A42" s="18" t="s">
        <v>127</v>
      </c>
      <c r="B42" s="18" t="s">
        <v>53</v>
      </c>
      <c r="C42" s="40">
        <v>7271</v>
      </c>
      <c r="D42" s="18" t="s">
        <v>34</v>
      </c>
      <c r="E42" s="41" t="s">
        <v>138</v>
      </c>
      <c r="F42" s="18" t="s">
        <v>21</v>
      </c>
      <c r="G42" s="40">
        <v>500</v>
      </c>
      <c r="H42" s="67">
        <v>0.68</v>
      </c>
      <c r="I42" s="14">
        <f t="shared" si="17"/>
        <v>0.104176</v>
      </c>
      <c r="J42" s="14">
        <f t="shared" si="18"/>
        <v>0.7841760000000001</v>
      </c>
      <c r="K42" s="14">
        <f t="shared" si="19"/>
        <v>2.3525280000000001E-4</v>
      </c>
      <c r="L42" s="14">
        <f t="shared" si="20"/>
        <v>0.78394074720000007</v>
      </c>
      <c r="M42" s="14">
        <f t="shared" si="21"/>
        <v>391.97037360000002</v>
      </c>
      <c r="N42" s="14">
        <f t="shared" si="22"/>
        <v>14.498933901918976</v>
      </c>
      <c r="O42" s="140"/>
    </row>
    <row r="43" spans="1:15" s="19" customFormat="1" ht="17.100000000000001" customHeight="1" x14ac:dyDescent="0.2">
      <c r="A43" s="18" t="s">
        <v>154</v>
      </c>
      <c r="B43" s="18" t="s">
        <v>53</v>
      </c>
      <c r="C43" s="40">
        <v>7258</v>
      </c>
      <c r="D43" s="18" t="s">
        <v>34</v>
      </c>
      <c r="E43" s="51" t="s">
        <v>137</v>
      </c>
      <c r="F43" s="18" t="s">
        <v>21</v>
      </c>
      <c r="G43" s="40">
        <v>500</v>
      </c>
      <c r="H43" s="67">
        <v>0.57999999999999996</v>
      </c>
      <c r="I43" s="14">
        <f t="shared" si="17"/>
        <v>8.8855999999999991E-2</v>
      </c>
      <c r="J43" s="14">
        <f t="shared" si="18"/>
        <v>0.6688559999999999</v>
      </c>
      <c r="K43" s="14">
        <f t="shared" si="19"/>
        <v>2.0065679999999996E-4</v>
      </c>
      <c r="L43" s="14">
        <f t="shared" si="20"/>
        <v>0.66865534319999986</v>
      </c>
      <c r="M43" s="14">
        <f t="shared" si="21"/>
        <v>334.32767159999992</v>
      </c>
      <c r="N43" s="14">
        <f t="shared" si="22"/>
        <v>0.85294117647058798</v>
      </c>
      <c r="O43" s="140"/>
    </row>
    <row r="44" spans="1:15" s="30" customFormat="1" ht="16.5" customHeight="1" x14ac:dyDescent="0.2">
      <c r="A44" s="18" t="s">
        <v>83</v>
      </c>
      <c r="B44" s="18" t="s">
        <v>53</v>
      </c>
      <c r="C44" s="56" t="s">
        <v>179</v>
      </c>
      <c r="D44" s="18" t="s">
        <v>34</v>
      </c>
      <c r="E44" s="24" t="s">
        <v>180</v>
      </c>
      <c r="F44" s="18" t="s">
        <v>21</v>
      </c>
      <c r="G44" s="18">
        <v>16</v>
      </c>
      <c r="H44" s="64">
        <v>78.3</v>
      </c>
      <c r="I44" s="14">
        <f t="shared" si="17"/>
        <v>11.995559999999999</v>
      </c>
      <c r="J44" s="14">
        <f t="shared" si="18"/>
        <v>90.295559999999995</v>
      </c>
      <c r="K44" s="14">
        <f t="shared" si="19"/>
        <v>2.7088667999999996E-2</v>
      </c>
      <c r="L44" s="14">
        <f t="shared" si="20"/>
        <v>90.26847133199999</v>
      </c>
      <c r="M44" s="14">
        <f t="shared" si="21"/>
        <v>1444.2955413119998</v>
      </c>
      <c r="N44" s="14">
        <f t="shared" si="22"/>
        <v>4.32</v>
      </c>
      <c r="O44" s="140"/>
    </row>
    <row r="45" spans="1:15" s="19" customFormat="1" ht="17.100000000000001" customHeight="1" x14ac:dyDescent="0.2">
      <c r="A45" s="18" t="s">
        <v>122</v>
      </c>
      <c r="B45" s="18" t="s">
        <v>53</v>
      </c>
      <c r="C45" s="18">
        <v>40547</v>
      </c>
      <c r="D45" s="18" t="s">
        <v>34</v>
      </c>
      <c r="E45" s="24" t="s">
        <v>103</v>
      </c>
      <c r="F45" s="18" t="s">
        <v>104</v>
      </c>
      <c r="G45" s="18">
        <v>3</v>
      </c>
      <c r="H45" s="64">
        <v>29.16</v>
      </c>
      <c r="I45" s="14">
        <f t="shared" si="17"/>
        <v>4.4673119999999997</v>
      </c>
      <c r="J45" s="14">
        <f t="shared" si="18"/>
        <v>33.627312000000003</v>
      </c>
      <c r="K45" s="14">
        <f t="shared" si="19"/>
        <v>1.00881936E-2</v>
      </c>
      <c r="L45" s="14">
        <f t="shared" si="20"/>
        <v>33.617223806400006</v>
      </c>
      <c r="M45" s="14">
        <f t="shared" si="21"/>
        <v>100.85167141920002</v>
      </c>
      <c r="N45" s="14">
        <f t="shared" si="22"/>
        <v>6.9827586206896566E-2</v>
      </c>
      <c r="O45" s="140"/>
    </row>
    <row r="46" spans="1:15" s="19" customFormat="1" ht="17.100000000000001" customHeight="1" x14ac:dyDescent="0.2">
      <c r="A46" s="18" t="s">
        <v>155</v>
      </c>
      <c r="B46" s="18" t="s">
        <v>53</v>
      </c>
      <c r="C46" s="18">
        <v>7219</v>
      </c>
      <c r="D46" s="18" t="s">
        <v>34</v>
      </c>
      <c r="E46" s="25" t="s">
        <v>181</v>
      </c>
      <c r="F46" s="18" t="s">
        <v>21</v>
      </c>
      <c r="G46" s="18">
        <v>50</v>
      </c>
      <c r="H46" s="66">
        <v>52.45</v>
      </c>
      <c r="I46" s="14">
        <f t="shared" ref="I46:I50" si="23">H46*0.1532</f>
        <v>8.0353399999999997</v>
      </c>
      <c r="J46" s="14">
        <f t="shared" ref="J46:J50" si="24">H46+I46</f>
        <v>60.485340000000001</v>
      </c>
      <c r="K46" s="14">
        <f t="shared" ref="K46:K50" si="25">J46*(0.03%)</f>
        <v>1.8145602E-2</v>
      </c>
      <c r="L46" s="14">
        <f t="shared" ref="L46:L50" si="26">J46-K46</f>
        <v>60.467194398000004</v>
      </c>
      <c r="M46" s="14">
        <f t="shared" ref="M46:M50" si="27">L46*G46</f>
        <v>3023.3597199000001</v>
      </c>
      <c r="N46" s="14">
        <f t="shared" ref="N46:N62" si="28">M46/M45</f>
        <v>29.978280749885684</v>
      </c>
      <c r="O46" s="140"/>
    </row>
    <row r="47" spans="1:15" s="19" customFormat="1" ht="17.100000000000001" customHeight="1" x14ac:dyDescent="0.2">
      <c r="A47" s="18" t="s">
        <v>128</v>
      </c>
      <c r="B47" s="18" t="s">
        <v>53</v>
      </c>
      <c r="C47" s="18">
        <v>1287</v>
      </c>
      <c r="D47" s="18" t="s">
        <v>34</v>
      </c>
      <c r="E47" s="25" t="s">
        <v>182</v>
      </c>
      <c r="F47" s="40" t="s">
        <v>176</v>
      </c>
      <c r="G47" s="18">
        <v>12.6</v>
      </c>
      <c r="H47" s="66">
        <v>37.270000000000003</v>
      </c>
      <c r="I47" s="14">
        <f t="shared" si="23"/>
        <v>5.7097640000000007</v>
      </c>
      <c r="J47" s="14">
        <f t="shared" si="24"/>
        <v>42.979764000000003</v>
      </c>
      <c r="K47" s="14">
        <f t="shared" si="25"/>
        <v>1.2893929199999999E-2</v>
      </c>
      <c r="L47" s="14">
        <f t="shared" si="26"/>
        <v>42.966870070800006</v>
      </c>
      <c r="M47" s="14">
        <f t="shared" si="27"/>
        <v>541.38256289208005</v>
      </c>
      <c r="N47" s="14">
        <f t="shared" si="28"/>
        <v>0.17906653956148713</v>
      </c>
      <c r="O47" s="140"/>
    </row>
    <row r="48" spans="1:15" s="19" customFormat="1" ht="17.100000000000001" customHeight="1" x14ac:dyDescent="0.2">
      <c r="A48" s="18" t="s">
        <v>132</v>
      </c>
      <c r="B48" s="18" t="s">
        <v>53</v>
      </c>
      <c r="C48" s="18">
        <v>3080</v>
      </c>
      <c r="D48" s="18" t="s">
        <v>34</v>
      </c>
      <c r="E48" s="25" t="s">
        <v>183</v>
      </c>
      <c r="F48" s="18" t="s">
        <v>21</v>
      </c>
      <c r="G48" s="18">
        <v>5</v>
      </c>
      <c r="H48" s="66">
        <v>103</v>
      </c>
      <c r="I48" s="14">
        <f t="shared" si="23"/>
        <v>15.7796</v>
      </c>
      <c r="J48" s="14">
        <f t="shared" si="24"/>
        <v>118.7796</v>
      </c>
      <c r="K48" s="14">
        <f t="shared" si="25"/>
        <v>3.563388E-2</v>
      </c>
      <c r="L48" s="14">
        <f t="shared" si="26"/>
        <v>118.74396612</v>
      </c>
      <c r="M48" s="14">
        <f t="shared" si="27"/>
        <v>593.71983060000002</v>
      </c>
      <c r="N48" s="14">
        <f t="shared" si="28"/>
        <v>1.0966733531799269</v>
      </c>
      <c r="O48" s="140"/>
    </row>
    <row r="49" spans="1:15" s="19" customFormat="1" ht="17.100000000000001" customHeight="1" x14ac:dyDescent="0.2">
      <c r="A49" s="18" t="s">
        <v>135</v>
      </c>
      <c r="B49" s="18" t="s">
        <v>53</v>
      </c>
      <c r="C49" s="23">
        <v>33</v>
      </c>
      <c r="D49" s="18" t="s">
        <v>34</v>
      </c>
      <c r="E49" s="24" t="s">
        <v>184</v>
      </c>
      <c r="F49" s="18" t="s">
        <v>119</v>
      </c>
      <c r="G49" s="18">
        <v>47.4</v>
      </c>
      <c r="H49" s="69">
        <v>8.44</v>
      </c>
      <c r="I49" s="14">
        <f>H49*0.1532</f>
        <v>1.2930079999999999</v>
      </c>
      <c r="J49" s="14">
        <f>H49+I49</f>
        <v>9.7330079999999999</v>
      </c>
      <c r="K49" s="14">
        <f>J49*(0.03%)</f>
        <v>2.9199023999999995E-3</v>
      </c>
      <c r="L49" s="14">
        <f>J49-K49</f>
        <v>9.7300880975999995</v>
      </c>
      <c r="M49" s="14">
        <f>L49*G49</f>
        <v>461.20617582623998</v>
      </c>
      <c r="N49" s="14">
        <f t="shared" si="28"/>
        <v>0.77680776699029119</v>
      </c>
      <c r="O49" s="140"/>
    </row>
    <row r="50" spans="1:15" s="19" customFormat="1" ht="17.100000000000001" customHeight="1" x14ac:dyDescent="0.2">
      <c r="A50" s="18" t="s">
        <v>117</v>
      </c>
      <c r="B50" s="18" t="s">
        <v>53</v>
      </c>
      <c r="C50" s="18">
        <v>42407</v>
      </c>
      <c r="D50" s="18" t="s">
        <v>34</v>
      </c>
      <c r="E50" s="25" t="s">
        <v>185</v>
      </c>
      <c r="F50" s="18" t="s">
        <v>99</v>
      </c>
      <c r="G50" s="18">
        <v>72</v>
      </c>
      <c r="H50" s="66">
        <v>6.14</v>
      </c>
      <c r="I50" s="14">
        <f t="shared" si="23"/>
        <v>0.94064799999999993</v>
      </c>
      <c r="J50" s="14">
        <f t="shared" si="24"/>
        <v>7.0806480000000001</v>
      </c>
      <c r="K50" s="14">
        <f t="shared" si="25"/>
        <v>2.1241944E-3</v>
      </c>
      <c r="L50" s="14">
        <f t="shared" si="26"/>
        <v>7.0785238055999997</v>
      </c>
      <c r="M50" s="14">
        <f t="shared" si="27"/>
        <v>509.65371400319998</v>
      </c>
      <c r="N50" s="14">
        <f t="shared" si="28"/>
        <v>1.1050452936588877</v>
      </c>
      <c r="O50" s="140"/>
    </row>
    <row r="51" spans="1:15" s="19" customFormat="1" ht="17.100000000000001" customHeight="1" x14ac:dyDescent="0.2">
      <c r="A51" s="18" t="s">
        <v>84</v>
      </c>
      <c r="B51" s="18" t="s">
        <v>53</v>
      </c>
      <c r="C51" s="40">
        <v>7348</v>
      </c>
      <c r="D51" s="18" t="s">
        <v>34</v>
      </c>
      <c r="E51" s="51" t="s">
        <v>140</v>
      </c>
      <c r="F51" s="40" t="s">
        <v>141</v>
      </c>
      <c r="G51" s="40">
        <v>36</v>
      </c>
      <c r="H51" s="67">
        <v>19.440000000000001</v>
      </c>
      <c r="I51" s="14">
        <f>H51*0.1532</f>
        <v>2.9782080000000004</v>
      </c>
      <c r="J51" s="14">
        <f>H51+I51</f>
        <v>22.418208</v>
      </c>
      <c r="K51" s="14">
        <f>J51*(0.03%)</f>
        <v>6.725462399999999E-3</v>
      </c>
      <c r="L51" s="14">
        <f>J51-K51</f>
        <v>22.411482537600001</v>
      </c>
      <c r="M51" s="14">
        <f>L51*G51</f>
        <v>806.81337135360002</v>
      </c>
      <c r="N51" s="14">
        <f t="shared" si="28"/>
        <v>1.5830618892508144</v>
      </c>
      <c r="O51" s="140"/>
    </row>
    <row r="52" spans="1:15" s="19" customFormat="1" ht="17.100000000000001" customHeight="1" x14ac:dyDescent="0.2">
      <c r="A52" s="18" t="s">
        <v>90</v>
      </c>
      <c r="B52" s="18" t="s">
        <v>53</v>
      </c>
      <c r="C52" s="18">
        <v>35692</v>
      </c>
      <c r="D52" s="18" t="s">
        <v>34</v>
      </c>
      <c r="E52" s="57" t="s">
        <v>142</v>
      </c>
      <c r="F52" s="18" t="s">
        <v>141</v>
      </c>
      <c r="G52" s="18">
        <v>108</v>
      </c>
      <c r="H52" s="69">
        <v>18.97</v>
      </c>
      <c r="I52" s="14">
        <f>H52*0.1532</f>
        <v>2.9062039999999998</v>
      </c>
      <c r="J52" s="14">
        <f>H52+I52</f>
        <v>21.876203999999998</v>
      </c>
      <c r="K52" s="14">
        <f>J52*(0.03%)</f>
        <v>6.5628611999999989E-3</v>
      </c>
      <c r="L52" s="14">
        <f>J52-K52</f>
        <v>21.869641138799999</v>
      </c>
      <c r="M52" s="14">
        <f>L52*G52</f>
        <v>2361.9212429904001</v>
      </c>
      <c r="N52" s="14">
        <f t="shared" si="28"/>
        <v>2.9274691358024691</v>
      </c>
      <c r="O52" s="140"/>
    </row>
    <row r="53" spans="1:15" s="29" customFormat="1" ht="16.5" customHeight="1" x14ac:dyDescent="0.2">
      <c r="A53" s="18" t="s">
        <v>113</v>
      </c>
      <c r="B53" s="18" t="s">
        <v>53</v>
      </c>
      <c r="C53" s="50">
        <v>12815</v>
      </c>
      <c r="D53" s="18" t="s">
        <v>34</v>
      </c>
      <c r="E53" s="49" t="s">
        <v>144</v>
      </c>
      <c r="F53" s="18" t="s">
        <v>21</v>
      </c>
      <c r="G53" s="50">
        <v>10</v>
      </c>
      <c r="H53" s="70">
        <v>10.89</v>
      </c>
      <c r="I53" s="14">
        <f t="shared" ref="I53:I54" si="29">H53*0.1532</f>
        <v>1.6683480000000002</v>
      </c>
      <c r="J53" s="14">
        <f t="shared" ref="J53:J54" si="30">H53+I53</f>
        <v>12.558348000000001</v>
      </c>
      <c r="K53" s="14">
        <f t="shared" ref="K53:K54" si="31">J53*(0.03%)</f>
        <v>3.7675043999999998E-3</v>
      </c>
      <c r="L53" s="14">
        <f t="shared" ref="L53:L54" si="32">J53-K53</f>
        <v>12.5545804956</v>
      </c>
      <c r="M53" s="14">
        <f t="shared" ref="M53:M54" si="33">L53*G53</f>
        <v>125.545804956</v>
      </c>
      <c r="N53" s="14">
        <f t="shared" si="28"/>
        <v>5.3154102969601123E-2</v>
      </c>
      <c r="O53" s="140"/>
    </row>
    <row r="54" spans="1:15" s="29" customFormat="1" ht="16.5" customHeight="1" x14ac:dyDescent="0.2">
      <c r="A54" s="18" t="s">
        <v>156</v>
      </c>
      <c r="B54" s="18" t="s">
        <v>53</v>
      </c>
      <c r="C54" s="50">
        <v>3315</v>
      </c>
      <c r="D54" s="18" t="s">
        <v>34</v>
      </c>
      <c r="E54" s="49" t="s">
        <v>145</v>
      </c>
      <c r="F54" s="18" t="s">
        <v>119</v>
      </c>
      <c r="G54" s="50">
        <v>5</v>
      </c>
      <c r="H54" s="70">
        <v>0.74</v>
      </c>
      <c r="I54" s="14">
        <f t="shared" si="29"/>
        <v>0.113368</v>
      </c>
      <c r="J54" s="14">
        <f t="shared" si="30"/>
        <v>0.85336800000000002</v>
      </c>
      <c r="K54" s="14">
        <f t="shared" si="31"/>
        <v>2.5601039999999996E-4</v>
      </c>
      <c r="L54" s="14">
        <f t="shared" si="32"/>
        <v>0.85311198960000001</v>
      </c>
      <c r="M54" s="14">
        <f t="shared" si="33"/>
        <v>4.2655599479999999</v>
      </c>
      <c r="N54" s="14">
        <f t="shared" si="28"/>
        <v>3.3976124885215793E-2</v>
      </c>
      <c r="O54" s="140"/>
    </row>
    <row r="55" spans="1:15" s="19" customFormat="1" ht="17.100000000000001" customHeight="1" x14ac:dyDescent="0.2">
      <c r="A55" s="18" t="s">
        <v>157</v>
      </c>
      <c r="B55" s="18" t="s">
        <v>53</v>
      </c>
      <c r="C55" s="18">
        <v>38383</v>
      </c>
      <c r="D55" s="18" t="s">
        <v>34</v>
      </c>
      <c r="E55" s="58" t="s">
        <v>186</v>
      </c>
      <c r="F55" s="18" t="s">
        <v>21</v>
      </c>
      <c r="G55" s="18">
        <v>30</v>
      </c>
      <c r="H55" s="66">
        <v>2.66</v>
      </c>
      <c r="I55" s="14">
        <f>H55*0.1532</f>
        <v>0.40751200000000004</v>
      </c>
      <c r="J55" s="14">
        <f>H55+I55</f>
        <v>3.0675120000000002</v>
      </c>
      <c r="K55" s="14">
        <f>J55*(0.03%)</f>
        <v>9.2025359999999999E-4</v>
      </c>
      <c r="L55" s="14">
        <f>J55-K55</f>
        <v>3.0665917464000003</v>
      </c>
      <c r="M55" s="14">
        <f>L55*G55</f>
        <v>91.99775239200001</v>
      </c>
      <c r="N55" s="14">
        <f t="shared" si="28"/>
        <v>21.567567567567568</v>
      </c>
      <c r="O55" s="140"/>
    </row>
    <row r="56" spans="1:15" s="19" customFormat="1" ht="17.100000000000001" customHeight="1" x14ac:dyDescent="0.2">
      <c r="A56" s="18" t="s">
        <v>91</v>
      </c>
      <c r="B56" s="18" t="s">
        <v>53</v>
      </c>
      <c r="C56" s="18">
        <v>38122</v>
      </c>
      <c r="D56" s="18" t="s">
        <v>34</v>
      </c>
      <c r="E56" s="59" t="s">
        <v>187</v>
      </c>
      <c r="F56" s="18" t="s">
        <v>141</v>
      </c>
      <c r="G56" s="18">
        <v>18</v>
      </c>
      <c r="H56" s="69">
        <v>19.649999999999999</v>
      </c>
      <c r="I56" s="14">
        <f>H56*0.1532</f>
        <v>3.0103800000000001</v>
      </c>
      <c r="J56" s="14">
        <f>H56+I56</f>
        <v>22.66038</v>
      </c>
      <c r="K56" s="14">
        <f>J56*(0.03%)</f>
        <v>6.7981139999999992E-3</v>
      </c>
      <c r="L56" s="14">
        <f>J56-K56</f>
        <v>22.653581886000001</v>
      </c>
      <c r="M56" s="14">
        <f>L56*G56</f>
        <v>407.76447394800005</v>
      </c>
      <c r="N56" s="14">
        <f t="shared" si="28"/>
        <v>4.4323308270676689</v>
      </c>
      <c r="O56" s="140"/>
    </row>
    <row r="57" spans="1:15" s="19" customFormat="1" ht="17.100000000000001" customHeight="1" x14ac:dyDescent="0.2">
      <c r="A57" s="18" t="s">
        <v>112</v>
      </c>
      <c r="B57" s="18" t="s">
        <v>53</v>
      </c>
      <c r="C57" s="23">
        <v>140</v>
      </c>
      <c r="D57" s="18" t="s">
        <v>34</v>
      </c>
      <c r="E57" s="24" t="s">
        <v>188</v>
      </c>
      <c r="F57" s="18" t="s">
        <v>119</v>
      </c>
      <c r="G57" s="18">
        <v>66</v>
      </c>
      <c r="H57" s="69">
        <v>18.93</v>
      </c>
      <c r="I57" s="14">
        <f>H57*0.1532</f>
        <v>2.9000759999999999</v>
      </c>
      <c r="J57" s="14">
        <f>H57+I57</f>
        <v>21.830075999999998</v>
      </c>
      <c r="K57" s="14">
        <f>J57*(0.03%)</f>
        <v>6.5490227999999992E-3</v>
      </c>
      <c r="L57" s="14">
        <f>J57-K57</f>
        <v>21.823526977199997</v>
      </c>
      <c r="M57" s="14">
        <f>L57*G57</f>
        <v>1440.3527804951998</v>
      </c>
      <c r="N57" s="14">
        <f t="shared" si="28"/>
        <v>3.5323155216284978</v>
      </c>
      <c r="O57" s="140"/>
    </row>
    <row r="58" spans="1:15" s="19" customFormat="1" ht="17.100000000000001" customHeight="1" x14ac:dyDescent="0.2">
      <c r="A58" s="18" t="s">
        <v>116</v>
      </c>
      <c r="B58" s="18" t="s">
        <v>53</v>
      </c>
      <c r="C58" s="18">
        <v>9868</v>
      </c>
      <c r="D58" s="18" t="s">
        <v>34</v>
      </c>
      <c r="E58" s="55" t="s">
        <v>189</v>
      </c>
      <c r="F58" s="18" t="s">
        <v>190</v>
      </c>
      <c r="G58" s="18">
        <v>18</v>
      </c>
      <c r="H58" s="66">
        <v>4.3600000000000003</v>
      </c>
      <c r="I58" s="14">
        <f t="shared" ref="I58:I60" si="34">H58*0.1532</f>
        <v>0.6679520000000001</v>
      </c>
      <c r="J58" s="14">
        <f t="shared" ref="J58:J60" si="35">H58+I58</f>
        <v>5.0279520000000009</v>
      </c>
      <c r="K58" s="14">
        <f t="shared" ref="K58:K60" si="36">J58*(0.03%)</f>
        <v>1.5083856000000001E-3</v>
      </c>
      <c r="L58" s="14">
        <f t="shared" ref="L58:L60" si="37">J58-K58</f>
        <v>5.0264436144000006</v>
      </c>
      <c r="M58" s="14">
        <f t="shared" ref="M58:M60" si="38">L58*G58</f>
        <v>90.475985059200013</v>
      </c>
      <c r="N58" s="14">
        <f t="shared" si="28"/>
        <v>6.281515631753351E-2</v>
      </c>
      <c r="O58" s="140"/>
    </row>
    <row r="59" spans="1:15" s="19" customFormat="1" ht="17.100000000000001" customHeight="1" x14ac:dyDescent="0.2">
      <c r="A59" s="18" t="s">
        <v>158</v>
      </c>
      <c r="B59" s="18" t="s">
        <v>53</v>
      </c>
      <c r="C59" s="18">
        <v>9869</v>
      </c>
      <c r="D59" s="18" t="s">
        <v>34</v>
      </c>
      <c r="E59" s="31" t="s">
        <v>191</v>
      </c>
      <c r="F59" s="18" t="s">
        <v>190</v>
      </c>
      <c r="G59" s="18">
        <v>18</v>
      </c>
      <c r="H59" s="66">
        <v>9.41</v>
      </c>
      <c r="I59" s="14">
        <f t="shared" si="34"/>
        <v>1.4416120000000001</v>
      </c>
      <c r="J59" s="14">
        <f t="shared" si="35"/>
        <v>10.851611999999999</v>
      </c>
      <c r="K59" s="14">
        <f t="shared" si="36"/>
        <v>3.2554835999999993E-3</v>
      </c>
      <c r="L59" s="14">
        <f t="shared" si="37"/>
        <v>10.848356516399999</v>
      </c>
      <c r="M59" s="14">
        <f t="shared" si="38"/>
        <v>195.27041729519999</v>
      </c>
      <c r="N59" s="14">
        <f t="shared" si="28"/>
        <v>2.1582568807339446</v>
      </c>
      <c r="O59" s="140"/>
    </row>
    <row r="60" spans="1:15" s="29" customFormat="1" ht="16.5" customHeight="1" x14ac:dyDescent="0.2">
      <c r="A60" s="18" t="s">
        <v>159</v>
      </c>
      <c r="B60" s="18" t="s">
        <v>53</v>
      </c>
      <c r="C60" s="50">
        <v>21114</v>
      </c>
      <c r="D60" s="18" t="s">
        <v>34</v>
      </c>
      <c r="E60" s="49" t="s">
        <v>192</v>
      </c>
      <c r="F60" s="18" t="s">
        <v>21</v>
      </c>
      <c r="G60" s="50">
        <v>5</v>
      </c>
      <c r="H60" s="70">
        <v>29.9</v>
      </c>
      <c r="I60" s="53">
        <f t="shared" si="34"/>
        <v>4.5806800000000001</v>
      </c>
      <c r="J60" s="53">
        <f t="shared" si="35"/>
        <v>34.48068</v>
      </c>
      <c r="K60" s="53">
        <f t="shared" si="36"/>
        <v>1.0344203999999999E-2</v>
      </c>
      <c r="L60" s="53">
        <f t="shared" si="37"/>
        <v>34.470335796000001</v>
      </c>
      <c r="M60" s="53">
        <f t="shared" si="38"/>
        <v>172.35167898</v>
      </c>
      <c r="N60" s="14">
        <f t="shared" si="28"/>
        <v>0.88263077104734922</v>
      </c>
      <c r="O60" s="140"/>
    </row>
    <row r="61" spans="1:15" s="19" customFormat="1" ht="17.100000000000001" customHeight="1" x14ac:dyDescent="0.2">
      <c r="A61" s="18" t="s">
        <v>160</v>
      </c>
      <c r="B61" s="18" t="s">
        <v>53</v>
      </c>
      <c r="C61" s="18">
        <v>12613</v>
      </c>
      <c r="D61" s="18" t="s">
        <v>34</v>
      </c>
      <c r="E61" s="31" t="s">
        <v>114</v>
      </c>
      <c r="F61" s="18" t="s">
        <v>21</v>
      </c>
      <c r="G61" s="18">
        <v>15</v>
      </c>
      <c r="H61" s="66">
        <v>21.96</v>
      </c>
      <c r="I61" s="14">
        <f t="shared" ref="I61:I66" si="39">H61*0.1532</f>
        <v>3.3642720000000002</v>
      </c>
      <c r="J61" s="14">
        <f t="shared" ref="J61:J66" si="40">H61+I61</f>
        <v>25.324272000000001</v>
      </c>
      <c r="K61" s="14">
        <f t="shared" ref="K61:K66" si="41">J61*(0.03%)</f>
        <v>7.5972815999999993E-3</v>
      </c>
      <c r="L61" s="14">
        <f t="shared" ref="L61:L66" si="42">J61-K61</f>
        <v>25.316674718400002</v>
      </c>
      <c r="M61" s="14">
        <f t="shared" ref="M61:M66" si="43">L61*G61</f>
        <v>379.75012077600002</v>
      </c>
      <c r="N61" s="14">
        <f t="shared" si="28"/>
        <v>2.2033444816053511</v>
      </c>
      <c r="O61" s="140"/>
    </row>
    <row r="62" spans="1:15" s="30" customFormat="1" ht="16.5" customHeight="1" x14ac:dyDescent="0.2">
      <c r="A62" s="18" t="s">
        <v>161</v>
      </c>
      <c r="B62" s="18" t="s">
        <v>53</v>
      </c>
      <c r="C62" s="18">
        <v>36791</v>
      </c>
      <c r="D62" s="18" t="s">
        <v>34</v>
      </c>
      <c r="E62" s="54" t="s">
        <v>115</v>
      </c>
      <c r="F62" s="18" t="s">
        <v>21</v>
      </c>
      <c r="G62" s="18">
        <v>10</v>
      </c>
      <c r="H62" s="69">
        <v>134.44</v>
      </c>
      <c r="I62" s="14">
        <f t="shared" si="39"/>
        <v>20.596208000000001</v>
      </c>
      <c r="J62" s="14">
        <f t="shared" si="40"/>
        <v>155.03620799999999</v>
      </c>
      <c r="K62" s="14">
        <f t="shared" si="41"/>
        <v>4.6510862399999992E-2</v>
      </c>
      <c r="L62" s="14">
        <f t="shared" si="42"/>
        <v>154.98969713759999</v>
      </c>
      <c r="M62" s="14">
        <f t="shared" si="43"/>
        <v>1549.8969713759998</v>
      </c>
      <c r="N62" s="14">
        <f t="shared" si="28"/>
        <v>4.0813600485731625</v>
      </c>
      <c r="O62" s="140"/>
    </row>
    <row r="63" spans="1:15" s="30" customFormat="1" ht="16.5" customHeight="1" x14ac:dyDescent="0.2">
      <c r="A63" s="18" t="s">
        <v>162</v>
      </c>
      <c r="B63" s="18" t="s">
        <v>53</v>
      </c>
      <c r="C63" s="18">
        <v>11762</v>
      </c>
      <c r="D63" s="18" t="s">
        <v>34</v>
      </c>
      <c r="E63" s="25" t="s">
        <v>85</v>
      </c>
      <c r="F63" s="18" t="s">
        <v>21</v>
      </c>
      <c r="G63" s="18">
        <v>10</v>
      </c>
      <c r="H63" s="66">
        <v>56.5</v>
      </c>
      <c r="I63" s="14">
        <f t="shared" si="39"/>
        <v>8.6557999999999993</v>
      </c>
      <c r="J63" s="14">
        <f t="shared" si="40"/>
        <v>65.155799999999999</v>
      </c>
      <c r="K63" s="14">
        <f t="shared" si="41"/>
        <v>1.9546739999999996E-2</v>
      </c>
      <c r="L63" s="14">
        <f t="shared" si="42"/>
        <v>65.136253260000004</v>
      </c>
      <c r="M63" s="14">
        <f t="shared" si="43"/>
        <v>651.36253260000001</v>
      </c>
      <c r="N63" s="14">
        <f t="shared" ref="N63:N66" si="44">M63/M62</f>
        <v>0.42026182683725088</v>
      </c>
      <c r="O63" s="140"/>
    </row>
    <row r="64" spans="1:15" s="30" customFormat="1" ht="16.5" customHeight="1" x14ac:dyDescent="0.2">
      <c r="A64" s="18" t="s">
        <v>92</v>
      </c>
      <c r="B64" s="18" t="s">
        <v>53</v>
      </c>
      <c r="C64" s="40">
        <v>37588</v>
      </c>
      <c r="D64" s="18" t="s">
        <v>34</v>
      </c>
      <c r="E64" s="41" t="s">
        <v>121</v>
      </c>
      <c r="F64" s="18" t="s">
        <v>21</v>
      </c>
      <c r="G64" s="40">
        <v>10</v>
      </c>
      <c r="H64" s="67">
        <v>51.9</v>
      </c>
      <c r="I64" s="14">
        <f t="shared" si="39"/>
        <v>7.9510800000000001</v>
      </c>
      <c r="J64" s="14">
        <f t="shared" si="40"/>
        <v>59.851079999999996</v>
      </c>
      <c r="K64" s="14">
        <f t="shared" si="41"/>
        <v>1.7955323999999998E-2</v>
      </c>
      <c r="L64" s="14">
        <f t="shared" si="42"/>
        <v>59.833124675999997</v>
      </c>
      <c r="M64" s="14">
        <f t="shared" si="43"/>
        <v>598.33124676</v>
      </c>
      <c r="N64" s="14">
        <f t="shared" si="44"/>
        <v>0.91858407079646021</v>
      </c>
      <c r="O64" s="140"/>
    </row>
    <row r="65" spans="1:15" s="19" customFormat="1" ht="17.100000000000001" customHeight="1" x14ac:dyDescent="0.2">
      <c r="A65" s="18" t="s">
        <v>123</v>
      </c>
      <c r="B65" s="18" t="s">
        <v>53</v>
      </c>
      <c r="C65" s="18">
        <v>11681</v>
      </c>
      <c r="D65" s="18" t="s">
        <v>34</v>
      </c>
      <c r="E65" s="60" t="s">
        <v>105</v>
      </c>
      <c r="F65" s="18" t="s">
        <v>21</v>
      </c>
      <c r="G65" s="18">
        <v>10</v>
      </c>
      <c r="H65" s="66">
        <v>8.24</v>
      </c>
      <c r="I65" s="14">
        <f t="shared" si="39"/>
        <v>1.2623680000000002</v>
      </c>
      <c r="J65" s="14">
        <f t="shared" si="40"/>
        <v>9.5023680000000006</v>
      </c>
      <c r="K65" s="14">
        <f t="shared" si="41"/>
        <v>2.8507103999999999E-3</v>
      </c>
      <c r="L65" s="14">
        <f t="shared" si="42"/>
        <v>9.4995172896</v>
      </c>
      <c r="M65" s="14">
        <f t="shared" si="43"/>
        <v>94.995172896</v>
      </c>
      <c r="N65" s="14">
        <f t="shared" si="44"/>
        <v>0.15876685934489404</v>
      </c>
      <c r="O65" s="140"/>
    </row>
    <row r="66" spans="1:15" s="19" customFormat="1" ht="17.100000000000001" customHeight="1" x14ac:dyDescent="0.2">
      <c r="A66" s="18" t="s">
        <v>93</v>
      </c>
      <c r="B66" s="18" t="s">
        <v>53</v>
      </c>
      <c r="C66" s="23">
        <v>44945</v>
      </c>
      <c r="D66" s="18" t="s">
        <v>34</v>
      </c>
      <c r="E66" s="24" t="s">
        <v>101</v>
      </c>
      <c r="F66" s="18" t="s">
        <v>21</v>
      </c>
      <c r="G66" s="18">
        <v>15</v>
      </c>
      <c r="H66" s="69">
        <v>10.8</v>
      </c>
      <c r="I66" s="14">
        <f t="shared" si="39"/>
        <v>1.65456</v>
      </c>
      <c r="J66" s="14">
        <f t="shared" si="40"/>
        <v>12.454560000000001</v>
      </c>
      <c r="K66" s="14">
        <f t="shared" si="41"/>
        <v>3.7363679999999999E-3</v>
      </c>
      <c r="L66" s="14">
        <f t="shared" si="42"/>
        <v>12.450823632000001</v>
      </c>
      <c r="M66" s="14">
        <f t="shared" si="43"/>
        <v>186.76235448</v>
      </c>
      <c r="N66" s="14">
        <f t="shared" si="44"/>
        <v>1.9660194174757282</v>
      </c>
      <c r="O66" s="140"/>
    </row>
    <row r="67" spans="1:15" s="29" customFormat="1" ht="16.5" customHeight="1" x14ac:dyDescent="0.2">
      <c r="A67" s="18" t="s">
        <v>94</v>
      </c>
      <c r="B67" s="18" t="s">
        <v>53</v>
      </c>
      <c r="C67" s="50">
        <v>296</v>
      </c>
      <c r="D67" s="18" t="s">
        <v>34</v>
      </c>
      <c r="E67" s="49" t="s">
        <v>193</v>
      </c>
      <c r="F67" s="18" t="s">
        <v>21</v>
      </c>
      <c r="G67" s="50">
        <v>20</v>
      </c>
      <c r="H67" s="70">
        <v>1.59</v>
      </c>
      <c r="I67" s="14">
        <f t="shared" ref="I67:I83" si="45">H67*0.1532</f>
        <v>0.24358800000000003</v>
      </c>
      <c r="J67" s="14">
        <f t="shared" ref="J67:J83" si="46">H67+I67</f>
        <v>1.8335880000000002</v>
      </c>
      <c r="K67" s="14">
        <f t="shared" ref="K67:K83" si="47">J67*(0.03%)</f>
        <v>5.5007640000000007E-4</v>
      </c>
      <c r="L67" s="14">
        <f t="shared" ref="L67:L83" si="48">J67-K67</f>
        <v>1.8330379236000003</v>
      </c>
      <c r="M67" s="14">
        <f t="shared" ref="M67:M83" si="49">L67*G67</f>
        <v>36.660758472000005</v>
      </c>
      <c r="N67" s="14">
        <f t="shared" ref="N67:N83" si="50">M67/M66</f>
        <v>0.19629629629629633</v>
      </c>
      <c r="O67" s="140"/>
    </row>
    <row r="68" spans="1:15" s="19" customFormat="1" ht="17.100000000000001" customHeight="1" x14ac:dyDescent="0.2">
      <c r="A68" s="18" t="s">
        <v>108</v>
      </c>
      <c r="B68" s="18" t="s">
        <v>53</v>
      </c>
      <c r="C68" s="18">
        <v>20170</v>
      </c>
      <c r="D68" s="18" t="s">
        <v>34</v>
      </c>
      <c r="E68" s="61" t="s">
        <v>194</v>
      </c>
      <c r="F68" s="18" t="s">
        <v>21</v>
      </c>
      <c r="G68" s="18">
        <v>10</v>
      </c>
      <c r="H68" s="66">
        <v>14.81</v>
      </c>
      <c r="I68" s="14">
        <f t="shared" si="45"/>
        <v>2.2688920000000001</v>
      </c>
      <c r="J68" s="14">
        <f t="shared" si="46"/>
        <v>17.078892</v>
      </c>
      <c r="K68" s="14">
        <f t="shared" si="47"/>
        <v>5.1236675999999995E-3</v>
      </c>
      <c r="L68" s="14">
        <f t="shared" si="48"/>
        <v>17.0737683324</v>
      </c>
      <c r="M68" s="14">
        <f t="shared" si="49"/>
        <v>170.73768332399999</v>
      </c>
      <c r="N68" s="14">
        <f t="shared" si="50"/>
        <v>4.6572327044025146</v>
      </c>
      <c r="O68" s="140"/>
    </row>
    <row r="69" spans="1:15" s="29" customFormat="1" ht="16.5" customHeight="1" x14ac:dyDescent="0.2">
      <c r="A69" s="18" t="s">
        <v>109</v>
      </c>
      <c r="B69" s="18" t="s">
        <v>53</v>
      </c>
      <c r="C69" s="50">
        <v>39387</v>
      </c>
      <c r="D69" s="18" t="s">
        <v>34</v>
      </c>
      <c r="E69" s="49" t="s">
        <v>195</v>
      </c>
      <c r="F69" s="18" t="s">
        <v>21</v>
      </c>
      <c r="G69" s="50">
        <v>20</v>
      </c>
      <c r="H69" s="70">
        <v>14.09</v>
      </c>
      <c r="I69" s="14">
        <f t="shared" si="45"/>
        <v>2.158588</v>
      </c>
      <c r="J69" s="14">
        <f t="shared" si="46"/>
        <v>16.248587999999998</v>
      </c>
      <c r="K69" s="14">
        <f t="shared" si="47"/>
        <v>4.8745763999999987E-3</v>
      </c>
      <c r="L69" s="14">
        <f t="shared" si="48"/>
        <v>16.243713423599999</v>
      </c>
      <c r="M69" s="14">
        <f t="shared" si="49"/>
        <v>324.87426847199998</v>
      </c>
      <c r="N69" s="14">
        <f t="shared" si="50"/>
        <v>1.9027683997299123</v>
      </c>
      <c r="O69" s="140"/>
    </row>
    <row r="70" spans="1:15" s="19" customFormat="1" ht="17.100000000000001" customHeight="1" x14ac:dyDescent="0.2">
      <c r="A70" s="18" t="s">
        <v>136</v>
      </c>
      <c r="B70" s="18" t="s">
        <v>53</v>
      </c>
      <c r="C70" s="23">
        <v>7098</v>
      </c>
      <c r="D70" s="18" t="s">
        <v>34</v>
      </c>
      <c r="E70" s="24" t="s">
        <v>196</v>
      </c>
      <c r="F70" s="18" t="s">
        <v>21</v>
      </c>
      <c r="G70" s="18">
        <v>5</v>
      </c>
      <c r="H70" s="69">
        <v>4.0199999999999996</v>
      </c>
      <c r="I70" s="14">
        <f t="shared" si="45"/>
        <v>0.61586399999999997</v>
      </c>
      <c r="J70" s="14">
        <f t="shared" si="46"/>
        <v>4.6358639999999998</v>
      </c>
      <c r="K70" s="14">
        <f t="shared" si="47"/>
        <v>1.3907591999999997E-3</v>
      </c>
      <c r="L70" s="14">
        <f t="shared" si="48"/>
        <v>4.6344732407999993</v>
      </c>
      <c r="M70" s="14">
        <f t="shared" si="49"/>
        <v>23.172366203999996</v>
      </c>
      <c r="N70" s="14">
        <f t="shared" si="50"/>
        <v>7.132718239886443E-2</v>
      </c>
      <c r="O70" s="140"/>
    </row>
    <row r="71" spans="1:15" s="30" customFormat="1" ht="16.5" customHeight="1" x14ac:dyDescent="0.2">
      <c r="A71" s="18" t="s">
        <v>163</v>
      </c>
      <c r="B71" s="18" t="s">
        <v>53</v>
      </c>
      <c r="C71" s="18">
        <v>11772</v>
      </c>
      <c r="D71" s="18" t="s">
        <v>34</v>
      </c>
      <c r="E71" s="25" t="s">
        <v>126</v>
      </c>
      <c r="F71" s="18" t="s">
        <v>21</v>
      </c>
      <c r="G71" s="18">
        <v>15</v>
      </c>
      <c r="H71" s="66">
        <v>119.49</v>
      </c>
      <c r="I71" s="14">
        <f t="shared" si="45"/>
        <v>18.305868</v>
      </c>
      <c r="J71" s="14">
        <f t="shared" si="46"/>
        <v>137.79586799999998</v>
      </c>
      <c r="K71" s="14">
        <f t="shared" si="47"/>
        <v>4.1338760399999994E-2</v>
      </c>
      <c r="L71" s="14">
        <f t="shared" si="48"/>
        <v>137.75452923959998</v>
      </c>
      <c r="M71" s="14">
        <f t="shared" si="49"/>
        <v>2066.3179385939998</v>
      </c>
      <c r="N71" s="14">
        <f t="shared" si="50"/>
        <v>89.171641791044777</v>
      </c>
      <c r="O71" s="140"/>
    </row>
    <row r="72" spans="1:15" s="29" customFormat="1" ht="16.5" customHeight="1" x14ac:dyDescent="0.2">
      <c r="A72" s="18" t="s">
        <v>164</v>
      </c>
      <c r="B72" s="18" t="s">
        <v>53</v>
      </c>
      <c r="C72" s="50">
        <v>6156</v>
      </c>
      <c r="D72" s="18" t="s">
        <v>34</v>
      </c>
      <c r="E72" s="49" t="s">
        <v>197</v>
      </c>
      <c r="F72" s="18" t="s">
        <v>21</v>
      </c>
      <c r="G72" s="50">
        <v>5</v>
      </c>
      <c r="H72" s="70">
        <v>7.91</v>
      </c>
      <c r="I72" s="14">
        <f t="shared" si="45"/>
        <v>1.2118120000000001</v>
      </c>
      <c r="J72" s="14">
        <f t="shared" si="46"/>
        <v>9.1218120000000003</v>
      </c>
      <c r="K72" s="14">
        <f t="shared" si="47"/>
        <v>2.7365435999999999E-3</v>
      </c>
      <c r="L72" s="14">
        <f t="shared" si="48"/>
        <v>9.1190754564000009</v>
      </c>
      <c r="M72" s="14">
        <f t="shared" si="49"/>
        <v>45.595377282000001</v>
      </c>
      <c r="N72" s="14">
        <f t="shared" si="50"/>
        <v>2.2066002733841048E-2</v>
      </c>
      <c r="O72" s="140"/>
    </row>
    <row r="73" spans="1:15" s="19" customFormat="1" ht="17.100000000000001" customHeight="1" x14ac:dyDescent="0.2">
      <c r="A73" s="18" t="s">
        <v>165</v>
      </c>
      <c r="B73" s="18" t="s">
        <v>53</v>
      </c>
      <c r="C73" s="18">
        <v>1956</v>
      </c>
      <c r="D73" s="18" t="s">
        <v>34</v>
      </c>
      <c r="E73" s="25" t="s">
        <v>133</v>
      </c>
      <c r="F73" s="18" t="s">
        <v>21</v>
      </c>
      <c r="G73" s="18">
        <v>10</v>
      </c>
      <c r="H73" s="66">
        <v>3.13</v>
      </c>
      <c r="I73" s="14">
        <f t="shared" si="45"/>
        <v>0.479516</v>
      </c>
      <c r="J73" s="14">
        <f t="shared" si="46"/>
        <v>3.6095159999999997</v>
      </c>
      <c r="K73" s="14">
        <f t="shared" si="47"/>
        <v>1.0828547999999999E-3</v>
      </c>
      <c r="L73" s="14">
        <f t="shared" si="48"/>
        <v>3.6084331451999998</v>
      </c>
      <c r="M73" s="14">
        <f t="shared" si="49"/>
        <v>36.084331452000001</v>
      </c>
      <c r="N73" s="14">
        <f t="shared" si="50"/>
        <v>0.79140328697850826</v>
      </c>
      <c r="O73" s="140"/>
    </row>
    <row r="74" spans="1:15" s="29" customFormat="1" ht="16.5" customHeight="1" x14ac:dyDescent="0.2">
      <c r="A74" s="18" t="s">
        <v>143</v>
      </c>
      <c r="B74" s="18" t="s">
        <v>53</v>
      </c>
      <c r="C74" s="50">
        <v>38988</v>
      </c>
      <c r="D74" s="18" t="s">
        <v>34</v>
      </c>
      <c r="E74" s="49" t="s">
        <v>198</v>
      </c>
      <c r="F74" s="18" t="s">
        <v>21</v>
      </c>
      <c r="G74" s="50">
        <v>5</v>
      </c>
      <c r="H74" s="70">
        <v>21.15</v>
      </c>
      <c r="I74" s="14">
        <f t="shared" si="45"/>
        <v>3.2401800000000001</v>
      </c>
      <c r="J74" s="14">
        <f t="shared" si="46"/>
        <v>24.390179999999997</v>
      </c>
      <c r="K74" s="14">
        <f t="shared" si="47"/>
        <v>7.3170539999999982E-3</v>
      </c>
      <c r="L74" s="14">
        <f t="shared" si="48"/>
        <v>24.382862945999996</v>
      </c>
      <c r="M74" s="14">
        <f t="shared" si="49"/>
        <v>121.91431472999997</v>
      </c>
      <c r="N74" s="14">
        <f t="shared" si="50"/>
        <v>3.378594249201277</v>
      </c>
      <c r="O74" s="140"/>
    </row>
    <row r="75" spans="1:15" s="19" customFormat="1" ht="17.100000000000001" customHeight="1" x14ac:dyDescent="0.2">
      <c r="A75" s="18" t="s">
        <v>166</v>
      </c>
      <c r="B75" s="18" t="s">
        <v>53</v>
      </c>
      <c r="C75" s="18">
        <v>3529</v>
      </c>
      <c r="D75" s="18" t="s">
        <v>34</v>
      </c>
      <c r="E75" s="32" t="s">
        <v>124</v>
      </c>
      <c r="F75" s="18" t="s">
        <v>21</v>
      </c>
      <c r="G75" s="18">
        <v>10</v>
      </c>
      <c r="H75" s="66">
        <v>0.76</v>
      </c>
      <c r="I75" s="14">
        <f t="shared" si="45"/>
        <v>0.11643200000000001</v>
      </c>
      <c r="J75" s="14">
        <f t="shared" si="46"/>
        <v>0.87643199999999999</v>
      </c>
      <c r="K75" s="14">
        <f t="shared" si="47"/>
        <v>2.6292959999999995E-4</v>
      </c>
      <c r="L75" s="14">
        <f t="shared" si="48"/>
        <v>0.87616907040000003</v>
      </c>
      <c r="M75" s="14">
        <f t="shared" si="49"/>
        <v>8.7616907039999994</v>
      </c>
      <c r="N75" s="14">
        <f t="shared" si="50"/>
        <v>7.1867612293144215E-2</v>
      </c>
      <c r="O75" s="140"/>
    </row>
    <row r="76" spans="1:15" s="19" customFormat="1" ht="17.100000000000001" customHeight="1" x14ac:dyDescent="0.2">
      <c r="A76" s="18" t="s">
        <v>167</v>
      </c>
      <c r="B76" s="18" t="s">
        <v>53</v>
      </c>
      <c r="C76" s="18">
        <v>3904</v>
      </c>
      <c r="D76" s="18" t="s">
        <v>34</v>
      </c>
      <c r="E76" s="24" t="s">
        <v>125</v>
      </c>
      <c r="F76" s="18" t="s">
        <v>21</v>
      </c>
      <c r="G76" s="18">
        <v>10</v>
      </c>
      <c r="H76" s="69">
        <v>0.86</v>
      </c>
      <c r="I76" s="14">
        <f t="shared" si="45"/>
        <v>0.13175200000000001</v>
      </c>
      <c r="J76" s="14">
        <f t="shared" si="46"/>
        <v>0.99175199999999997</v>
      </c>
      <c r="K76" s="14">
        <f t="shared" si="47"/>
        <v>2.9752559999999997E-4</v>
      </c>
      <c r="L76" s="14">
        <f t="shared" si="48"/>
        <v>0.99145447440000001</v>
      </c>
      <c r="M76" s="14">
        <f t="shared" si="49"/>
        <v>9.9145447440000005</v>
      </c>
      <c r="N76" s="14">
        <f t="shared" si="50"/>
        <v>1.1315789473684212</v>
      </c>
      <c r="O76" s="140"/>
    </row>
    <row r="77" spans="1:15" s="29" customFormat="1" ht="16.5" customHeight="1" x14ac:dyDescent="0.2">
      <c r="A77" s="18" t="s">
        <v>168</v>
      </c>
      <c r="B77" s="18" t="s">
        <v>53</v>
      </c>
      <c r="C77" s="50">
        <v>3903</v>
      </c>
      <c r="D77" s="18" t="s">
        <v>34</v>
      </c>
      <c r="E77" s="49" t="s">
        <v>199</v>
      </c>
      <c r="F77" s="18" t="s">
        <v>21</v>
      </c>
      <c r="G77" s="50">
        <v>10</v>
      </c>
      <c r="H77" s="70">
        <v>2.1</v>
      </c>
      <c r="I77" s="14">
        <f t="shared" si="45"/>
        <v>0.32172000000000001</v>
      </c>
      <c r="J77" s="14">
        <f t="shared" si="46"/>
        <v>2.4217200000000001</v>
      </c>
      <c r="K77" s="14">
        <f t="shared" si="47"/>
        <v>7.2651599999999997E-4</v>
      </c>
      <c r="L77" s="14">
        <f t="shared" si="48"/>
        <v>2.4209934840000003</v>
      </c>
      <c r="M77" s="14">
        <f t="shared" si="49"/>
        <v>24.209934840000003</v>
      </c>
      <c r="N77" s="14">
        <f t="shared" si="50"/>
        <v>2.4418604651162794</v>
      </c>
      <c r="O77" s="140"/>
    </row>
    <row r="78" spans="1:15" s="29" customFormat="1" ht="16.5" customHeight="1" x14ac:dyDescent="0.2">
      <c r="A78" s="18" t="s">
        <v>169</v>
      </c>
      <c r="B78" s="18" t="s">
        <v>53</v>
      </c>
      <c r="C78" s="65">
        <v>3864</v>
      </c>
      <c r="D78" s="18" t="s">
        <v>34</v>
      </c>
      <c r="E78" s="49" t="s">
        <v>200</v>
      </c>
      <c r="F78" s="18" t="s">
        <v>21</v>
      </c>
      <c r="G78" s="50">
        <v>10</v>
      </c>
      <c r="H78" s="70">
        <v>14.02</v>
      </c>
      <c r="I78" s="14">
        <f t="shared" si="45"/>
        <v>2.1478639999999998</v>
      </c>
      <c r="J78" s="14">
        <f t="shared" si="46"/>
        <v>16.167863999999998</v>
      </c>
      <c r="K78" s="14">
        <f t="shared" si="47"/>
        <v>4.8503591999999986E-3</v>
      </c>
      <c r="L78" s="14">
        <f t="shared" si="48"/>
        <v>16.163013640799999</v>
      </c>
      <c r="M78" s="14">
        <f t="shared" si="49"/>
        <v>161.630136408</v>
      </c>
      <c r="N78" s="14">
        <f t="shared" si="50"/>
        <v>6.6761904761904756</v>
      </c>
      <c r="O78" s="140"/>
    </row>
    <row r="79" spans="1:15" s="29" customFormat="1" ht="16.5" customHeight="1" x14ac:dyDescent="0.2">
      <c r="A79" s="18" t="s">
        <v>170</v>
      </c>
      <c r="B79" s="18" t="s">
        <v>53</v>
      </c>
      <c r="C79" s="50">
        <v>3873</v>
      </c>
      <c r="D79" s="18" t="s">
        <v>34</v>
      </c>
      <c r="E79" s="49" t="s">
        <v>201</v>
      </c>
      <c r="F79" s="18" t="s">
        <v>21</v>
      </c>
      <c r="G79" s="50">
        <v>10</v>
      </c>
      <c r="H79" s="70">
        <v>12.96</v>
      </c>
      <c r="I79" s="14">
        <f t="shared" si="45"/>
        <v>1.9854720000000001</v>
      </c>
      <c r="J79" s="14">
        <f t="shared" si="46"/>
        <v>14.945472000000001</v>
      </c>
      <c r="K79" s="14">
        <f t="shared" si="47"/>
        <v>4.4836415999999994E-3</v>
      </c>
      <c r="L79" s="14">
        <f t="shared" si="48"/>
        <v>14.9409883584</v>
      </c>
      <c r="M79" s="14">
        <f t="shared" si="49"/>
        <v>149.409883584</v>
      </c>
      <c r="N79" s="14">
        <f t="shared" si="50"/>
        <v>0.92439372325249647</v>
      </c>
      <c r="O79" s="140"/>
    </row>
    <row r="80" spans="1:15" s="29" customFormat="1" ht="16.5" customHeight="1" x14ac:dyDescent="0.2">
      <c r="A80" s="18" t="s">
        <v>171</v>
      </c>
      <c r="B80" s="18" t="s">
        <v>53</v>
      </c>
      <c r="C80" s="50">
        <v>38021</v>
      </c>
      <c r="D80" s="18" t="s">
        <v>34</v>
      </c>
      <c r="E80" s="49" t="s">
        <v>202</v>
      </c>
      <c r="F80" s="18" t="s">
        <v>21</v>
      </c>
      <c r="G80" s="50">
        <v>10</v>
      </c>
      <c r="H80" s="70">
        <v>23</v>
      </c>
      <c r="I80" s="14">
        <f t="shared" si="45"/>
        <v>3.5236000000000001</v>
      </c>
      <c r="J80" s="14">
        <f t="shared" si="46"/>
        <v>26.523600000000002</v>
      </c>
      <c r="K80" s="14">
        <f t="shared" si="47"/>
        <v>7.9570800000000001E-3</v>
      </c>
      <c r="L80" s="14">
        <f t="shared" si="48"/>
        <v>26.515642920000001</v>
      </c>
      <c r="M80" s="14">
        <f t="shared" si="49"/>
        <v>265.15642919999999</v>
      </c>
      <c r="N80" s="14">
        <f t="shared" si="50"/>
        <v>1.7746913580246912</v>
      </c>
      <c r="O80" s="140"/>
    </row>
    <row r="81" spans="1:15" s="29" customFormat="1" ht="16.5" customHeight="1" x14ac:dyDescent="0.2">
      <c r="A81" s="18" t="s">
        <v>172</v>
      </c>
      <c r="B81" s="18" t="s">
        <v>53</v>
      </c>
      <c r="C81" s="50">
        <v>38022</v>
      </c>
      <c r="D81" s="18" t="s">
        <v>34</v>
      </c>
      <c r="E81" s="49" t="s">
        <v>203</v>
      </c>
      <c r="F81" s="18" t="s">
        <v>21</v>
      </c>
      <c r="G81" s="50">
        <v>10</v>
      </c>
      <c r="H81" s="70">
        <v>41.21</v>
      </c>
      <c r="I81" s="14">
        <f t="shared" si="45"/>
        <v>6.3133720000000002</v>
      </c>
      <c r="J81" s="14">
        <f t="shared" si="46"/>
        <v>47.523372000000002</v>
      </c>
      <c r="K81" s="14">
        <f t="shared" si="47"/>
        <v>1.4257011599999999E-2</v>
      </c>
      <c r="L81" s="14">
        <f t="shared" si="48"/>
        <v>47.5091149884</v>
      </c>
      <c r="M81" s="14">
        <f t="shared" si="49"/>
        <v>475.091149884</v>
      </c>
      <c r="N81" s="14">
        <f t="shared" si="50"/>
        <v>1.7917391304347827</v>
      </c>
      <c r="O81" s="140"/>
    </row>
    <row r="82" spans="1:15" s="29" customFormat="1" ht="16.5" customHeight="1" x14ac:dyDescent="0.2">
      <c r="A82" s="18" t="s">
        <v>173</v>
      </c>
      <c r="B82" s="18" t="s">
        <v>53</v>
      </c>
      <c r="C82" s="50">
        <v>37947</v>
      </c>
      <c r="D82" s="18" t="s">
        <v>34</v>
      </c>
      <c r="E82" s="49" t="s">
        <v>204</v>
      </c>
      <c r="F82" s="18" t="s">
        <v>21</v>
      </c>
      <c r="G82" s="50">
        <v>10</v>
      </c>
      <c r="H82" s="70">
        <v>4.4400000000000004</v>
      </c>
      <c r="I82" s="14">
        <f t="shared" si="45"/>
        <v>0.68020800000000003</v>
      </c>
      <c r="J82" s="14">
        <f t="shared" si="46"/>
        <v>5.1202080000000008</v>
      </c>
      <c r="K82" s="14">
        <f t="shared" si="47"/>
        <v>1.5360624000000001E-3</v>
      </c>
      <c r="L82" s="14">
        <f t="shared" si="48"/>
        <v>5.1186719376000012</v>
      </c>
      <c r="M82" s="14">
        <f t="shared" si="49"/>
        <v>51.186719376000013</v>
      </c>
      <c r="N82" s="14">
        <f t="shared" si="50"/>
        <v>0.10774083960203837</v>
      </c>
      <c r="O82" s="140"/>
    </row>
    <row r="83" spans="1:15" s="29" customFormat="1" ht="16.5" customHeight="1" x14ac:dyDescent="0.2">
      <c r="A83" s="18" t="s">
        <v>174</v>
      </c>
      <c r="B83" s="18" t="s">
        <v>53</v>
      </c>
      <c r="C83" s="50">
        <v>9910</v>
      </c>
      <c r="D83" s="18" t="s">
        <v>34</v>
      </c>
      <c r="E83" s="49" t="s">
        <v>129</v>
      </c>
      <c r="F83" s="18" t="s">
        <v>21</v>
      </c>
      <c r="G83" s="50">
        <v>5</v>
      </c>
      <c r="H83" s="70">
        <v>75.48</v>
      </c>
      <c r="I83" s="14">
        <f t="shared" si="45"/>
        <v>11.563536000000001</v>
      </c>
      <c r="J83" s="14">
        <f t="shared" si="46"/>
        <v>87.043536000000003</v>
      </c>
      <c r="K83" s="14">
        <f t="shared" si="47"/>
        <v>2.6113060799999997E-2</v>
      </c>
      <c r="L83" s="14">
        <f t="shared" si="48"/>
        <v>87.017422939200003</v>
      </c>
      <c r="M83" s="14">
        <f t="shared" si="49"/>
        <v>435.08711469600001</v>
      </c>
      <c r="N83" s="14">
        <f t="shared" si="50"/>
        <v>8.4999999999999982</v>
      </c>
      <c r="O83" s="140"/>
    </row>
    <row r="84" spans="1:15" s="29" customFormat="1" ht="16.5" customHeight="1" x14ac:dyDescent="0.2">
      <c r="A84" s="50"/>
      <c r="B84" s="50"/>
      <c r="C84" s="50"/>
      <c r="D84" s="50"/>
      <c r="E84" s="49"/>
      <c r="F84" s="18"/>
      <c r="G84" s="50"/>
      <c r="H84" s="52"/>
      <c r="I84" s="14"/>
      <c r="J84" s="14"/>
      <c r="K84" s="14"/>
      <c r="L84" s="14"/>
      <c r="M84" s="14"/>
      <c r="N84" s="14"/>
      <c r="O84" s="140"/>
    </row>
    <row r="85" spans="1:15" s="29" customFormat="1" ht="16.5" customHeight="1" x14ac:dyDescent="0.2">
      <c r="A85" s="50"/>
      <c r="B85" s="50"/>
      <c r="C85" s="50"/>
      <c r="D85" s="50"/>
      <c r="E85" s="49"/>
      <c r="F85" s="18"/>
      <c r="G85" s="50"/>
      <c r="H85" s="52"/>
      <c r="I85" s="14"/>
      <c r="J85" s="14"/>
      <c r="K85" s="14"/>
      <c r="L85" s="14"/>
      <c r="M85" s="14"/>
      <c r="N85" s="14"/>
      <c r="O85" s="140"/>
    </row>
    <row r="86" spans="1:15" s="29" customFormat="1" ht="16.5" customHeight="1" x14ac:dyDescent="0.2">
      <c r="A86" s="50"/>
      <c r="B86" s="50"/>
      <c r="C86" s="50"/>
      <c r="D86" s="50"/>
      <c r="E86" s="49"/>
      <c r="F86" s="18"/>
      <c r="G86" s="50"/>
      <c r="H86" s="52"/>
      <c r="I86" s="14"/>
      <c r="J86" s="14"/>
      <c r="K86" s="14"/>
      <c r="L86" s="14"/>
      <c r="M86" s="14"/>
      <c r="N86" s="14"/>
      <c r="O86" s="140"/>
    </row>
    <row r="87" spans="1:15" s="29" customFormat="1" ht="16.5" customHeight="1" x14ac:dyDescent="0.2">
      <c r="A87" s="50"/>
      <c r="B87" s="50"/>
      <c r="C87" s="50"/>
      <c r="D87" s="50"/>
      <c r="E87" s="49"/>
      <c r="F87" s="18"/>
      <c r="G87" s="50"/>
      <c r="H87" s="52"/>
      <c r="I87" s="14"/>
      <c r="J87" s="14"/>
      <c r="K87" s="14"/>
      <c r="L87" s="14"/>
      <c r="M87" s="14"/>
      <c r="N87" s="14"/>
      <c r="O87" s="140"/>
    </row>
    <row r="88" spans="1:15" s="29" customFormat="1" ht="16.5" customHeight="1" x14ac:dyDescent="0.2">
      <c r="A88" s="50"/>
      <c r="B88" s="50"/>
      <c r="C88" s="50"/>
      <c r="D88" s="50"/>
      <c r="E88" s="49"/>
      <c r="F88" s="48"/>
      <c r="G88" s="50"/>
      <c r="H88" s="52"/>
      <c r="I88" s="14"/>
      <c r="J88" s="14"/>
      <c r="K88" s="14"/>
      <c r="L88" s="14"/>
      <c r="M88" s="14"/>
      <c r="N88" s="14"/>
      <c r="O88" s="140"/>
    </row>
    <row r="89" spans="1:15" s="19" customFormat="1" ht="17.100000000000001" customHeight="1" x14ac:dyDescent="0.2">
      <c r="A89" s="18"/>
      <c r="B89" s="18"/>
      <c r="C89" s="23"/>
      <c r="D89" s="18"/>
      <c r="E89" s="24"/>
      <c r="F89" s="18"/>
      <c r="G89" s="18"/>
      <c r="H89" s="27"/>
      <c r="I89" s="14"/>
      <c r="J89" s="14"/>
      <c r="K89" s="14"/>
      <c r="L89" s="14"/>
      <c r="M89" s="14"/>
      <c r="N89" s="14"/>
      <c r="O89" s="140"/>
    </row>
    <row r="90" spans="1:15" s="28" customFormat="1" ht="17.100000000000001" customHeight="1" x14ac:dyDescent="0.25">
      <c r="A90" s="149" t="s">
        <v>16</v>
      </c>
      <c r="B90" s="123" t="s">
        <v>17</v>
      </c>
      <c r="C90" s="123" t="s">
        <v>18</v>
      </c>
      <c r="D90" s="123" t="s">
        <v>19</v>
      </c>
      <c r="E90" s="123" t="s">
        <v>20</v>
      </c>
      <c r="F90" s="123" t="s">
        <v>21</v>
      </c>
      <c r="G90" s="123" t="s">
        <v>22</v>
      </c>
      <c r="H90" s="134" t="s">
        <v>23</v>
      </c>
      <c r="I90" s="134"/>
      <c r="J90" s="134"/>
      <c r="K90" s="134"/>
      <c r="L90" s="135"/>
      <c r="M90" s="123" t="s">
        <v>24</v>
      </c>
      <c r="N90" s="123" t="s">
        <v>25</v>
      </c>
      <c r="O90" s="89"/>
    </row>
    <row r="91" spans="1:15" s="28" customFormat="1" ht="17.100000000000001" customHeight="1" x14ac:dyDescent="0.25">
      <c r="A91" s="150"/>
      <c r="B91" s="124"/>
      <c r="C91" s="124"/>
      <c r="D91" s="124"/>
      <c r="E91" s="124"/>
      <c r="F91" s="124"/>
      <c r="G91" s="124"/>
      <c r="H91" s="4" t="s">
        <v>27</v>
      </c>
      <c r="I91" s="4" t="s">
        <v>28</v>
      </c>
      <c r="J91" s="4" t="s">
        <v>29</v>
      </c>
      <c r="K91" s="4" t="s">
        <v>57</v>
      </c>
      <c r="L91" s="4" t="s">
        <v>30</v>
      </c>
      <c r="M91" s="124"/>
      <c r="N91" s="124"/>
      <c r="O91" s="89"/>
    </row>
    <row r="92" spans="1:15" s="29" customFormat="1" ht="17.100000000000001" customHeight="1" x14ac:dyDescent="0.2">
      <c r="A92" s="33">
        <v>3</v>
      </c>
      <c r="B92" s="125" t="s">
        <v>38</v>
      </c>
      <c r="C92" s="126"/>
      <c r="D92" s="126"/>
      <c r="E92" s="126"/>
      <c r="F92" s="127"/>
      <c r="G92" s="34"/>
      <c r="H92" s="34"/>
      <c r="I92" s="34"/>
      <c r="J92" s="34"/>
      <c r="K92" s="34"/>
      <c r="L92" s="34"/>
      <c r="M92" s="35">
        <f>SUM(M93:M108)</f>
        <v>132609.92016291677</v>
      </c>
      <c r="N92" s="34"/>
      <c r="O92" s="89"/>
    </row>
    <row r="93" spans="1:15" s="29" customFormat="1" ht="26.25" customHeight="1" x14ac:dyDescent="0.2">
      <c r="A93" s="36" t="s">
        <v>87</v>
      </c>
      <c r="B93" s="36" t="s">
        <v>33</v>
      </c>
      <c r="C93" s="36" t="s">
        <v>62</v>
      </c>
      <c r="D93" s="36" t="s">
        <v>34</v>
      </c>
      <c r="E93" s="37" t="s">
        <v>63</v>
      </c>
      <c r="F93" s="38" t="s">
        <v>35</v>
      </c>
      <c r="G93" s="36">
        <v>180</v>
      </c>
      <c r="H93" s="72">
        <v>31.59</v>
      </c>
      <c r="I93" s="39">
        <f>H93*0.2232</f>
        <v>7.0508880000000005</v>
      </c>
      <c r="J93" s="39">
        <f>H93+I93</f>
        <v>38.640888000000004</v>
      </c>
      <c r="K93" s="39">
        <f>J93*(0.03%)</f>
        <v>1.1592266400000001E-2</v>
      </c>
      <c r="L93" s="39">
        <f>J93-K93</f>
        <v>38.629295733600003</v>
      </c>
      <c r="M93" s="39">
        <f>L93*G93</f>
        <v>6953.2732320480009</v>
      </c>
      <c r="N93" s="39">
        <f>M93/M$16</f>
        <v>8.5734485446080311E-2</v>
      </c>
      <c r="O93" s="140"/>
    </row>
    <row r="94" spans="1:15" s="29" customFormat="1" ht="23.25" customHeight="1" x14ac:dyDescent="0.2">
      <c r="A94" s="36" t="s">
        <v>100</v>
      </c>
      <c r="B94" s="36" t="s">
        <v>33</v>
      </c>
      <c r="C94" s="36" t="s">
        <v>64</v>
      </c>
      <c r="D94" s="36" t="s">
        <v>34</v>
      </c>
      <c r="E94" s="37" t="s">
        <v>65</v>
      </c>
      <c r="F94" s="38" t="s">
        <v>35</v>
      </c>
      <c r="G94" s="36">
        <v>180</v>
      </c>
      <c r="H94" s="72">
        <v>27.2</v>
      </c>
      <c r="I94" s="39">
        <f t="shared" ref="I94" si="51">H94*0.2232</f>
        <v>6.07104</v>
      </c>
      <c r="J94" s="39">
        <f t="shared" ref="J94" si="52">H94+I94</f>
        <v>33.271039999999999</v>
      </c>
      <c r="K94" s="39">
        <f t="shared" ref="K94" si="53">J94*(0.03%)</f>
        <v>9.9813119999999991E-3</v>
      </c>
      <c r="L94" s="39">
        <f t="shared" ref="L94" si="54">J94-K94</f>
        <v>33.261058687999999</v>
      </c>
      <c r="M94" s="39">
        <f t="shared" ref="M94" si="55">L94*G94</f>
        <v>5986.9905638399996</v>
      </c>
      <c r="N94" s="39"/>
      <c r="O94" s="140"/>
    </row>
    <row r="95" spans="1:15" s="28" customFormat="1" ht="26.25" customHeight="1" x14ac:dyDescent="0.25">
      <c r="A95" s="11" t="s">
        <v>88</v>
      </c>
      <c r="B95" s="11" t="s">
        <v>33</v>
      </c>
      <c r="C95" s="11">
        <v>88310</v>
      </c>
      <c r="D95" s="11" t="s">
        <v>34</v>
      </c>
      <c r="E95" s="20" t="s">
        <v>111</v>
      </c>
      <c r="F95" s="13" t="s">
        <v>35</v>
      </c>
      <c r="G95" s="11">
        <v>180</v>
      </c>
      <c r="H95" s="64">
        <v>36.42</v>
      </c>
      <c r="I95" s="14">
        <f>H95*0.2232</f>
        <v>8.1289440000000006</v>
      </c>
      <c r="J95" s="14">
        <f>H95+I95</f>
        <v>44.548944000000006</v>
      </c>
      <c r="K95" s="14">
        <f>J95*(0.03%)</f>
        <v>1.3364683200000001E-2</v>
      </c>
      <c r="L95" s="14">
        <f>J95-K95</f>
        <v>44.535579316800003</v>
      </c>
      <c r="M95" s="14">
        <f>L95*G95</f>
        <v>8016.4042770240003</v>
      </c>
      <c r="N95" s="14">
        <f>M95/M$16</f>
        <v>9.8842987019507597E-2</v>
      </c>
      <c r="O95" s="140"/>
    </row>
    <row r="96" spans="1:15" s="29" customFormat="1" ht="23.25" customHeight="1" x14ac:dyDescent="0.2">
      <c r="A96" s="36" t="s">
        <v>88</v>
      </c>
      <c r="B96" s="36" t="s">
        <v>33</v>
      </c>
      <c r="C96" s="40">
        <v>93588</v>
      </c>
      <c r="D96" s="40" t="s">
        <v>34</v>
      </c>
      <c r="E96" s="41" t="s">
        <v>106</v>
      </c>
      <c r="F96" s="40" t="s">
        <v>107</v>
      </c>
      <c r="G96" s="40">
        <f>5*17</f>
        <v>85</v>
      </c>
      <c r="H96" s="71">
        <v>3.01</v>
      </c>
      <c r="I96" s="42">
        <f>H96*0.2232</f>
        <v>0.67183199999999998</v>
      </c>
      <c r="J96" s="42">
        <f>H96+I96</f>
        <v>3.681832</v>
      </c>
      <c r="K96" s="42">
        <f>J96*(0.03%)</f>
        <v>1.1045495999999998E-3</v>
      </c>
      <c r="L96" s="42">
        <f>J96-K96</f>
        <v>3.6807274504</v>
      </c>
      <c r="M96" s="42">
        <f>L96*G96</f>
        <v>312.861833284</v>
      </c>
      <c r="N96" s="39">
        <f>M96/M$16</f>
        <v>3.8576145934683349E-3</v>
      </c>
      <c r="O96" s="140"/>
    </row>
    <row r="97" spans="1:17" s="29" customFormat="1" ht="23.25" customHeight="1" x14ac:dyDescent="0.2">
      <c r="A97" s="136" t="s">
        <v>146</v>
      </c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8"/>
      <c r="O97" s="140"/>
    </row>
    <row r="98" spans="1:17" s="29" customFormat="1" ht="33" customHeight="1" x14ac:dyDescent="0.2">
      <c r="A98" s="42" t="s">
        <v>89</v>
      </c>
      <c r="B98" s="36" t="s">
        <v>33</v>
      </c>
      <c r="C98" s="40" t="s">
        <v>147</v>
      </c>
      <c r="D98" s="40" t="s">
        <v>148</v>
      </c>
      <c r="E98" s="51" t="s">
        <v>149</v>
      </c>
      <c r="F98" s="40" t="s">
        <v>95</v>
      </c>
      <c r="G98" s="40">
        <f>1700/2</f>
        <v>850</v>
      </c>
      <c r="H98" s="67">
        <v>93.39</v>
      </c>
      <c r="I98" s="42">
        <f t="shared" ref="I98" si="56">H98*0.2232</f>
        <v>20.844647999999999</v>
      </c>
      <c r="J98" s="42">
        <f t="shared" ref="J98" si="57">H98+I98</f>
        <v>114.23464799999999</v>
      </c>
      <c r="K98" s="42">
        <f t="shared" ref="K98" si="58">J98*(0.03%)</f>
        <v>3.4270394399999994E-2</v>
      </c>
      <c r="L98" s="42">
        <f t="shared" ref="L98" si="59">J98-K98</f>
        <v>114.2003776056</v>
      </c>
      <c r="M98" s="42">
        <f t="shared" ref="M98" si="60">L98*G98</f>
        <v>97070.320964760002</v>
      </c>
      <c r="N98" s="39">
        <f t="shared" ref="N98" si="61">M98/M$16</f>
        <v>1.1968858036013548</v>
      </c>
      <c r="O98" s="140"/>
    </row>
    <row r="99" spans="1:17" s="29" customFormat="1" ht="33" customHeight="1" x14ac:dyDescent="0.2">
      <c r="A99" s="136" t="s">
        <v>211</v>
      </c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8"/>
      <c r="O99" s="140"/>
    </row>
    <row r="100" spans="1:17" s="29" customFormat="1" ht="33" customHeight="1" x14ac:dyDescent="0.2">
      <c r="A100" s="42" t="s">
        <v>212</v>
      </c>
      <c r="B100" s="36" t="s">
        <v>33</v>
      </c>
      <c r="C100" s="40">
        <v>90692</v>
      </c>
      <c r="D100" s="40" t="s">
        <v>34</v>
      </c>
      <c r="E100" s="51" t="s">
        <v>219</v>
      </c>
      <c r="F100" s="40" t="s">
        <v>220</v>
      </c>
      <c r="G100" s="76">
        <v>6</v>
      </c>
      <c r="H100" s="67">
        <v>117.41</v>
      </c>
      <c r="I100" s="42">
        <f t="shared" ref="I100" si="62">H100*0.2232</f>
        <v>26.205912000000001</v>
      </c>
      <c r="J100" s="42">
        <f t="shared" ref="J100" si="63">H100+I100</f>
        <v>143.61591200000001</v>
      </c>
      <c r="K100" s="42">
        <f t="shared" ref="K100" si="64">J100*(0.03%)</f>
        <v>4.3084773600000001E-2</v>
      </c>
      <c r="L100" s="42">
        <f t="shared" ref="L100" si="65">J100-K100</f>
        <v>143.57282722640002</v>
      </c>
      <c r="M100" s="42">
        <f t="shared" ref="M100" si="66">L100*G100</f>
        <v>861.43696335840013</v>
      </c>
      <c r="N100" s="39">
        <f t="shared" ref="N100" si="67">M100/M$16</f>
        <v>1.0621595374300191E-2</v>
      </c>
      <c r="O100" s="140"/>
    </row>
    <row r="101" spans="1:17" s="29" customFormat="1" ht="23.25" customHeight="1" x14ac:dyDescent="0.2">
      <c r="A101" s="136" t="s">
        <v>210</v>
      </c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8"/>
      <c r="O101" s="140"/>
    </row>
    <row r="102" spans="1:17" s="29" customFormat="1" ht="23.25" customHeight="1" x14ac:dyDescent="0.2">
      <c r="A102" s="42" t="s">
        <v>213</v>
      </c>
      <c r="B102" s="36" t="s">
        <v>33</v>
      </c>
      <c r="C102" s="40" t="s">
        <v>206</v>
      </c>
      <c r="D102" s="40" t="s">
        <v>34</v>
      </c>
      <c r="E102" s="62" t="s">
        <v>207</v>
      </c>
      <c r="F102" s="40" t="s">
        <v>95</v>
      </c>
      <c r="G102" s="40">
        <v>77.5</v>
      </c>
      <c r="H102" s="73">
        <v>14.03</v>
      </c>
      <c r="I102" s="42">
        <f t="shared" ref="I102:I103" si="68">H102*0.2232</f>
        <v>3.1314959999999998</v>
      </c>
      <c r="J102" s="42">
        <f t="shared" ref="J102" si="69">H102+I102</f>
        <v>17.161496</v>
      </c>
      <c r="K102" s="42">
        <f t="shared" ref="K102" si="70">J102*(0.03%)</f>
        <v>5.1484487999999993E-3</v>
      </c>
      <c r="L102" s="42">
        <f t="shared" ref="L102" si="71">J102-K102</f>
        <v>17.1563475512</v>
      </c>
      <c r="M102" s="42">
        <f t="shared" ref="M102" si="72">L102*G102</f>
        <v>1329.616935218</v>
      </c>
      <c r="N102" s="39">
        <f t="shared" ref="N102" si="73">M102/M$16</f>
        <v>1.6394296610681872E-2</v>
      </c>
      <c r="O102" s="140"/>
    </row>
    <row r="103" spans="1:17" s="29" customFormat="1" ht="23.25" customHeight="1" x14ac:dyDescent="0.2">
      <c r="A103" s="42" t="s">
        <v>214</v>
      </c>
      <c r="B103" s="36" t="s">
        <v>33</v>
      </c>
      <c r="C103" s="40">
        <v>88485</v>
      </c>
      <c r="D103" s="63" t="s">
        <v>34</v>
      </c>
      <c r="E103" s="62" t="s">
        <v>208</v>
      </c>
      <c r="F103" s="40" t="s">
        <v>95</v>
      </c>
      <c r="G103" s="40">
        <v>7.42</v>
      </c>
      <c r="H103" s="73">
        <v>4.84</v>
      </c>
      <c r="I103" s="75">
        <f t="shared" si="68"/>
        <v>1.0802879999999999</v>
      </c>
      <c r="J103" s="75">
        <f t="shared" ref="J103" si="74">H103+I103</f>
        <v>5.9202879999999993</v>
      </c>
      <c r="K103" s="75">
        <f t="shared" ref="K103" si="75">J103*(0.03%)</f>
        <v>1.7760863999999996E-3</v>
      </c>
      <c r="L103" s="75">
        <f t="shared" ref="L103" si="76">J103-K103</f>
        <v>5.9185119135999997</v>
      </c>
      <c r="M103" s="75">
        <f t="shared" ref="M103" si="77">L103*G103</f>
        <v>43.915358398911998</v>
      </c>
      <c r="N103" s="39"/>
      <c r="O103" s="140"/>
    </row>
    <row r="104" spans="1:17" s="29" customFormat="1" ht="23.25" customHeight="1" x14ac:dyDescent="0.2">
      <c r="A104" s="42" t="s">
        <v>215</v>
      </c>
      <c r="B104" s="36" t="s">
        <v>33</v>
      </c>
      <c r="C104" s="43">
        <v>96135</v>
      </c>
      <c r="D104" s="43" t="s">
        <v>34</v>
      </c>
      <c r="E104" s="44" t="s">
        <v>209</v>
      </c>
      <c r="F104" s="43" t="s">
        <v>95</v>
      </c>
      <c r="G104" s="43">
        <v>7.42</v>
      </c>
      <c r="H104" s="74">
        <v>35.380000000000003</v>
      </c>
      <c r="I104" s="42">
        <f t="shared" ref="I104" si="78">H104*0.2232</f>
        <v>7.8968160000000012</v>
      </c>
      <c r="J104" s="42">
        <f t="shared" ref="J104" si="79">H104+I104</f>
        <v>43.276816000000004</v>
      </c>
      <c r="K104" s="42">
        <f t="shared" ref="K104" si="80">J104*(0.03%)</f>
        <v>1.2983044799999999E-2</v>
      </c>
      <c r="L104" s="42">
        <f t="shared" ref="L104" si="81">J104-K104</f>
        <v>43.263832955200002</v>
      </c>
      <c r="M104" s="42">
        <f t="shared" ref="M104" si="82">L104*G104</f>
        <v>321.01764052758404</v>
      </c>
      <c r="N104" s="39">
        <f t="shared" ref="N104" si="83">M104/M$16</f>
        <v>3.9581764316258356E-3</v>
      </c>
      <c r="O104" s="140"/>
    </row>
    <row r="105" spans="1:17" s="29" customFormat="1" ht="23.25" customHeight="1" x14ac:dyDescent="0.2">
      <c r="A105" s="139" t="s">
        <v>205</v>
      </c>
      <c r="B105" s="139"/>
      <c r="C105" s="139"/>
      <c r="D105" s="139"/>
      <c r="E105" s="139"/>
      <c r="F105" s="139"/>
      <c r="G105" s="139"/>
      <c r="H105" s="139"/>
      <c r="I105" s="139"/>
      <c r="J105" s="139"/>
      <c r="K105" s="139"/>
      <c r="L105" s="139"/>
      <c r="M105" s="139"/>
      <c r="N105" s="139"/>
      <c r="O105" s="140"/>
    </row>
    <row r="106" spans="1:17" s="29" customFormat="1" ht="23.25" customHeight="1" x14ac:dyDescent="0.2">
      <c r="A106" s="42" t="s">
        <v>216</v>
      </c>
      <c r="B106" s="36" t="s">
        <v>33</v>
      </c>
      <c r="C106" s="40" t="s">
        <v>206</v>
      </c>
      <c r="D106" s="40" t="s">
        <v>34</v>
      </c>
      <c r="E106" s="62" t="s">
        <v>207</v>
      </c>
      <c r="F106" s="40" t="s">
        <v>95</v>
      </c>
      <c r="G106" s="40">
        <v>471.88</v>
      </c>
      <c r="H106" s="73">
        <v>14.03</v>
      </c>
      <c r="I106" s="42">
        <f t="shared" ref="I106:I108" si="84">H106*0.2232</f>
        <v>3.1314959999999998</v>
      </c>
      <c r="J106" s="42">
        <f t="shared" ref="J106:J108" si="85">H106+I106</f>
        <v>17.161496</v>
      </c>
      <c r="K106" s="42">
        <f t="shared" ref="K106:K108" si="86">J106*(0.03%)</f>
        <v>5.1484487999999993E-3</v>
      </c>
      <c r="L106" s="42">
        <f t="shared" ref="L106:L108" si="87">J106-K106</f>
        <v>17.1563475512</v>
      </c>
      <c r="M106" s="42">
        <f t="shared" ref="M106:M108" si="88">L106*G106</f>
        <v>8095.7372824602562</v>
      </c>
      <c r="N106" s="39">
        <f t="shared" ref="N106:N108" si="89">M106/M$16</f>
        <v>9.982117012449758E-2</v>
      </c>
      <c r="O106" s="140"/>
    </row>
    <row r="107" spans="1:17" s="29" customFormat="1" ht="23.25" customHeight="1" x14ac:dyDescent="0.2">
      <c r="A107" s="42" t="s">
        <v>217</v>
      </c>
      <c r="B107" s="36" t="s">
        <v>33</v>
      </c>
      <c r="C107" s="40">
        <v>88485</v>
      </c>
      <c r="D107" s="63" t="s">
        <v>34</v>
      </c>
      <c r="E107" s="62" t="s">
        <v>208</v>
      </c>
      <c r="F107" s="40" t="s">
        <v>95</v>
      </c>
      <c r="G107" s="40">
        <v>73.569999999999993</v>
      </c>
      <c r="H107" s="73">
        <v>4.84</v>
      </c>
      <c r="I107" s="42">
        <f t="shared" si="84"/>
        <v>1.0802879999999999</v>
      </c>
      <c r="J107" s="42">
        <f t="shared" si="85"/>
        <v>5.9202879999999993</v>
      </c>
      <c r="K107" s="42">
        <f t="shared" si="86"/>
        <v>1.7760863999999996E-3</v>
      </c>
      <c r="L107" s="42">
        <f t="shared" si="87"/>
        <v>5.9185119135999997</v>
      </c>
      <c r="M107" s="42">
        <f t="shared" si="88"/>
        <v>435.42492148355194</v>
      </c>
      <c r="N107" s="39">
        <f t="shared" si="89"/>
        <v>5.3688285139913711E-3</v>
      </c>
      <c r="O107" s="140"/>
    </row>
    <row r="108" spans="1:17" s="29" customFormat="1" ht="23.25" customHeight="1" x14ac:dyDescent="0.2">
      <c r="A108" s="42" t="s">
        <v>218</v>
      </c>
      <c r="B108" s="36" t="s">
        <v>33</v>
      </c>
      <c r="C108" s="43">
        <v>96135</v>
      </c>
      <c r="D108" s="43" t="s">
        <v>34</v>
      </c>
      <c r="E108" s="44" t="s">
        <v>209</v>
      </c>
      <c r="F108" s="43" t="s">
        <v>95</v>
      </c>
      <c r="G108" s="43">
        <v>73.569999999999993</v>
      </c>
      <c r="H108" s="74">
        <v>35.380000000000003</v>
      </c>
      <c r="I108" s="42">
        <f t="shared" si="84"/>
        <v>7.8968160000000012</v>
      </c>
      <c r="J108" s="42">
        <f t="shared" si="85"/>
        <v>43.276816000000004</v>
      </c>
      <c r="K108" s="42">
        <f t="shared" si="86"/>
        <v>1.2983044799999999E-2</v>
      </c>
      <c r="L108" s="42">
        <f t="shared" si="87"/>
        <v>43.263832955200002</v>
      </c>
      <c r="M108" s="42">
        <f t="shared" si="88"/>
        <v>3182.920190514064</v>
      </c>
      <c r="N108" s="39">
        <f t="shared" si="89"/>
        <v>3.9245692732441065E-2</v>
      </c>
      <c r="O108" s="140"/>
    </row>
    <row r="109" spans="1:17" s="30" customFormat="1" ht="17.100000000000001" customHeight="1" x14ac:dyDescent="0.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140"/>
    </row>
    <row r="110" spans="1:17" s="30" customFormat="1" ht="17.100000000000001" customHeight="1" x14ac:dyDescent="0.2">
      <c r="A110" s="128"/>
      <c r="B110" s="129"/>
      <c r="C110" s="129"/>
      <c r="D110" s="129"/>
      <c r="E110" s="129"/>
      <c r="F110" s="129"/>
      <c r="G110" s="129"/>
      <c r="H110" s="46" t="s">
        <v>39</v>
      </c>
      <c r="I110" s="47"/>
      <c r="J110" s="130">
        <f>M16+M31+M92</f>
        <v>249530.59028546189</v>
      </c>
      <c r="K110" s="131"/>
      <c r="L110" s="131"/>
      <c r="M110" s="131"/>
      <c r="N110" s="132"/>
      <c r="O110" s="89"/>
      <c r="Q110" s="170">
        <f>J110-138000</f>
        <v>111530.59028546189</v>
      </c>
    </row>
    <row r="111" spans="1:17" ht="17.100000000000001" customHeight="1" x14ac:dyDescent="0.25">
      <c r="A111" s="103" t="s">
        <v>96</v>
      </c>
      <c r="B111" s="104"/>
      <c r="C111" s="104"/>
      <c r="D111" s="104"/>
      <c r="E111" s="104"/>
      <c r="F111" s="104"/>
      <c r="G111" s="104"/>
      <c r="H111" s="119"/>
      <c r="I111" s="119"/>
      <c r="J111" s="119"/>
      <c r="K111" s="119"/>
      <c r="L111" s="119"/>
      <c r="M111" s="119"/>
      <c r="N111" s="133"/>
      <c r="O111" s="89"/>
    </row>
    <row r="112" spans="1:17" ht="17.100000000000001" customHeight="1" x14ac:dyDescent="0.25">
      <c r="A112" s="120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5"/>
      <c r="O112" s="89"/>
    </row>
    <row r="113" spans="1:15" ht="17.100000000000001" customHeight="1" x14ac:dyDescent="0.25">
      <c r="A113" s="120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5"/>
      <c r="O113" s="89"/>
    </row>
    <row r="114" spans="1:15" ht="17.100000000000001" customHeight="1" x14ac:dyDescent="0.25">
      <c r="A114" s="120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5"/>
      <c r="O114" s="89"/>
    </row>
    <row r="115" spans="1:15" ht="17.100000000000001" customHeight="1" x14ac:dyDescent="0.25">
      <c r="A115" s="120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5"/>
      <c r="O115" s="89"/>
    </row>
    <row r="116" spans="1:15" ht="17.100000000000001" customHeight="1" x14ac:dyDescent="0.25">
      <c r="A116" s="120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5"/>
      <c r="O116" s="89"/>
    </row>
    <row r="117" spans="1:15" ht="17.100000000000001" customHeight="1" x14ac:dyDescent="0.25">
      <c r="A117" s="106"/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7"/>
      <c r="N117" s="108"/>
      <c r="O117" s="89"/>
    </row>
    <row r="118" spans="1:15" ht="17.100000000000001" customHeight="1" x14ac:dyDescent="0.25">
      <c r="A118" s="77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9"/>
    </row>
    <row r="119" spans="1:15" ht="17.100000000000001" customHeight="1" x14ac:dyDescent="0.25">
      <c r="A119" s="80" t="s">
        <v>40</v>
      </c>
      <c r="B119" s="81"/>
      <c r="C119" s="81"/>
      <c r="D119" s="81"/>
      <c r="E119" s="81"/>
      <c r="F119" s="81"/>
      <c r="G119" s="82" t="s">
        <v>41</v>
      </c>
      <c r="H119" s="82"/>
      <c r="I119" s="82"/>
      <c r="J119" s="82"/>
      <c r="K119" s="83"/>
      <c r="L119" s="84"/>
      <c r="M119" s="84"/>
      <c r="N119" s="85"/>
      <c r="O119" s="89" t="s">
        <v>42</v>
      </c>
    </row>
    <row r="120" spans="1:15" ht="17.100000000000001" customHeight="1" x14ac:dyDescent="0.25">
      <c r="A120" s="91" t="s">
        <v>43</v>
      </c>
      <c r="B120" s="92"/>
      <c r="C120" s="92"/>
      <c r="D120" s="92"/>
      <c r="E120" s="92"/>
      <c r="F120" s="93"/>
      <c r="G120" s="97" t="s">
        <v>44</v>
      </c>
      <c r="H120" s="92"/>
      <c r="I120" s="92"/>
      <c r="J120" s="93"/>
      <c r="K120" s="86"/>
      <c r="L120" s="87"/>
      <c r="M120" s="87"/>
      <c r="N120" s="88"/>
      <c r="O120" s="89"/>
    </row>
    <row r="121" spans="1:15" ht="17.100000000000001" customHeight="1" x14ac:dyDescent="0.25">
      <c r="A121" s="94"/>
      <c r="B121" s="95"/>
      <c r="C121" s="95"/>
      <c r="D121" s="95"/>
      <c r="E121" s="95"/>
      <c r="F121" s="96"/>
      <c r="G121" s="98"/>
      <c r="H121" s="95"/>
      <c r="I121" s="95"/>
      <c r="J121" s="96"/>
      <c r="K121" s="86"/>
      <c r="L121" s="87"/>
      <c r="M121" s="87"/>
      <c r="N121" s="88"/>
      <c r="O121" s="89"/>
    </row>
    <row r="122" spans="1:15" ht="17.100000000000001" customHeight="1" x14ac:dyDescent="0.25">
      <c r="A122" s="94"/>
      <c r="B122" s="95"/>
      <c r="C122" s="95"/>
      <c r="D122" s="95"/>
      <c r="E122" s="95"/>
      <c r="F122" s="96"/>
      <c r="G122" s="98"/>
      <c r="H122" s="95"/>
      <c r="I122" s="95"/>
      <c r="J122" s="96"/>
      <c r="K122" s="86"/>
      <c r="L122" s="87"/>
      <c r="M122" s="87"/>
      <c r="N122" s="88"/>
      <c r="O122" s="89"/>
    </row>
    <row r="123" spans="1:15" ht="17.100000000000001" customHeight="1" x14ac:dyDescent="0.25">
      <c r="A123" s="94"/>
      <c r="B123" s="95"/>
      <c r="C123" s="95"/>
      <c r="D123" s="95"/>
      <c r="E123" s="95"/>
      <c r="F123" s="96"/>
      <c r="G123" s="98"/>
      <c r="H123" s="95"/>
      <c r="I123" s="95"/>
      <c r="J123" s="96"/>
      <c r="K123" s="86"/>
      <c r="L123" s="87"/>
      <c r="M123" s="87"/>
      <c r="N123" s="88"/>
      <c r="O123" s="89"/>
    </row>
    <row r="124" spans="1:15" ht="17.100000000000001" customHeight="1" x14ac:dyDescent="0.25">
      <c r="A124" s="94"/>
      <c r="B124" s="95"/>
      <c r="C124" s="95"/>
      <c r="D124" s="95"/>
      <c r="E124" s="95"/>
      <c r="F124" s="96"/>
      <c r="G124" s="98"/>
      <c r="H124" s="95"/>
      <c r="I124" s="95"/>
      <c r="J124" s="96"/>
      <c r="K124" s="86"/>
      <c r="L124" s="87"/>
      <c r="M124" s="87"/>
      <c r="N124" s="88"/>
      <c r="O124" s="89"/>
    </row>
    <row r="125" spans="1:15" ht="17.100000000000001" customHeight="1" x14ac:dyDescent="0.25">
      <c r="A125" s="94"/>
      <c r="B125" s="95"/>
      <c r="C125" s="95"/>
      <c r="D125" s="95"/>
      <c r="E125" s="95"/>
      <c r="F125" s="96"/>
      <c r="G125" s="98"/>
      <c r="H125" s="95"/>
      <c r="I125" s="95"/>
      <c r="J125" s="96"/>
      <c r="K125" s="86"/>
      <c r="L125" s="87"/>
      <c r="M125" s="87"/>
      <c r="N125" s="88"/>
      <c r="O125" s="89"/>
    </row>
    <row r="126" spans="1:15" ht="17.100000000000001" customHeight="1" x14ac:dyDescent="0.25">
      <c r="A126" s="94"/>
      <c r="B126" s="95"/>
      <c r="C126" s="95"/>
      <c r="D126" s="95"/>
      <c r="E126" s="95"/>
      <c r="F126" s="96"/>
      <c r="G126" s="98"/>
      <c r="H126" s="95"/>
      <c r="I126" s="95"/>
      <c r="J126" s="96"/>
      <c r="K126" s="86"/>
      <c r="L126" s="87"/>
      <c r="M126" s="87"/>
      <c r="N126" s="88"/>
      <c r="O126" s="89"/>
    </row>
    <row r="127" spans="1:15" ht="17.100000000000001" customHeight="1" thickBot="1" x14ac:dyDescent="0.3">
      <c r="A127" s="94"/>
      <c r="B127" s="95"/>
      <c r="C127" s="95"/>
      <c r="D127" s="95"/>
      <c r="E127" s="95"/>
      <c r="F127" s="96"/>
      <c r="G127" s="98"/>
      <c r="H127" s="95"/>
      <c r="I127" s="95"/>
      <c r="J127" s="96"/>
      <c r="K127" s="86"/>
      <c r="L127" s="87"/>
      <c r="M127" s="87"/>
      <c r="N127" s="88"/>
      <c r="O127" s="90"/>
    </row>
    <row r="128" spans="1:15" ht="17.100000000000001" customHeight="1" thickBot="1" x14ac:dyDescent="0.3">
      <c r="A128" s="100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2"/>
    </row>
    <row r="129" spans="1:19" ht="17.100000000000001" customHeight="1" x14ac:dyDescent="0.25">
      <c r="A129" s="103" t="s">
        <v>45</v>
      </c>
      <c r="B129" s="104"/>
      <c r="C129" s="104"/>
      <c r="D129" s="105"/>
      <c r="E129" s="109" t="s">
        <v>46</v>
      </c>
      <c r="F129" s="104"/>
      <c r="G129" s="104"/>
      <c r="H129" s="104"/>
      <c r="I129" s="104"/>
      <c r="J129" s="104"/>
      <c r="K129" s="111" t="s">
        <v>47</v>
      </c>
      <c r="L129" s="78"/>
      <c r="M129" s="78"/>
      <c r="N129" s="78"/>
      <c r="O129" s="115" t="s">
        <v>48</v>
      </c>
    </row>
    <row r="130" spans="1:19" ht="17.100000000000001" customHeight="1" x14ac:dyDescent="0.25">
      <c r="A130" s="106"/>
      <c r="B130" s="107"/>
      <c r="C130" s="107"/>
      <c r="D130" s="108"/>
      <c r="E130" s="110"/>
      <c r="F130" s="107"/>
      <c r="G130" s="107"/>
      <c r="H130" s="107"/>
      <c r="I130" s="107"/>
      <c r="J130" s="107"/>
      <c r="K130" s="112"/>
      <c r="L130" s="78"/>
      <c r="M130" s="78"/>
      <c r="N130" s="78"/>
      <c r="O130" s="116"/>
    </row>
    <row r="131" spans="1:19" ht="17.100000000000001" customHeight="1" x14ac:dyDescent="0.25">
      <c r="A131" s="118" t="s">
        <v>49</v>
      </c>
      <c r="B131" s="119"/>
      <c r="C131" s="119"/>
      <c r="D131" s="119"/>
      <c r="E131" s="119"/>
      <c r="F131" s="119"/>
      <c r="G131" s="119"/>
      <c r="H131" s="119"/>
      <c r="I131" s="119"/>
      <c r="J131" s="119"/>
      <c r="K131" s="112"/>
      <c r="L131" s="78"/>
      <c r="M131" s="78"/>
      <c r="N131" s="78"/>
      <c r="O131" s="116"/>
    </row>
    <row r="132" spans="1:19" ht="17.100000000000001" customHeight="1" x14ac:dyDescent="0.25">
      <c r="A132" s="120"/>
      <c r="B132" s="104"/>
      <c r="C132" s="104"/>
      <c r="D132" s="104"/>
      <c r="E132" s="104"/>
      <c r="F132" s="104"/>
      <c r="G132" s="104"/>
      <c r="H132" s="104"/>
      <c r="I132" s="104"/>
      <c r="J132" s="104"/>
      <c r="K132" s="112"/>
      <c r="L132" s="78"/>
      <c r="M132" s="78"/>
      <c r="N132" s="78"/>
      <c r="O132" s="116"/>
    </row>
    <row r="133" spans="1:19" ht="17.100000000000001" customHeight="1" x14ac:dyDescent="0.25">
      <c r="A133" s="120"/>
      <c r="B133" s="104"/>
      <c r="C133" s="104"/>
      <c r="D133" s="104"/>
      <c r="E133" s="104"/>
      <c r="F133" s="104"/>
      <c r="G133" s="104"/>
      <c r="H133" s="104"/>
      <c r="I133" s="104"/>
      <c r="J133" s="104"/>
      <c r="K133" s="112"/>
      <c r="L133" s="78"/>
      <c r="M133" s="78"/>
      <c r="N133" s="78"/>
      <c r="O133" s="116"/>
    </row>
    <row r="134" spans="1:19" ht="17.100000000000001" customHeight="1" x14ac:dyDescent="0.25">
      <c r="A134" s="120"/>
      <c r="B134" s="104"/>
      <c r="C134" s="104"/>
      <c r="D134" s="104"/>
      <c r="E134" s="104"/>
      <c r="F134" s="104"/>
      <c r="G134" s="104"/>
      <c r="H134" s="104"/>
      <c r="I134" s="104"/>
      <c r="J134" s="104"/>
      <c r="K134" s="112"/>
      <c r="L134" s="78"/>
      <c r="M134" s="78"/>
      <c r="N134" s="78"/>
      <c r="O134" s="116"/>
    </row>
    <row r="135" spans="1:19" ht="17.100000000000001" customHeight="1" thickBot="1" x14ac:dyDescent="0.3">
      <c r="A135" s="121"/>
      <c r="B135" s="122"/>
      <c r="C135" s="122"/>
      <c r="D135" s="122"/>
      <c r="E135" s="122"/>
      <c r="F135" s="122"/>
      <c r="G135" s="122"/>
      <c r="H135" s="122"/>
      <c r="I135" s="122"/>
      <c r="J135" s="122"/>
      <c r="K135" s="113"/>
      <c r="L135" s="114"/>
      <c r="M135" s="114"/>
      <c r="N135" s="114"/>
      <c r="O135" s="117"/>
    </row>
    <row r="136" spans="1:19" ht="14.1" customHeight="1" x14ac:dyDescent="0.25">
      <c r="A136" s="99"/>
      <c r="B136" s="99"/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</row>
    <row r="137" spans="1:19" ht="14.1" customHeight="1" x14ac:dyDescent="0.25"/>
    <row r="138" spans="1:19" ht="14.1" customHeight="1" x14ac:dyDescent="0.25"/>
    <row r="139" spans="1:19" ht="14.1" customHeight="1" x14ac:dyDescent="0.25"/>
  </sheetData>
  <sortState xmlns:xlrd2="http://schemas.microsoft.com/office/spreadsheetml/2017/richdata2" ref="A32:N76">
    <sortCondition ref="E32:E76"/>
  </sortState>
  <mergeCells count="76"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117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90:A91"/>
    <mergeCell ref="B90:B91"/>
    <mergeCell ref="C90:C91"/>
    <mergeCell ref="D90:D91"/>
    <mergeCell ref="N90:N91"/>
    <mergeCell ref="B92:F92"/>
    <mergeCell ref="A110:G110"/>
    <mergeCell ref="J110:N110"/>
    <mergeCell ref="A111:N117"/>
    <mergeCell ref="E90:E91"/>
    <mergeCell ref="F90:F91"/>
    <mergeCell ref="G90:G91"/>
    <mergeCell ref="H90:L90"/>
    <mergeCell ref="M90:M91"/>
    <mergeCell ref="A97:N97"/>
    <mergeCell ref="A101:N101"/>
    <mergeCell ref="A105:N105"/>
    <mergeCell ref="A99:N99"/>
    <mergeCell ref="A136:J136"/>
    <mergeCell ref="K136:S136"/>
    <mergeCell ref="A128:O128"/>
    <mergeCell ref="A129:D130"/>
    <mergeCell ref="E129:J130"/>
    <mergeCell ref="K129:N135"/>
    <mergeCell ref="O129:O135"/>
    <mergeCell ref="A131:J135"/>
    <mergeCell ref="A118:O118"/>
    <mergeCell ref="A119:F119"/>
    <mergeCell ref="G119:J119"/>
    <mergeCell ref="K119:N127"/>
    <mergeCell ref="O119:O127"/>
    <mergeCell ref="A120:F127"/>
    <mergeCell ref="G120:J127"/>
  </mergeCells>
  <phoneticPr fontId="13" type="noConversion"/>
  <hyperlinks>
    <hyperlink ref="E32" r:id="rId1" display="VALVULA DE DESCARGA EM METAL CROMADO PARA MICTORIO COM ACIONAMENTO POR PRESSAO E FECHAMENTO AUTOMATICO" xr:uid="{00000000-0004-0000-0000-000000000000}"/>
    <hyperlink ref="E40" r:id="rId2" xr:uid="{00000000-0004-0000-0000-000001000000}"/>
    <hyperlink ref="E62" r:id="rId3" display="FITA VEDA ROSCA EM ROLOS DE 18 MM X 50 M (L X C)" xr:uid="{00000000-0004-0000-0000-000002000000}"/>
    <hyperlink ref="E68" r:id="rId4" display="CIMENTO PORTLAND COMPOSTO CP II-32" xr:uid="{00000000-0004-0000-0000-000003000000}"/>
  </hyperlinks>
  <pageMargins left="0.25" right="0.25" top="0.75" bottom="0.75" header="0.3" footer="0.3"/>
  <pageSetup paperSize="9" scale="53" orientation="landscape" r:id="rId5"/>
  <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DF12112-239A-4006-AFC3-B7FC9A57BABA}"/>
</file>

<file path=customXml/itemProps2.xml><?xml version="1.0" encoding="utf-8"?>
<ds:datastoreItem xmlns:ds="http://schemas.openxmlformats.org/officeDocument/2006/customXml" ds:itemID="{2F96A4FF-BDFD-4F48-88F7-90E7950D639C}"/>
</file>

<file path=customXml/itemProps3.xml><?xml version="1.0" encoding="utf-8"?>
<ds:datastoreItem xmlns:ds="http://schemas.openxmlformats.org/officeDocument/2006/customXml" ds:itemID="{78883C1A-02EA-4509-BC2B-CE0E23D27B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São Carlos</vt:lpstr>
      <vt:lpstr>'São Carlos'!Area_de_impressao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Anivaldo Junior</dc:creator>
  <cp:lastModifiedBy>Ivan</cp:lastModifiedBy>
  <cp:lastPrinted>2024-01-08T10:21:05Z</cp:lastPrinted>
  <dcterms:created xsi:type="dcterms:W3CDTF">2022-01-02T19:12:46Z</dcterms:created>
  <dcterms:modified xsi:type="dcterms:W3CDTF">2024-01-08T12:19:29Z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