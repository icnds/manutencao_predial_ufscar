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dia/image2.png" ContentType="image/png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ão Carlos" sheetId="1" state="visible" r:id="rId2"/>
    <sheet name="Planilha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<sst xmlns="http://schemas.openxmlformats.org/spreadsheetml/2006/main" count="473" uniqueCount="205">
  <si>
    <t xml:space="preserve">LOGO</t>
  </si>
  <si>
    <t xml:space="preserve">Ordem de Serviço</t>
  </si>
  <si>
    <t xml:space="preserve">Prioridade:</t>
  </si>
  <si>
    <t xml:space="preserve">URGENTE</t>
  </si>
  <si>
    <t xml:space="preserve">24 horas </t>
  </si>
  <si>
    <t xml:space="preserve">ALTA</t>
  </si>
  <si>
    <t xml:space="preserve">3 dias</t>
  </si>
  <si>
    <t xml:space="preserve">MÉDIA</t>
  </si>
  <si>
    <t xml:space="preserve">7 dias</t>
  </si>
  <si>
    <t xml:space="preserve">BAIXA</t>
  </si>
  <si>
    <t xml:space="preserve">15 dias </t>
  </si>
  <si>
    <r>
      <rPr>
        <b val="true"/>
        <sz val="8"/>
        <color rgb="FF000000"/>
        <rFont val="Arial"/>
        <family val="2"/>
        <charset val="1"/>
      </rPr>
      <t xml:space="preserve">UNIDADE: </t>
    </r>
    <r>
      <rPr>
        <sz val="8"/>
        <color rgb="FFFF0000"/>
        <rFont val="Arial"/>
        <family val="2"/>
        <charset val="1"/>
      </rPr>
      <t xml:space="preserve">UFSCar Campus São Carlos</t>
    </r>
  </si>
  <si>
    <r>
      <rPr>
        <sz val="8"/>
        <color rgb="FF000000"/>
        <rFont val="Arial"/>
        <family val="2"/>
        <charset val="1"/>
      </rPr>
      <t xml:space="preserve">CONTRATO: </t>
    </r>
    <r>
      <rPr>
        <sz val="8"/>
        <color rgb="FFFF0000"/>
        <rFont val="Arial"/>
        <family val="2"/>
        <charset val="1"/>
      </rPr>
      <t xml:space="preserve"> 023/2022</t>
    </r>
  </si>
  <si>
    <t xml:space="preserve">SOLICITAÇÃO</t>
  </si>
  <si>
    <r>
      <rPr>
        <sz val="8"/>
        <color rgb="FF000000"/>
        <rFont val="Arial"/>
        <family val="2"/>
        <charset val="1"/>
      </rPr>
      <t xml:space="preserve">Descrição serviço: </t>
    </r>
    <r>
      <rPr>
        <b val="true"/>
        <sz val="8"/>
        <color rgb="FF000000"/>
        <rFont val="Arial"/>
        <family val="2"/>
        <charset val="1"/>
      </rPr>
      <t xml:space="preserve">ROTINAS DE MANUTENÇÃO PREDIAL NO CAMPUS SÃO CARLOS, REFERENTE AO PERIDO DE DEZEMBRO/2023</t>
    </r>
  </si>
  <si>
    <r>
      <rPr>
        <sz val="8"/>
        <color rgb="FF000000"/>
        <rFont val="Arial"/>
        <family val="2"/>
        <charset val="1"/>
      </rPr>
      <t xml:space="preserve">Solicitante: </t>
    </r>
    <r>
      <rPr>
        <sz val="8"/>
        <color rgb="FFFF0000"/>
        <rFont val="Arial"/>
        <family val="2"/>
        <charset val="1"/>
      </rPr>
      <t xml:space="preserve">Prefeitura Universitária do Campus São Carlos</t>
    </r>
  </si>
  <si>
    <r>
      <rPr>
        <sz val="8"/>
        <color rgb="FF000000"/>
        <rFont val="Arial"/>
        <family val="2"/>
        <charset val="1"/>
      </rPr>
      <t xml:space="preserve">Ambiente: </t>
    </r>
    <r>
      <rPr>
        <sz val="8"/>
        <color rgb="FFFF0000"/>
        <rFont val="Arial"/>
        <family val="2"/>
        <charset val="1"/>
      </rPr>
      <t xml:space="preserve">Campus São Carlos</t>
    </r>
  </si>
  <si>
    <r>
      <rPr>
        <sz val="8"/>
        <color rgb="FF000000"/>
        <rFont val="Arial"/>
        <family val="2"/>
        <charset val="1"/>
      </rPr>
      <t xml:space="preserve">Prazo de execução: </t>
    </r>
    <r>
      <rPr>
        <sz val="8"/>
        <color rgb="FFFF0000"/>
        <rFont val="Arial"/>
        <family val="2"/>
        <charset val="1"/>
      </rPr>
      <t xml:space="preserve">Continuado</t>
    </r>
  </si>
  <si>
    <r>
      <rPr>
        <sz val="8"/>
        <color rgb="FF000000"/>
        <rFont val="Arial"/>
        <family val="2"/>
        <charset val="1"/>
      </rPr>
      <t xml:space="preserve">Prazo de início: </t>
    </r>
    <r>
      <rPr>
        <sz val="8"/>
        <color rgb="FFFF0000"/>
        <rFont val="Arial"/>
        <family val="2"/>
        <charset val="1"/>
      </rPr>
      <t xml:space="preserve">13/06/2022</t>
    </r>
  </si>
  <si>
    <r>
      <rPr>
        <sz val="8"/>
        <color rgb="FF000000"/>
        <rFont val="Arial"/>
        <family val="2"/>
        <charset val="1"/>
      </rPr>
      <t xml:space="preserve">Data Orçamento: </t>
    </r>
    <r>
      <rPr>
        <sz val="8"/>
        <color rgb="FFFF0000"/>
        <rFont val="Arial"/>
        <family val="2"/>
        <charset val="1"/>
      </rPr>
      <t xml:space="preserve">Jun/23</t>
    </r>
  </si>
  <si>
    <r>
      <rPr>
        <sz val="8"/>
        <color rgb="FF000000"/>
        <rFont val="Arial"/>
        <family val="2"/>
        <charset val="1"/>
      </rPr>
      <t xml:space="preserve">Mês de referência: </t>
    </r>
    <r>
      <rPr>
        <sz val="8"/>
        <color rgb="FFFF0000"/>
        <rFont val="Arial"/>
        <family val="2"/>
        <charset val="1"/>
      </rPr>
      <t xml:space="preserve">Maio/2023 (data da proposta)</t>
    </r>
  </si>
  <si>
    <t xml:space="preserve">ITEM</t>
  </si>
  <si>
    <t xml:space="preserve">TIPO</t>
  </si>
  <si>
    <t xml:space="preserve">CÓDIGO</t>
  </si>
  <si>
    <t xml:space="preserve">BANCO</t>
  </si>
  <si>
    <t xml:space="preserve">DESCRIÇÃO DAS ETAPAS</t>
  </si>
  <si>
    <t xml:space="preserve">UNID.</t>
  </si>
  <si>
    <t xml:space="preserve">QUANT.</t>
  </si>
  <si>
    <t xml:space="preserve">PREÇO</t>
  </si>
  <si>
    <t xml:space="preserve">TOTAL DA ETAPA</t>
  </si>
  <si>
    <t xml:space="preserve">%</t>
  </si>
  <si>
    <t xml:space="preserve">ORÇAMENTO</t>
  </si>
  <si>
    <t xml:space="preserve">UNITÁRIO SEM BDI</t>
  </si>
  <si>
    <t xml:space="preserve">BDI (22,32%)</t>
  </si>
  <si>
    <t xml:space="preserve">UNITÁRIO COM BDI</t>
  </si>
  <si>
    <t xml:space="preserve">DESCONTO (0,03%)</t>
  </si>
  <si>
    <t xml:space="preserve">UNITÁRIO C/ BDI e DESCONTO</t>
  </si>
  <si>
    <t xml:space="preserve">EQUIPE DE PRESTAÇÃO DE SERVIÇOS ROTINEIROS DE MANUTENÇÃO PREDIAL</t>
  </si>
  <si>
    <t xml:space="preserve">1.1</t>
  </si>
  <si>
    <t xml:space="preserve">Composição </t>
  </si>
  <si>
    <t xml:space="preserve"> 90776 </t>
  </si>
  <si>
    <t xml:space="preserve">SINAPI</t>
  </si>
  <si>
    <t xml:space="preserve">ENCARREGADO GERAL COM ENCARGOS COMPLEMENTARES</t>
  </si>
  <si>
    <t xml:space="preserve">h</t>
  </si>
  <si>
    <t xml:space="preserve">1.2</t>
  </si>
  <si>
    <t xml:space="preserve"> 88267 </t>
  </si>
  <si>
    <t xml:space="preserve">ENCANADOR OU BOMBEIRO HIDRÁULICO COM ENCARGOS COMPLEMENTARES</t>
  </si>
  <si>
    <t xml:space="preserve">1.3</t>
  </si>
  <si>
    <t xml:space="preserve">1.4</t>
  </si>
  <si>
    <t xml:space="preserve"> 88248 </t>
  </si>
  <si>
    <t xml:space="preserve">AUXILIAR DE ENCANADOR OU BOMBEIRO HIDRÁULICO COM ENCARGOS COMPLEMENTARES</t>
  </si>
  <si>
    <t xml:space="preserve">1.5</t>
  </si>
  <si>
    <t xml:space="preserve">1.6</t>
  </si>
  <si>
    <t xml:space="preserve"> 88309 </t>
  </si>
  <si>
    <t xml:space="preserve">PEDREIRO COM ENCARGOS COMPLEMENTARES</t>
  </si>
  <si>
    <t xml:space="preserve">1.7</t>
  </si>
  <si>
    <t xml:space="preserve">1.8</t>
  </si>
  <si>
    <t xml:space="preserve"> 88242 </t>
  </si>
  <si>
    <t xml:space="preserve">AJUDANTE DE PEDREIRO COM ENCARGOS COMPLEMENTARES</t>
  </si>
  <si>
    <t xml:space="preserve">1.9</t>
  </si>
  <si>
    <t xml:space="preserve">1.10</t>
  </si>
  <si>
    <t xml:space="preserve">1.11</t>
  </si>
  <si>
    <t xml:space="preserve"> 88241 </t>
  </si>
  <si>
    <t xml:space="preserve">AJUDANTE DE OPERAÇÃO EM GERAL COM ENCARGOS COMPLEMENTARES</t>
  </si>
  <si>
    <t xml:space="preserve">1.12</t>
  </si>
  <si>
    <t xml:space="preserve">BDI (15,32%)</t>
  </si>
  <si>
    <t xml:space="preserve">MATERIAIS NECESSÁRIOS PARA O DESEMPENHO DAS ROTINAS</t>
  </si>
  <si>
    <t xml:space="preserve">2.26</t>
  </si>
  <si>
    <t xml:space="preserve">Insumos</t>
  </si>
  <si>
    <t xml:space="preserve">BUCHA DE REDUCAO DE FERRO GALVANIZADO, COM ROSCA BSP, DE 3/4" X 1/2"</t>
  </si>
  <si>
    <t xml:space="preserve">2.25</t>
  </si>
  <si>
    <t xml:space="preserve">ASSENTO SANITARIO DE PLASTICO, TIPO CONVENCIONAL</t>
  </si>
  <si>
    <t xml:space="preserve">2.33</t>
  </si>
  <si>
    <t xml:space="preserve">VALVULA DE DESCARGA EM METAL CROMADO PARA MICTORIO COM ACIONAMENTO POR PRESSAO E FECHAMENTO AUTOMATICO</t>
  </si>
  <si>
    <t xml:space="preserve">2.38</t>
  </si>
  <si>
    <t xml:space="preserve">TORNEIRA METALICA CROMADA, DE MESA/BANCADA, PARA COZINHA, BICA MOVEL, COM AREJADOR, 1/2 " OU 3/4 " (REF 1167 / 1168)</t>
  </si>
  <si>
    <t xml:space="preserve">2.4</t>
  </si>
  <si>
    <t xml:space="preserve">ENGATE / RABICHO FLEXIVEL INOX 1/2 " X 40 CM</t>
  </si>
  <si>
    <t xml:space="preserve">2.13</t>
  </si>
  <si>
    <t xml:space="preserve">REGISTRO GAVETA BRUTO EM LATAO FORJADO, BITOLA 3/4 "</t>
  </si>
  <si>
    <t xml:space="preserve">2.19</t>
  </si>
  <si>
    <t xml:space="preserve">BUCHA DE NYLON SEM ABA S8</t>
  </si>
  <si>
    <t xml:space="preserve">BUCHA DE NYLON SEM ABA S10</t>
  </si>
  <si>
    <t xml:space="preserve">2.9</t>
  </si>
  <si>
    <t xml:space="preserve">BUCHA DE NYLON SEM ABA S6</t>
  </si>
  <si>
    <t xml:space="preserve">2.10</t>
  </si>
  <si>
    <t xml:space="preserve">PARAFUSO ZINCADO, SEXTAVADO, COM ROSCA INTEIRA, DIAMETRO 1/4", COMPRIMENTO 1/2"</t>
  </si>
  <si>
    <t xml:space="preserve">2.11</t>
  </si>
  <si>
    <t xml:space="preserve">BRACO / CANO PARA CHUVEIRO ELETRICO, EM ALUMINIO, 30 CM X 1/2 "</t>
  </si>
  <si>
    <t xml:space="preserve">FITA VEDA ROSCA EM ROLOS DE 18 MM X 50 M (L X C)</t>
  </si>
  <si>
    <t xml:space="preserve">FITA ISOLANTE ADESIVA ANTICHAMA, USO ATE 750 V, EM ROLO DE 19 MM X 20 M</t>
  </si>
  <si>
    <t xml:space="preserve">2.30</t>
  </si>
  <si>
    <t xml:space="preserve">LAMPADA LED 10 W BIVOLT BRANCA, FORMATO TRADICIONAL (BASE E27)</t>
  </si>
  <si>
    <t xml:space="preserve">2.40</t>
  </si>
  <si>
    <t xml:space="preserve">CHUVEIRO COMUM EM PLASTICO BRANCO, COM CANO, 3 TEMPERATURAS, 5500 W (110/220 V)</t>
  </si>
  <si>
    <t xml:space="preserve">2.22</t>
  </si>
  <si>
    <t xml:space="preserve">6.95.48</t>
  </si>
  <si>
    <t xml:space="preserve">FDE</t>
  </si>
  <si>
    <t xml:space="preserve">KIT Reparo Caixa Acoplada</t>
  </si>
  <si>
    <t xml:space="preserve">CJ</t>
  </si>
  <si>
    <t xml:space="preserve">2.15</t>
  </si>
  <si>
    <t xml:space="preserve">LIXA D'AGUA EM FOLHA, GRAO 100</t>
  </si>
  <si>
    <t xml:space="preserve">2.18</t>
  </si>
  <si>
    <t xml:space="preserve">REGISTRO DE ESFERA, PVC, COM VOLANTE, VS, SOLDAVEL, DN 50 MM, COM CORPO DIVIDIDO</t>
  </si>
  <si>
    <t xml:space="preserve"> REGISTRO DE ESFERA, PVC, COM VOLANTE, VS, SOLDAVEL, DN 60 MM, COM CORPO DIVIDIDO</t>
  </si>
  <si>
    <t xml:space="preserve">2.31</t>
  </si>
  <si>
    <t xml:space="preserve">REGISTRO DE ESFERA, PVC, COM VOLANTE, VS, SOLDAVEL, DN 25 MM, COM CORPO DIVIDIDO</t>
  </si>
  <si>
    <t xml:space="preserve">2.1</t>
  </si>
  <si>
    <t xml:space="preserve">SELANTE ELASTICO MONOCOMPONENTE A BASE DE POLIURETANO (PU) PARA JUNTAS DIVERSAS</t>
  </si>
  <si>
    <t xml:space="preserve">2.34</t>
  </si>
  <si>
    <t xml:space="preserve">ADAPTADOR PVC SOLDAVEL CURTO COM BOLSA E ROSCA, 25 MM X 3/4", PARA AGUA FRIA</t>
  </si>
  <si>
    <t xml:space="preserve">JOELHO PVC, SOLDAVEL, 90 GRAUS, 25 MM, PARA AGUA FRIA PREDIAL</t>
  </si>
  <si>
    <t xml:space="preserve">2.37</t>
  </si>
  <si>
    <t xml:space="preserve">LUVA DE CORRER PARA TUBO SOLDAVEL, PVC, 25 MM, PARA AGUA FRIA PREDIAL</t>
  </si>
  <si>
    <t xml:space="preserve">TE SOLDAVEL, PVC, 90 GRAUS, 25 MM, PARA AGUA FRIA PREDIAL (NBR 5648)</t>
  </si>
  <si>
    <t xml:space="preserve">UNIAO PVC, SOLDAVEL, 25 MM, PARA AGUA FRIA PREDIAL</t>
  </si>
  <si>
    <t xml:space="preserve">2.24</t>
  </si>
  <si>
    <t xml:space="preserve">6.95.47</t>
  </si>
  <si>
    <t xml:space="preserve">REPARO P/VALVULA DESCARGA HIDRA LISA II</t>
  </si>
  <si>
    <t xml:space="preserve">ACO CA-60, 4,2 MM, OU 5,0 MM, OU 6,0 MM, OU 7,0 MM, VERGALHAO</t>
  </si>
  <si>
    <t xml:space="preserve">KG</t>
  </si>
  <si>
    <t xml:space="preserve">ACO CA-50, 8,0 MM, VERGALHAO</t>
  </si>
  <si>
    <t xml:space="preserve">TELHA DE FIBROCIMENTO ONDULADA E = 6 MM, DE 2,44 X 1,10 M (SEM AMIANTO)</t>
  </si>
  <si>
    <t xml:space="preserve">m²</t>
  </si>
  <si>
    <t xml:space="preserve">TUBO PVC, SOLDAVEL, DN 25 MM, AGUA FRIA (NBR-5648)</t>
  </si>
  <si>
    <t xml:space="preserve">M</t>
  </si>
  <si>
    <t xml:space="preserve">2.32</t>
  </si>
  <si>
    <t xml:space="preserve">TINTA ACRILICA PREMIUM PARA PISO</t>
  </si>
  <si>
    <t xml:space="preserve">L</t>
  </si>
  <si>
    <t xml:space="preserve">TINTA LATEX ACRILICA STANDARD, COR BRANCA</t>
  </si>
  <si>
    <t xml:space="preserve">2.7</t>
  </si>
  <si>
    <t xml:space="preserve">ADESIVO ACRILICO DE BASE AQUOSA / COLA DE CONTATO</t>
  </si>
  <si>
    <t xml:space="preserve">2.16</t>
  </si>
  <si>
    <t xml:space="preserve">FITA CREPE ROLO DE 25 MM X 50 M</t>
  </si>
  <si>
    <t xml:space="preserve">2.14</t>
  </si>
  <si>
    <t xml:space="preserve">TINTA ESMALTE SINTETICO PREMIUM BRILHANTE</t>
  </si>
  <si>
    <t xml:space="preserve">DILUENTE AGUARRAS</t>
  </si>
  <si>
    <t xml:space="preserve">2.42</t>
  </si>
  <si>
    <t xml:space="preserve">CHAVE DUPLA PARA CONEXOES TIPO STORZ, ENGATE RAPIDO 1 1/2" X 2 1/2", EM LATAO, PARA INSTALACAO PREDIAL COMBATE A INCENDIO</t>
  </si>
  <si>
    <t xml:space="preserve">2.41</t>
  </si>
  <si>
    <t xml:space="preserve">MANGUEIRA DE INCENDIO, TIPO 2, DE 1 1/2", COMPRIMENTO = 30 M, TECIDO EM FIO DE POLIESTER E TUBO INTERNO EM BORRACHA SINTETICA, COM UNIOES</t>
  </si>
  <si>
    <t xml:space="preserve">2.43</t>
  </si>
  <si>
    <t xml:space="preserve">ESGUICHO JATO REGULAVEL, TIPO ELKHART, ENGATE RAPIDO 1 1/2", PARA COMBATE A INCENDIO</t>
  </si>
  <si>
    <t xml:space="preserve">ADAPTADOR EM LATAO, ENGATE RAPIDO1 1/2" X ROSCA INTERNA 5 FIOS 2 1/2", PARA INSTALACAO PREDIAL DE COMBATE A INCENDIO</t>
  </si>
  <si>
    <t xml:space="preserve">2.59</t>
  </si>
  <si>
    <t xml:space="preserve">CPOS</t>
  </si>
  <si>
    <t xml:space="preserve">RECARGA DE EXTINTOR DE AGUA PRESSURIZADA</t>
  </si>
  <si>
    <t xml:space="preserve">2.60</t>
  </si>
  <si>
    <t xml:space="preserve">RECARGA DE EXTINTOR DE PO QUIMICO SECO</t>
  </si>
  <si>
    <t xml:space="preserve">2.61</t>
  </si>
  <si>
    <t xml:space="preserve">RECARGA DE EXTINTOR DE GAS CARBONICO</t>
  </si>
  <si>
    <t xml:space="preserve">ESCONTO (0,03%)</t>
  </si>
  <si>
    <t xml:space="preserve">SERVIÇOS / EQUIPAMENTOS ADICIONAIS NECESSÁRIOS DURANTE AS ROTINAS</t>
  </si>
  <si>
    <t xml:space="preserve">3.1</t>
  </si>
  <si>
    <t xml:space="preserve">3.2</t>
  </si>
  <si>
    <t xml:space="preserve">3.3</t>
  </si>
  <si>
    <t xml:space="preserve">PINTOR COM ENCARGOS COMPLEMENTARES</t>
  </si>
  <si>
    <t xml:space="preserve">FORRO CSLOG</t>
  </si>
  <si>
    <t xml:space="preserve">3.4</t>
  </si>
  <si>
    <t xml:space="preserve">FORRO EM RÉGUAS DE PVC, FRISADO, PARA AMBIENTES COMERCIAIS, INCLUSIVE ESTRUTURA DE FIXAÇÃO. AF_05/2017_PSr</t>
  </si>
  <si>
    <t xml:space="preserve">CARPETE DCDEB</t>
  </si>
  <si>
    <t xml:space="preserve">3.5</t>
  </si>
  <si>
    <t xml:space="preserve">AJUDANTE DE OPERAÇÃO EM GERAL COM ENCARGOS COMPLEMENTARES, REMOÇÃO CARPETE</t>
  </si>
  <si>
    <t xml:space="preserve">3.6</t>
  </si>
  <si>
    <t xml:space="preserve">CANTONEIRA ALUMINIO ABAS IGUAIS 1 1/4 ", E = 3/16 "</t>
  </si>
  <si>
    <t xml:space="preserve">m</t>
  </si>
  <si>
    <t xml:space="preserve">3.7</t>
  </si>
  <si>
    <t xml:space="preserve">CARPETE DE NYLON EM MANTA PARA TRAFEGO COMERCIAL PESADO, E = 6 A 7 MM (INSTALADO</t>
  </si>
  <si>
    <t xml:space="preserve">PINTURA ANEXO REITORIA LADO EXTERNO</t>
  </si>
  <si>
    <t xml:space="preserve">LIMPEZA DE SUPERFÍCIE COM JATO DE ALTA PRESSÃO. AF_04/2019</t>
  </si>
  <si>
    <t xml:space="preserve"> 88489 </t>
  </si>
  <si>
    <t xml:space="preserve">PINTURA LÁTEX ACRÍLICA PREMIUM, APLICAÇÃO MANUAL EM PAREDES, DUAS DEMÃOS. AF_04/2023</t>
  </si>
  <si>
    <t xml:space="preserve">APLICAÇÃO DE FUNDO SELADOR ACRÍLICO EM PAREDES, UMA DEMÃO. AF_06/2014</t>
  </si>
  <si>
    <t xml:space="preserve">3.8</t>
  </si>
  <si>
    <t xml:space="preserve">APLICAÇÃO MANUAL DE MASSA ACRÍLICA EM PAREDES EXTERNAS DE CASAS, DUAS DEMÃOS. AF_05/2017</t>
  </si>
  <si>
    <t xml:space="preserve">PINTURA REITORIA</t>
  </si>
  <si>
    <t xml:space="preserve">3.9</t>
  </si>
  <si>
    <t xml:space="preserve">3.10</t>
  </si>
  <si>
    <t xml:space="preserve">APLICAÇÃO MANUAL DE PINTURA COM TINTA LÁTEX ACRÍLICA EM TETO, DUAS DEMÃOS. AF_06/2014</t>
  </si>
  <si>
    <t xml:space="preserve">Residual MED 18</t>
  </si>
  <si>
    <t xml:space="preserve">Parcial MED 19</t>
  </si>
  <si>
    <t xml:space="preserve">3.11</t>
  </si>
  <si>
    <t xml:space="preserve">Total MED 19</t>
  </si>
  <si>
    <t xml:space="preserve">TOTAL DO SERVIÇO - R$</t>
  </si>
  <si>
    <t xml:space="preserve">Acumulado p/ MED 20</t>
  </si>
  <si>
    <r>
      <rPr>
        <sz val="8"/>
        <color rgb="FF000000"/>
        <rFont val="Arial"/>
        <family val="2"/>
        <charset val="1"/>
      </rP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 val="true"/>
        <sz val="8"/>
        <color rgb="FFFF0000"/>
        <rFont val="Arial"/>
        <family val="2"/>
        <charset val="1"/>
      </rPr>
      <t xml:space="preserve">SINAPI São Paulo (mês 05/2023) </t>
    </r>
    <r>
      <rPr>
        <sz val="8"/>
        <color rgb="FF000000"/>
        <rFont val="Arial"/>
        <family val="2"/>
        <charset val="1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</si>
  <si>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 xml:space="preserve">APROVAÇÃO DO ORÇAMENTO</t>
  </si>
  <si>
    <t xml:space="preserve">Ordem Serviço Eletrônica</t>
  </si>
  <si>
    <t xml:space="preserve">APROVAÇÃO ORÇAMENTO</t>
  </si>
  <si>
    <t xml:space="preserve"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</si>
  <si>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</si>
  <si>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</si>
  <si>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</si>
  <si>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</si>
  <si>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</si>
  <si>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</si>
  <si>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 xml:space="preserve">ITEM 02 – AT. 07</t>
  </si>
  <si>
    <t xml:space="preserve">QTD</t>
  </si>
  <si>
    <t xml:space="preserve">DESCRIÇÃO O ITEM</t>
  </si>
  <si>
    <t xml:space="preserve">R$</t>
  </si>
  <si>
    <t xml:space="preserve">CHAVE DE STORZ P/ HIDRANTE</t>
  </si>
  <si>
    <t xml:space="preserve">EXTINTOR DE PÓ BC 4KG (RECARGA)</t>
  </si>
  <si>
    <t xml:space="preserve">EXTINTOR DE AGUA PRESSURIZADA 10L (RECARGA)</t>
  </si>
  <si>
    <t xml:space="preserve">MANGUEIRA TIPO 2 – 30m -1.¹/2 (NOVO)</t>
  </si>
  <si>
    <t xml:space="preserve">ESGUICHO REGULAVEL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</si>
</sst>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&quot;R$ &quot;* #,##0.00_-;&quot;-R$ &quot;* #,##0.00_-;_-&quot;R$ &quot;* \-??_-;_-@_-"/>
    <numFmt numFmtId="166" formatCode="#,##0.00"/>
    <numFmt numFmtId="167" formatCode="0.00"/>
    <numFmt numFmtId="168" formatCode="#,##0"/>
    <numFmt numFmtId="169" formatCode="[$R$-416]\ #,##0.00;[RED]\-[$R$-416]\ #,##0.00"/>
    <numFmt numFmtId="170" formatCode="_-* #,##0.00_-;\-* #,##0.00_-;_-* \-??_-;_-@_-"/>
    <numFmt numFmtId="171" formatCode="&quot;R$ &quot;#,##0.00;[RED]&quot;-R$ &quot;#,##0.00"/>
  </numFmts>
  <fonts count="2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b val="true"/>
      <sz val="8"/>
      <color rgb="FF3F3F3F"/>
      <name val="Arial"/>
      <family val="2"/>
      <charset val="1"/>
    </font>
    <font>
      <b val="true"/>
      <sz val="11"/>
      <color rgb="FF3F3F3F"/>
      <name val="Calibri"/>
      <family val="2"/>
      <charset val="1"/>
    </font>
    <font>
      <sz val="8"/>
      <color rgb="FF3F3F3F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8"/>
      <color rgb="FF5B9BD5"/>
      <name val="Arial"/>
      <family val="2"/>
      <charset val="1"/>
    </font>
    <font>
      <sz val="8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8"/>
      <color rgb="FF5B9BD5"/>
      <name val="Calibri"/>
      <family val="2"/>
      <charset val="1"/>
    </font>
    <font>
      <sz val="8"/>
      <color rgb="FF0000FF"/>
      <name val="Arial"/>
      <family val="2"/>
      <charset val="1"/>
    </font>
    <font>
      <sz val="8"/>
      <color rgb="FFC9211E"/>
      <name val="Arial"/>
      <family val="2"/>
      <charset val="1"/>
    </font>
    <font>
      <b val="true"/>
      <sz val="8"/>
      <color rgb="FFFF0000"/>
      <name val="Arial"/>
      <family val="2"/>
      <charset val="1"/>
    </font>
    <font>
      <sz val="8"/>
      <color rgb="FF333333"/>
      <name val="Arial"/>
      <family val="2"/>
      <charset val="1"/>
    </font>
    <font>
      <sz val="8"/>
      <color rgb="FFFF0000"/>
      <name val="Calibri"/>
      <family val="2"/>
      <charset val="1"/>
    </font>
    <font>
      <b val="true"/>
      <sz val="8"/>
      <color rgb="FFFF0000"/>
      <name val="Calibri"/>
      <family val="2"/>
      <charset val="1"/>
    </font>
    <font>
      <b val="true"/>
      <sz val="8"/>
      <name val="Calibri"/>
      <family val="2"/>
      <charset val="1"/>
    </font>
    <font>
      <sz val="11"/>
      <name val="Calibri"/>
      <family val="2"/>
      <charset val="1"/>
    </font>
    <font>
      <b val="true"/>
      <sz val="8"/>
      <color rgb="FF3F3F3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>
        <color rgb="FF3F3F3F"/>
      </left>
      <right style="medium"/>
      <top style="medium"/>
      <bottom style="thin">
        <color rgb="FF3F3F3F"/>
      </bottom>
      <diagonal/>
    </border>
    <border diagonalUp="false" diagonalDown="false">
      <left style="thin">
        <color rgb="FF3F3F3F"/>
      </left>
      <right style="medium"/>
      <top style="thin">
        <color rgb="FF3F3F3F"/>
      </top>
      <bottom style="thin">
        <color rgb="FF3F3F3F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>
        <color rgb="FF3F3F3F"/>
      </right>
      <top style="thin">
        <color rgb="FF3F3F3F"/>
      </top>
      <bottom/>
      <diagonal/>
    </border>
    <border diagonalUp="false" diagonalDown="false">
      <left style="thin">
        <color rgb="FF3F3F3F"/>
      </left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/>
      <diagonal/>
    </border>
    <border diagonalUp="false" diagonalDown="false">
      <left style="medium"/>
      <right/>
      <top style="thin">
        <color rgb="FF3F3F3F"/>
      </top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3F3F3F"/>
      </left>
      <right style="thin">
        <color rgb="FF3F3F3F"/>
      </right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thin">
        <color rgb="FF3F3F3F"/>
      </left>
      <right style="medium"/>
      <top style="thin">
        <color rgb="FF3F3F3F"/>
      </top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thin"/>
      <bottom style="medium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1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1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4" xfId="21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6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6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6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3" fillId="0" borderId="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0" borderId="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2" borderId="1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4" fillId="0" borderId="6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2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7" fillId="0" borderId="1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17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17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6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1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1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0" fontId="23" fillId="0" borderId="1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2" xfId="21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23" xfId="21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9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27" xfId="21" applyFont="true" applyBorder="true" applyAlignment="true" applyProtection="true">
      <alignment horizontal="left" vertical="center" textRotation="90" wrapText="true" indent="0" shrinkToFit="false"/>
      <protection locked="true" hidden="false"/>
    </xf>
    <xf numFmtId="164" fontId="4" fillId="0" borderId="2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Output" xfId="21"/>
    <cellStyle name="Excel Built-in Explanatory Text" xfId="22"/>
    <cellStyle name="*unknown*" xfId="20" builtinId="8"/>
    <cellStyle name="Excel Built-in Output 2" xfId="23"/>
    <cellStyle name="Excel Built-in Explanatory Text 1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5B9BD5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F3F3F"/>
      <rgbColor rgb="FFC9211E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2042640</xdr:colOff>
      <xdr:row>1</xdr:row>
      <xdr:rowOff>96840</xdr:rowOff>
    </xdr:from>
    <xdr:to>
      <xdr:col>4</xdr:col>
      <xdr:colOff>2990880</xdr:colOff>
      <xdr:row>4</xdr:row>
      <xdr:rowOff>178560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5091120" y="306360"/>
          <a:ext cx="948240" cy="710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11%20Nov/2022/10%20Outubro/Notas%20Fiscais/NF%20516064%20Jabu%20SA.pdf" TargetMode="External"/><Relationship Id="rId2" Type="http://schemas.openxmlformats.org/officeDocument/2006/relationships/hyperlink" Target="file:///C:/Users/anivaldo/Downloads/2022/10%20Outubro/Notas%20Fiscais/NF%20516064%20Jabu%20SA.pdf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2"/>
  <sheetViews>
    <sheetView showFormulas="false" showGridLines="true" showRowColHeaders="true" showZeros="true" rightToLeft="false" tabSelected="true" showOutlineSymbols="true" defaultGridColor="true" view="normal" topLeftCell="K94" colorId="64" zoomScale="120" zoomScaleNormal="120" zoomScalePageLayoutView="100" workbookViewId="0">
      <selection pane="topLeft" activeCell="R99" activeCellId="0" sqref="R99:T103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0.71"/>
    <col collapsed="false" customWidth="true" hidden="false" outlineLevel="0" max="3" min="3" style="1" width="11.71"/>
    <col collapsed="false" customWidth="true" hidden="false" outlineLevel="0" max="4" min="4" style="1" width="12.15"/>
    <col collapsed="false" customWidth="true" hidden="false" outlineLevel="0" max="5" min="5" style="1" width="66.57"/>
    <col collapsed="false" customWidth="true" hidden="false" outlineLevel="0" max="6" min="6" style="1" width="6.43"/>
    <col collapsed="false" customWidth="true" hidden="false" outlineLevel="0" max="8" min="8" style="1" width="23.71"/>
    <col collapsed="false" customWidth="true" hidden="false" outlineLevel="0" max="9" min="9" style="1" width="12.42"/>
    <col collapsed="false" customWidth="true" hidden="false" outlineLevel="0" max="10" min="10" style="1" width="19"/>
    <col collapsed="false" customWidth="true" hidden="false" outlineLevel="0" max="11" min="11" style="1" width="18.86"/>
    <col collapsed="false" customWidth="true" hidden="false" outlineLevel="0" max="12" min="12" style="1" width="29.29"/>
    <col collapsed="false" customWidth="true" hidden="false" outlineLevel="0" max="13" min="13" style="1" width="18"/>
    <col collapsed="false" customWidth="true" hidden="false" outlineLevel="0" max="14" min="14" style="1" width="10.71"/>
    <col collapsed="false" customWidth="true" hidden="false" outlineLevel="0" max="15" min="15" style="1" width="4.71"/>
    <col collapsed="false" customWidth="true" hidden="false" outlineLevel="0" max="18" min="18" style="0" width="11.24"/>
    <col collapsed="false" customWidth="true" hidden="false" outlineLevel="0" max="20" min="20" style="0" width="13.56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3"/>
      <c r="L1" s="3"/>
      <c r="M1" s="3"/>
      <c r="N1" s="3"/>
      <c r="O1" s="3"/>
    </row>
    <row r="2" customFormat="false" ht="16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4" t="s">
        <v>2</v>
      </c>
      <c r="K2" s="4"/>
      <c r="L2" s="4"/>
      <c r="M2" s="4"/>
      <c r="N2" s="4"/>
      <c r="O2" s="4"/>
    </row>
    <row r="3" customFormat="false" ht="16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5" t="s">
        <v>3</v>
      </c>
      <c r="K3" s="5"/>
      <c r="L3" s="5"/>
      <c r="M3" s="5" t="s">
        <v>4</v>
      </c>
      <c r="N3" s="5"/>
      <c r="O3" s="6"/>
    </row>
    <row r="4" customFormat="false" ht="16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5" t="s">
        <v>5</v>
      </c>
      <c r="K4" s="5"/>
      <c r="L4" s="5"/>
      <c r="M4" s="5" t="s">
        <v>6</v>
      </c>
      <c r="N4" s="5"/>
      <c r="O4" s="7"/>
    </row>
    <row r="5" customFormat="false" ht="16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5" t="s">
        <v>7</v>
      </c>
      <c r="K5" s="5"/>
      <c r="L5" s="5"/>
      <c r="M5" s="5" t="s">
        <v>8</v>
      </c>
      <c r="N5" s="5"/>
      <c r="O5" s="6"/>
    </row>
    <row r="6" customFormat="false" ht="16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5" t="s">
        <v>9</v>
      </c>
      <c r="K6" s="5"/>
      <c r="L6" s="5"/>
      <c r="M6" s="5" t="s">
        <v>10</v>
      </c>
      <c r="N6" s="5"/>
      <c r="O6" s="6"/>
    </row>
    <row r="7" customFormat="false" ht="16.5" hidden="false" customHeight="true" outlineLevel="0" collapsed="false">
      <c r="A7" s="8" t="s">
        <v>11</v>
      </c>
      <c r="B7" s="8"/>
      <c r="C7" s="8"/>
      <c r="D7" s="8"/>
      <c r="E7" s="8"/>
      <c r="F7" s="8"/>
      <c r="G7" s="8"/>
      <c r="H7" s="8"/>
      <c r="I7" s="8"/>
      <c r="J7" s="9" t="s">
        <v>12</v>
      </c>
      <c r="K7" s="9"/>
      <c r="L7" s="9"/>
      <c r="M7" s="9"/>
      <c r="N7" s="9"/>
      <c r="O7" s="10" t="s">
        <v>13</v>
      </c>
    </row>
    <row r="8" customFormat="false" ht="16.5" hidden="false" customHeight="true" outlineLevel="0" collapsed="false">
      <c r="A8" s="11" t="s">
        <v>14</v>
      </c>
      <c r="B8" s="11"/>
      <c r="C8" s="11"/>
      <c r="D8" s="11"/>
      <c r="E8" s="11"/>
      <c r="F8" s="11"/>
      <c r="G8" s="11"/>
      <c r="H8" s="11"/>
      <c r="I8" s="11"/>
      <c r="J8" s="9" t="s">
        <v>15</v>
      </c>
      <c r="K8" s="9"/>
      <c r="L8" s="9"/>
      <c r="M8" s="9"/>
      <c r="N8" s="9"/>
      <c r="O8" s="10"/>
    </row>
    <row r="9" customFormat="false" ht="16.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9" t="s">
        <v>16</v>
      </c>
      <c r="K9" s="9"/>
      <c r="L9" s="9"/>
      <c r="M9" s="9"/>
      <c r="N9" s="9"/>
      <c r="O9" s="10"/>
    </row>
    <row r="10" customFormat="false" ht="16.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9" t="s">
        <v>17</v>
      </c>
      <c r="K10" s="9"/>
      <c r="L10" s="9"/>
      <c r="M10" s="9"/>
      <c r="N10" s="9"/>
      <c r="O10" s="10"/>
    </row>
    <row r="11" customFormat="false" ht="16.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9" t="s">
        <v>18</v>
      </c>
      <c r="K11" s="9"/>
      <c r="L11" s="9"/>
      <c r="M11" s="9"/>
      <c r="N11" s="9"/>
      <c r="O11" s="10"/>
    </row>
    <row r="12" customFormat="false" ht="16.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9" t="s">
        <v>19</v>
      </c>
      <c r="K12" s="9"/>
      <c r="L12" s="9"/>
      <c r="M12" s="9"/>
      <c r="N12" s="9"/>
      <c r="O12" s="10"/>
    </row>
    <row r="13" customFormat="false" ht="16.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9" t="s">
        <v>20</v>
      </c>
      <c r="K13" s="9"/>
      <c r="L13" s="9"/>
      <c r="M13" s="9"/>
      <c r="N13" s="9"/>
      <c r="O13" s="10"/>
    </row>
    <row r="14" customFormat="false" ht="16.5" hidden="false" customHeight="true" outlineLevel="0" collapsed="false">
      <c r="A14" s="12" t="s">
        <v>21</v>
      </c>
      <c r="B14" s="13" t="s">
        <v>22</v>
      </c>
      <c r="C14" s="13" t="s">
        <v>23</v>
      </c>
      <c r="D14" s="13" t="s">
        <v>24</v>
      </c>
      <c r="E14" s="13" t="s">
        <v>25</v>
      </c>
      <c r="F14" s="13" t="s">
        <v>26</v>
      </c>
      <c r="G14" s="13" t="s">
        <v>27</v>
      </c>
      <c r="H14" s="14" t="s">
        <v>28</v>
      </c>
      <c r="I14" s="14"/>
      <c r="J14" s="14"/>
      <c r="K14" s="14"/>
      <c r="L14" s="14"/>
      <c r="M14" s="13" t="s">
        <v>29</v>
      </c>
      <c r="N14" s="13" t="s">
        <v>30</v>
      </c>
      <c r="O14" s="10" t="s">
        <v>31</v>
      </c>
    </row>
    <row r="15" customFormat="false" ht="16.5" hidden="false" customHeight="true" outlineLevel="0" collapsed="false">
      <c r="A15" s="12"/>
      <c r="B15" s="13"/>
      <c r="C15" s="13"/>
      <c r="D15" s="13"/>
      <c r="E15" s="13"/>
      <c r="F15" s="13"/>
      <c r="G15" s="13"/>
      <c r="H15" s="13" t="s">
        <v>32</v>
      </c>
      <c r="I15" s="15" t="s">
        <v>33</v>
      </c>
      <c r="J15" s="13" t="s">
        <v>34</v>
      </c>
      <c r="K15" s="15" t="s">
        <v>35</v>
      </c>
      <c r="L15" s="13" t="s">
        <v>36</v>
      </c>
      <c r="M15" s="13"/>
      <c r="N15" s="13"/>
      <c r="O15" s="10"/>
    </row>
    <row r="16" customFormat="false" ht="16.5" hidden="false" customHeight="true" outlineLevel="0" collapsed="false">
      <c r="A16" s="16" t="n">
        <v>1</v>
      </c>
      <c r="B16" s="17"/>
      <c r="C16" s="18"/>
      <c r="D16" s="18"/>
      <c r="E16" s="19" t="s">
        <v>37</v>
      </c>
      <c r="F16" s="20"/>
      <c r="G16" s="20"/>
      <c r="H16" s="20"/>
      <c r="I16" s="20"/>
      <c r="J16" s="20"/>
      <c r="K16" s="20"/>
      <c r="L16" s="20"/>
      <c r="M16" s="21" t="n">
        <f aca="false">SUM(M17:M28)</f>
        <v>80209.6299859712</v>
      </c>
      <c r="N16" s="22" t="n">
        <f aca="false">SUM(N17:N28)</f>
        <v>1</v>
      </c>
      <c r="O16" s="10"/>
    </row>
    <row r="17" customFormat="false" ht="26.25" hidden="false" customHeight="true" outlineLevel="0" collapsed="false">
      <c r="A17" s="23" t="s">
        <v>38</v>
      </c>
      <c r="B17" s="23" t="s">
        <v>39</v>
      </c>
      <c r="C17" s="24" t="s">
        <v>40</v>
      </c>
      <c r="D17" s="24" t="s">
        <v>41</v>
      </c>
      <c r="E17" s="25" t="s">
        <v>42</v>
      </c>
      <c r="F17" s="26" t="s">
        <v>43</v>
      </c>
      <c r="G17" s="23" t="n">
        <v>188</v>
      </c>
      <c r="H17" s="27" t="n">
        <v>38.46</v>
      </c>
      <c r="I17" s="28" t="n">
        <f aca="false">H17*0.2232</f>
        <v>8.584272</v>
      </c>
      <c r="J17" s="28" t="n">
        <f aca="false">H17+I17</f>
        <v>47.044272</v>
      </c>
      <c r="K17" s="28" t="n">
        <f aca="false">J17*(0.03%)</f>
        <v>0.0141132816</v>
      </c>
      <c r="L17" s="28" t="n">
        <f aca="false">J17-K17</f>
        <v>47.0301587184</v>
      </c>
      <c r="M17" s="28" t="n">
        <f aca="false">L17*G17</f>
        <v>8841.6698390592</v>
      </c>
      <c r="N17" s="28" t="n">
        <f aca="false">M17/M$16</f>
        <v>0.110232023768288</v>
      </c>
      <c r="O17" s="10"/>
    </row>
    <row r="18" customFormat="false" ht="26.25" hidden="false" customHeight="true" outlineLevel="0" collapsed="false">
      <c r="A18" s="23" t="s">
        <v>44</v>
      </c>
      <c r="B18" s="23" t="s">
        <v>39</v>
      </c>
      <c r="C18" s="24" t="s">
        <v>45</v>
      </c>
      <c r="D18" s="24" t="s">
        <v>41</v>
      </c>
      <c r="E18" s="25" t="s">
        <v>46</v>
      </c>
      <c r="F18" s="26" t="s">
        <v>43</v>
      </c>
      <c r="G18" s="23" t="n">
        <v>188</v>
      </c>
      <c r="H18" s="27" t="n">
        <v>33.25</v>
      </c>
      <c r="I18" s="28" t="n">
        <f aca="false">H18*0.2232</f>
        <v>7.4214</v>
      </c>
      <c r="J18" s="28" t="n">
        <f aca="false">H18+I18</f>
        <v>40.6714</v>
      </c>
      <c r="K18" s="28" t="n">
        <f aca="false">J18*(0.03%)</f>
        <v>0.01220142</v>
      </c>
      <c r="L18" s="28" t="n">
        <f aca="false">J18-K18</f>
        <v>40.65919858</v>
      </c>
      <c r="M18" s="28" t="n">
        <f aca="false">L18*G18</f>
        <v>7643.92933304</v>
      </c>
      <c r="N18" s="28" t="n">
        <f aca="false">M18/M$16</f>
        <v>0.0952993965235463</v>
      </c>
      <c r="O18" s="10"/>
    </row>
    <row r="19" customFormat="false" ht="26.25" hidden="false" customHeight="true" outlineLevel="0" collapsed="false">
      <c r="A19" s="23" t="s">
        <v>47</v>
      </c>
      <c r="B19" s="23" t="s">
        <v>39</v>
      </c>
      <c r="C19" s="24" t="s">
        <v>45</v>
      </c>
      <c r="D19" s="24" t="s">
        <v>41</v>
      </c>
      <c r="E19" s="25" t="s">
        <v>46</v>
      </c>
      <c r="F19" s="26" t="s">
        <v>43</v>
      </c>
      <c r="G19" s="23" t="n">
        <v>180</v>
      </c>
      <c r="H19" s="27" t="n">
        <v>33.25</v>
      </c>
      <c r="I19" s="28" t="n">
        <f aca="false">H19*0.2232</f>
        <v>7.4214</v>
      </c>
      <c r="J19" s="28" t="n">
        <f aca="false">H19+I19</f>
        <v>40.6714</v>
      </c>
      <c r="K19" s="28" t="n">
        <f aca="false">J19*(0.03%)</f>
        <v>0.01220142</v>
      </c>
      <c r="L19" s="28" t="n">
        <f aca="false">J19-K19</f>
        <v>40.65919858</v>
      </c>
      <c r="M19" s="28" t="n">
        <f aca="false">L19*G19</f>
        <v>7318.6557444</v>
      </c>
      <c r="N19" s="28" t="n">
        <f aca="false">M19/M$16</f>
        <v>0.0912441030544592</v>
      </c>
      <c r="O19" s="10"/>
    </row>
    <row r="20" customFormat="false" ht="26.25" hidden="false" customHeight="true" outlineLevel="0" collapsed="false">
      <c r="A20" s="23" t="s">
        <v>48</v>
      </c>
      <c r="B20" s="23" t="s">
        <v>39</v>
      </c>
      <c r="C20" s="24" t="s">
        <v>49</v>
      </c>
      <c r="D20" s="24" t="s">
        <v>41</v>
      </c>
      <c r="E20" s="25" t="s">
        <v>50</v>
      </c>
      <c r="F20" s="26" t="s">
        <v>43</v>
      </c>
      <c r="G20" s="23" t="n">
        <v>180</v>
      </c>
      <c r="H20" s="27" t="n">
        <v>28.58</v>
      </c>
      <c r="I20" s="28" t="n">
        <f aca="false">H20*0.2232</f>
        <v>6.379056</v>
      </c>
      <c r="J20" s="28" t="n">
        <f aca="false">H20+I20</f>
        <v>34.959056</v>
      </c>
      <c r="K20" s="28" t="n">
        <f aca="false">J20*(0.03%)</f>
        <v>0.0104877168</v>
      </c>
      <c r="L20" s="28" t="n">
        <f aca="false">J20-K20</f>
        <v>34.9485682832</v>
      </c>
      <c r="M20" s="28" t="n">
        <f aca="false">L20*G20</f>
        <v>6290.742290976</v>
      </c>
      <c r="N20" s="28" t="n">
        <f aca="false">M20/M$16</f>
        <v>0.0784287658735773</v>
      </c>
      <c r="O20" s="10"/>
    </row>
    <row r="21" customFormat="false" ht="26.25" hidden="false" customHeight="true" outlineLevel="0" collapsed="false">
      <c r="A21" s="23" t="s">
        <v>51</v>
      </c>
      <c r="B21" s="23" t="s">
        <v>39</v>
      </c>
      <c r="C21" s="24" t="s">
        <v>49</v>
      </c>
      <c r="D21" s="24" t="s">
        <v>41</v>
      </c>
      <c r="E21" s="25" t="s">
        <v>50</v>
      </c>
      <c r="F21" s="26" t="s">
        <v>43</v>
      </c>
      <c r="G21" s="23" t="n">
        <v>180</v>
      </c>
      <c r="H21" s="27" t="n">
        <v>28.58</v>
      </c>
      <c r="I21" s="28" t="n">
        <f aca="false">H21*0.2232</f>
        <v>6.379056</v>
      </c>
      <c r="J21" s="28" t="n">
        <f aca="false">H21+I21</f>
        <v>34.959056</v>
      </c>
      <c r="K21" s="28" t="n">
        <f aca="false">J21*(0.03%)</f>
        <v>0.0104877168</v>
      </c>
      <c r="L21" s="28" t="n">
        <f aca="false">J21-K21</f>
        <v>34.9485682832</v>
      </c>
      <c r="M21" s="28" t="n">
        <f aca="false">L21*G21</f>
        <v>6290.742290976</v>
      </c>
      <c r="N21" s="28" t="n">
        <f aca="false">M21/M$16</f>
        <v>0.0784287658735773</v>
      </c>
      <c r="O21" s="10"/>
    </row>
    <row r="22" customFormat="false" ht="26.25" hidden="false" customHeight="true" outlineLevel="0" collapsed="false">
      <c r="A22" s="23" t="s">
        <v>52</v>
      </c>
      <c r="B22" s="23" t="s">
        <v>39</v>
      </c>
      <c r="C22" s="24" t="s">
        <v>53</v>
      </c>
      <c r="D22" s="24" t="s">
        <v>41</v>
      </c>
      <c r="E22" s="25" t="s">
        <v>54</v>
      </c>
      <c r="F22" s="26" t="s">
        <v>43</v>
      </c>
      <c r="G22" s="23" t="n">
        <v>180</v>
      </c>
      <c r="H22" s="27" t="n">
        <v>31.59</v>
      </c>
      <c r="I22" s="28" t="n">
        <f aca="false">H22*0.2232</f>
        <v>7.050888</v>
      </c>
      <c r="J22" s="28" t="n">
        <f aca="false">H22+I22</f>
        <v>38.640888</v>
      </c>
      <c r="K22" s="28" t="n">
        <f aca="false">J22*(0.03%)</f>
        <v>0.0115922664</v>
      </c>
      <c r="L22" s="28" t="n">
        <f aca="false">J22-K22</f>
        <v>38.6292957336</v>
      </c>
      <c r="M22" s="28" t="n">
        <f aca="false">L22*G22</f>
        <v>6953.273232048</v>
      </c>
      <c r="N22" s="28" t="n">
        <f aca="false">M22/M$16</f>
        <v>0.0866887583606126</v>
      </c>
      <c r="O22" s="10"/>
    </row>
    <row r="23" customFormat="false" ht="26.25" hidden="false" customHeight="true" outlineLevel="0" collapsed="false">
      <c r="A23" s="23" t="s">
        <v>55</v>
      </c>
      <c r="B23" s="23" t="s">
        <v>39</v>
      </c>
      <c r="C23" s="24" t="s">
        <v>53</v>
      </c>
      <c r="D23" s="24" t="s">
        <v>41</v>
      </c>
      <c r="E23" s="25" t="s">
        <v>54</v>
      </c>
      <c r="F23" s="26" t="s">
        <v>43</v>
      </c>
      <c r="G23" s="23" t="n">
        <v>180</v>
      </c>
      <c r="H23" s="27" t="n">
        <v>31.59</v>
      </c>
      <c r="I23" s="28" t="n">
        <f aca="false">H23*0.2232</f>
        <v>7.050888</v>
      </c>
      <c r="J23" s="28" t="n">
        <f aca="false">H23+I23</f>
        <v>38.640888</v>
      </c>
      <c r="K23" s="28" t="n">
        <f aca="false">J23*(0.03%)</f>
        <v>0.0115922664</v>
      </c>
      <c r="L23" s="28" t="n">
        <f aca="false">J23-K23</f>
        <v>38.6292957336</v>
      </c>
      <c r="M23" s="28" t="n">
        <f aca="false">L23*G23</f>
        <v>6953.273232048</v>
      </c>
      <c r="N23" s="28" t="n">
        <f aca="false">M23/M$16</f>
        <v>0.0866887583606126</v>
      </c>
      <c r="O23" s="10"/>
    </row>
    <row r="24" customFormat="false" ht="26.25" hidden="false" customHeight="true" outlineLevel="0" collapsed="false">
      <c r="A24" s="23" t="s">
        <v>56</v>
      </c>
      <c r="B24" s="23" t="s">
        <v>39</v>
      </c>
      <c r="C24" s="24" t="s">
        <v>57</v>
      </c>
      <c r="D24" s="24" t="s">
        <v>41</v>
      </c>
      <c r="E24" s="25" t="s">
        <v>58</v>
      </c>
      <c r="F24" s="26" t="s">
        <v>43</v>
      </c>
      <c r="G24" s="23" t="n">
        <v>180</v>
      </c>
      <c r="H24" s="27" t="n">
        <v>27.2</v>
      </c>
      <c r="I24" s="28" t="n">
        <f aca="false">H24*0.2232</f>
        <v>6.07104</v>
      </c>
      <c r="J24" s="28" t="n">
        <f aca="false">H24+I24</f>
        <v>33.27104</v>
      </c>
      <c r="K24" s="28" t="n">
        <f aca="false">J24*(0.03%)</f>
        <v>0.009981312</v>
      </c>
      <c r="L24" s="28" t="n">
        <f aca="false">J24-K24</f>
        <v>33.261058688</v>
      </c>
      <c r="M24" s="28" t="n">
        <f aca="false">L24*G24</f>
        <v>5986.99056384</v>
      </c>
      <c r="N24" s="28" t="n">
        <f aca="false">M24/M$16</f>
        <v>0.0746417925738734</v>
      </c>
      <c r="O24" s="10"/>
    </row>
    <row r="25" customFormat="false" ht="26.25" hidden="false" customHeight="true" outlineLevel="0" collapsed="false">
      <c r="A25" s="23" t="s">
        <v>59</v>
      </c>
      <c r="B25" s="23" t="s">
        <v>39</v>
      </c>
      <c r="C25" s="24" t="s">
        <v>57</v>
      </c>
      <c r="D25" s="24" t="s">
        <v>41</v>
      </c>
      <c r="E25" s="25" t="s">
        <v>58</v>
      </c>
      <c r="F25" s="26" t="s">
        <v>43</v>
      </c>
      <c r="G25" s="23" t="n">
        <v>180</v>
      </c>
      <c r="H25" s="27" t="n">
        <v>27.2</v>
      </c>
      <c r="I25" s="28" t="n">
        <f aca="false">H25*0.2232</f>
        <v>6.07104</v>
      </c>
      <c r="J25" s="28" t="n">
        <f aca="false">H25+I25</f>
        <v>33.27104</v>
      </c>
      <c r="K25" s="28" t="n">
        <f aca="false">J25*(0.03%)</f>
        <v>0.009981312</v>
      </c>
      <c r="L25" s="28" t="n">
        <f aca="false">J25-K25</f>
        <v>33.261058688</v>
      </c>
      <c r="M25" s="28" t="n">
        <f aca="false">L25*G25</f>
        <v>5986.99056384</v>
      </c>
      <c r="N25" s="28" t="n">
        <f aca="false">M25/M$16</f>
        <v>0.0746417925738734</v>
      </c>
      <c r="O25" s="10"/>
    </row>
    <row r="26" customFormat="false" ht="26.25" hidden="false" customHeight="true" outlineLevel="0" collapsed="false">
      <c r="A26" s="23" t="s">
        <v>60</v>
      </c>
      <c r="B26" s="23" t="s">
        <v>39</v>
      </c>
      <c r="C26" s="24" t="s">
        <v>57</v>
      </c>
      <c r="D26" s="24" t="s">
        <v>41</v>
      </c>
      <c r="E26" s="25" t="s">
        <v>58</v>
      </c>
      <c r="F26" s="26" t="s">
        <v>43</v>
      </c>
      <c r="G26" s="23" t="n">
        <v>180</v>
      </c>
      <c r="H26" s="27" t="n">
        <v>27.2</v>
      </c>
      <c r="I26" s="28" t="n">
        <f aca="false">H26*0.2232</f>
        <v>6.07104</v>
      </c>
      <c r="J26" s="28" t="n">
        <f aca="false">H26+I26</f>
        <v>33.27104</v>
      </c>
      <c r="K26" s="28" t="n">
        <f aca="false">J26*(0.03%)</f>
        <v>0.009981312</v>
      </c>
      <c r="L26" s="28" t="n">
        <f aca="false">J26-K26</f>
        <v>33.261058688</v>
      </c>
      <c r="M26" s="28" t="n">
        <f aca="false">L26*G26</f>
        <v>5986.99056384</v>
      </c>
      <c r="N26" s="28" t="n">
        <f aca="false">M26/M$16</f>
        <v>0.0746417925738734</v>
      </c>
      <c r="O26" s="10"/>
    </row>
    <row r="27" customFormat="false" ht="26.25" hidden="false" customHeight="true" outlineLevel="0" collapsed="false">
      <c r="A27" s="23" t="s">
        <v>61</v>
      </c>
      <c r="B27" s="23" t="s">
        <v>39</v>
      </c>
      <c r="C27" s="24" t="s">
        <v>62</v>
      </c>
      <c r="D27" s="24" t="s">
        <v>41</v>
      </c>
      <c r="E27" s="25" t="s">
        <v>63</v>
      </c>
      <c r="F27" s="26" t="s">
        <v>43</v>
      </c>
      <c r="G27" s="23" t="n">
        <v>180</v>
      </c>
      <c r="H27" s="27" t="n">
        <v>27.16</v>
      </c>
      <c r="I27" s="28" t="n">
        <f aca="false">H27*0.2232</f>
        <v>6.062112</v>
      </c>
      <c r="J27" s="28" t="n">
        <f aca="false">H27+I27</f>
        <v>33.222112</v>
      </c>
      <c r="K27" s="28" t="n">
        <f aca="false">J27*(0.03%)</f>
        <v>0.0099666336</v>
      </c>
      <c r="L27" s="28" t="n">
        <f aca="false">J27-K27</f>
        <v>33.2121453664</v>
      </c>
      <c r="M27" s="28" t="n">
        <f aca="false">L27*G27</f>
        <v>5978.186165952</v>
      </c>
      <c r="N27" s="28" t="n">
        <f aca="false">M27/M$16</f>
        <v>0.074532025231853</v>
      </c>
      <c r="O27" s="10"/>
    </row>
    <row r="28" customFormat="false" ht="26.25" hidden="false" customHeight="true" outlineLevel="0" collapsed="false">
      <c r="A28" s="23" t="s">
        <v>64</v>
      </c>
      <c r="B28" s="23" t="s">
        <v>39</v>
      </c>
      <c r="C28" s="24" t="s">
        <v>62</v>
      </c>
      <c r="D28" s="24" t="s">
        <v>41</v>
      </c>
      <c r="E28" s="25" t="s">
        <v>63</v>
      </c>
      <c r="F28" s="26" t="s">
        <v>43</v>
      </c>
      <c r="G28" s="23" t="n">
        <v>180</v>
      </c>
      <c r="H28" s="27" t="n">
        <v>27.16</v>
      </c>
      <c r="I28" s="28" t="n">
        <f aca="false">H28*0.2232</f>
        <v>6.062112</v>
      </c>
      <c r="J28" s="28" t="n">
        <f aca="false">H28+I28</f>
        <v>33.222112</v>
      </c>
      <c r="K28" s="28" t="n">
        <f aca="false">J28*(0.03%)</f>
        <v>0.0099666336</v>
      </c>
      <c r="L28" s="28" t="n">
        <f aca="false">J28-K28</f>
        <v>33.2121453664</v>
      </c>
      <c r="M28" s="28" t="n">
        <f aca="false">L28*G28</f>
        <v>5978.186165952</v>
      </c>
      <c r="N28" s="28" t="n">
        <f aca="false">M28/M$16</f>
        <v>0.074532025231853</v>
      </c>
      <c r="O28" s="10"/>
    </row>
    <row r="29" customFormat="false" ht="15" hidden="false" customHeight="false" outlineLevel="0" collapsed="false">
      <c r="A29" s="12" t="s">
        <v>21</v>
      </c>
      <c r="B29" s="13" t="s">
        <v>22</v>
      </c>
      <c r="C29" s="13" t="s">
        <v>23</v>
      </c>
      <c r="D29" s="13" t="s">
        <v>24</v>
      </c>
      <c r="E29" s="13" t="s">
        <v>25</v>
      </c>
      <c r="F29" s="13" t="s">
        <v>26</v>
      </c>
      <c r="G29" s="13" t="s">
        <v>27</v>
      </c>
      <c r="H29" s="14" t="s">
        <v>28</v>
      </c>
      <c r="I29" s="14"/>
      <c r="J29" s="14"/>
      <c r="K29" s="14"/>
      <c r="L29" s="14"/>
      <c r="M29" s="13" t="s">
        <v>29</v>
      </c>
      <c r="N29" s="13" t="s">
        <v>30</v>
      </c>
      <c r="O29" s="10"/>
    </row>
    <row r="30" customFormat="false" ht="16.5" hidden="false" customHeight="true" outlineLevel="0" collapsed="false">
      <c r="A30" s="12"/>
      <c r="B30" s="13"/>
      <c r="C30" s="13"/>
      <c r="D30" s="13"/>
      <c r="E30" s="13"/>
      <c r="F30" s="13"/>
      <c r="G30" s="13"/>
      <c r="H30" s="13" t="s">
        <v>32</v>
      </c>
      <c r="I30" s="29" t="s">
        <v>65</v>
      </c>
      <c r="J30" s="13" t="s">
        <v>34</v>
      </c>
      <c r="K30" s="15" t="s">
        <v>35</v>
      </c>
      <c r="L30" s="13" t="s">
        <v>36</v>
      </c>
      <c r="M30" s="13"/>
      <c r="N30" s="13"/>
      <c r="O30" s="10"/>
    </row>
    <row r="31" customFormat="false" ht="16.5" hidden="false" customHeight="true" outlineLevel="0" collapsed="false">
      <c r="A31" s="30" t="n">
        <v>2</v>
      </c>
      <c r="B31" s="31" t="s">
        <v>66</v>
      </c>
      <c r="C31" s="31"/>
      <c r="D31" s="31"/>
      <c r="E31" s="31"/>
      <c r="F31" s="31"/>
      <c r="G31" s="32"/>
      <c r="H31" s="32"/>
      <c r="I31" s="32"/>
      <c r="J31" s="32"/>
      <c r="K31" s="32"/>
      <c r="L31" s="32"/>
      <c r="M31" s="33" t="n">
        <f aca="false">SUM(M32:M79)</f>
        <v>40653.7329993662</v>
      </c>
      <c r="N31" s="32"/>
      <c r="O31" s="10"/>
    </row>
    <row r="32" s="38" customFormat="true" ht="16.5" hidden="false" customHeight="true" outlineLevel="0" collapsed="false">
      <c r="A32" s="34" t="s">
        <v>67</v>
      </c>
      <c r="B32" s="34" t="s">
        <v>68</v>
      </c>
      <c r="C32" s="35" t="n">
        <v>779</v>
      </c>
      <c r="D32" s="34" t="s">
        <v>41</v>
      </c>
      <c r="E32" s="36" t="s">
        <v>69</v>
      </c>
      <c r="F32" s="34" t="s">
        <v>26</v>
      </c>
      <c r="G32" s="34" t="n">
        <v>20</v>
      </c>
      <c r="H32" s="37" t="n">
        <v>7.18</v>
      </c>
      <c r="I32" s="28" t="n">
        <f aca="false">H32*0.1532</f>
        <v>1.099976</v>
      </c>
      <c r="J32" s="28" t="n">
        <f aca="false">H32+I32</f>
        <v>8.279976</v>
      </c>
      <c r="K32" s="28" t="n">
        <f aca="false">J32*(0.03%)</f>
        <v>0.0024839928</v>
      </c>
      <c r="L32" s="28" t="n">
        <f aca="false">J32-K32</f>
        <v>8.2774920072</v>
      </c>
      <c r="M32" s="28" t="n">
        <f aca="false">L32*G32</f>
        <v>165.549840144</v>
      </c>
      <c r="N32" s="28" t="n">
        <f aca="false">M32/M31</f>
        <v>0.00407219283273644</v>
      </c>
      <c r="O32" s="10"/>
    </row>
    <row r="33" s="38" customFormat="true" ht="16.5" hidden="false" customHeight="true" outlineLevel="0" collapsed="false">
      <c r="A33" s="34" t="s">
        <v>70</v>
      </c>
      <c r="B33" s="34" t="s">
        <v>68</v>
      </c>
      <c r="C33" s="35" t="n">
        <v>377</v>
      </c>
      <c r="D33" s="34" t="s">
        <v>41</v>
      </c>
      <c r="E33" s="39" t="s">
        <v>71</v>
      </c>
      <c r="F33" s="34" t="s">
        <v>26</v>
      </c>
      <c r="G33" s="34" t="n">
        <v>20</v>
      </c>
      <c r="H33" s="40" t="n">
        <v>41.71</v>
      </c>
      <c r="I33" s="28" t="n">
        <f aca="false">H33*0.1532</f>
        <v>6.389972</v>
      </c>
      <c r="J33" s="28" t="n">
        <f aca="false">H33+I33</f>
        <v>48.099972</v>
      </c>
      <c r="K33" s="28" t="n">
        <f aca="false">J33*(0.03%)</f>
        <v>0.0144299916</v>
      </c>
      <c r="L33" s="28" t="n">
        <f aca="false">J33-K33</f>
        <v>48.0855420084</v>
      </c>
      <c r="M33" s="28" t="n">
        <f aca="false">L33*G33</f>
        <v>961.710840168</v>
      </c>
      <c r="N33" s="28" t="n">
        <f aca="false">M33/M32</f>
        <v>5.80919220055711</v>
      </c>
      <c r="O33" s="10"/>
    </row>
    <row r="34" s="38" customFormat="true" ht="16.5" hidden="false" customHeight="true" outlineLevel="0" collapsed="false">
      <c r="A34" s="34" t="s">
        <v>72</v>
      </c>
      <c r="B34" s="34" t="s">
        <v>68</v>
      </c>
      <c r="C34" s="34" t="n">
        <v>21112</v>
      </c>
      <c r="D34" s="34" t="s">
        <v>41</v>
      </c>
      <c r="E34" s="36" t="s">
        <v>73</v>
      </c>
      <c r="F34" s="34" t="s">
        <v>26</v>
      </c>
      <c r="G34" s="34" t="n">
        <v>10</v>
      </c>
      <c r="H34" s="41" t="n">
        <v>266.76</v>
      </c>
      <c r="I34" s="28" t="n">
        <f aca="false">H34*0.1532</f>
        <v>40.867632</v>
      </c>
      <c r="J34" s="28" t="n">
        <f aca="false">H34+I34</f>
        <v>307.627632</v>
      </c>
      <c r="K34" s="28" t="n">
        <f aca="false">J34*(0.03%)</f>
        <v>0.0922882896</v>
      </c>
      <c r="L34" s="28" t="n">
        <f aca="false">J34-K34</f>
        <v>307.5353437104</v>
      </c>
      <c r="M34" s="28" t="n">
        <f aca="false">L34*G34</f>
        <v>3075.353437104</v>
      </c>
      <c r="N34" s="28" t="e">
        <f aca="false">M34/M$30</f>
        <v>#DIV/0!</v>
      </c>
      <c r="O34" s="10"/>
    </row>
    <row r="35" s="38" customFormat="true" ht="16.5" hidden="false" customHeight="true" outlineLevel="0" collapsed="false">
      <c r="A35" s="34" t="s">
        <v>74</v>
      </c>
      <c r="B35" s="34" t="s">
        <v>68</v>
      </c>
      <c r="C35" s="34" t="n">
        <v>11772</v>
      </c>
      <c r="D35" s="34" t="s">
        <v>41</v>
      </c>
      <c r="E35" s="39" t="s">
        <v>75</v>
      </c>
      <c r="F35" s="34" t="s">
        <v>26</v>
      </c>
      <c r="G35" s="34" t="n">
        <v>10</v>
      </c>
      <c r="H35" s="41" t="n">
        <v>119.49</v>
      </c>
      <c r="I35" s="28" t="n">
        <f aca="false">H35*0.1532</f>
        <v>18.305868</v>
      </c>
      <c r="J35" s="28" t="n">
        <f aca="false">H35+I35</f>
        <v>137.795868</v>
      </c>
      <c r="K35" s="28" t="n">
        <f aca="false">J35*(0.03%)</f>
        <v>0.0413387604</v>
      </c>
      <c r="L35" s="28" t="n">
        <f aca="false">J35-K35</f>
        <v>137.7545292396</v>
      </c>
      <c r="M35" s="28" t="n">
        <f aca="false">L35*G35</f>
        <v>1377.545292396</v>
      </c>
      <c r="N35" s="28" t="e">
        <f aca="false">M35/M$30</f>
        <v>#DIV/0!</v>
      </c>
      <c r="O35" s="10"/>
    </row>
    <row r="36" s="38" customFormat="true" ht="16.5" hidden="false" customHeight="true" outlineLevel="0" collapsed="false">
      <c r="A36" s="34" t="s">
        <v>76</v>
      </c>
      <c r="B36" s="34" t="s">
        <v>68</v>
      </c>
      <c r="C36" s="34" t="n">
        <v>11684</v>
      </c>
      <c r="D36" s="34" t="s">
        <v>41</v>
      </c>
      <c r="E36" s="36" t="s">
        <v>77</v>
      </c>
      <c r="F36" s="34" t="s">
        <v>26</v>
      </c>
      <c r="G36" s="34" t="n">
        <v>15</v>
      </c>
      <c r="H36" s="27" t="n">
        <v>41.41</v>
      </c>
      <c r="I36" s="28" t="n">
        <f aca="false">H36*0.1532</f>
        <v>6.344012</v>
      </c>
      <c r="J36" s="28" t="n">
        <f aca="false">H36+I36</f>
        <v>47.754012</v>
      </c>
      <c r="K36" s="28" t="n">
        <f aca="false">J36*(0.03%)</f>
        <v>0.0143262036</v>
      </c>
      <c r="L36" s="28" t="n">
        <f aca="false">J36-K36</f>
        <v>47.7396857964</v>
      </c>
      <c r="M36" s="28" t="n">
        <f aca="false">L36*G36</f>
        <v>716.095286946</v>
      </c>
      <c r="N36" s="28" t="e">
        <f aca="false">M36/M$30</f>
        <v>#DIV/0!</v>
      </c>
      <c r="O36" s="10"/>
    </row>
    <row r="37" s="38" customFormat="true" ht="16.5" hidden="false" customHeight="true" outlineLevel="0" collapsed="false">
      <c r="A37" s="34" t="s">
        <v>78</v>
      </c>
      <c r="B37" s="34" t="s">
        <v>68</v>
      </c>
      <c r="C37" s="34" t="n">
        <v>6016</v>
      </c>
      <c r="D37" s="34" t="s">
        <v>41</v>
      </c>
      <c r="E37" s="42" t="s">
        <v>79</v>
      </c>
      <c r="F37" s="34" t="s">
        <v>26</v>
      </c>
      <c r="G37" s="34" t="n">
        <v>5</v>
      </c>
      <c r="H37" s="41" t="n">
        <v>27.04</v>
      </c>
      <c r="I37" s="28" t="n">
        <f aca="false">H37*0.1532</f>
        <v>4.142528</v>
      </c>
      <c r="J37" s="28" t="n">
        <f aca="false">H37+I37</f>
        <v>31.182528</v>
      </c>
      <c r="K37" s="28" t="n">
        <f aca="false">J37*(0.03%)</f>
        <v>0.0093547584</v>
      </c>
      <c r="L37" s="28" t="n">
        <f aca="false">J37-K37</f>
        <v>31.1731732416</v>
      </c>
      <c r="M37" s="28" t="n">
        <f aca="false">L37*G37</f>
        <v>155.865866208</v>
      </c>
      <c r="N37" s="28" t="e">
        <f aca="false">M37/M$30</f>
        <v>#DIV/0!</v>
      </c>
      <c r="O37" s="10"/>
    </row>
    <row r="38" s="38" customFormat="true" ht="16.5" hidden="false" customHeight="true" outlineLevel="0" collapsed="false">
      <c r="A38" s="34" t="s">
        <v>80</v>
      </c>
      <c r="B38" s="34" t="s">
        <v>68</v>
      </c>
      <c r="C38" s="34" t="n">
        <v>4376</v>
      </c>
      <c r="D38" s="34" t="s">
        <v>41</v>
      </c>
      <c r="E38" s="42" t="s">
        <v>81</v>
      </c>
      <c r="F38" s="34" t="s">
        <v>26</v>
      </c>
      <c r="G38" s="34" t="n">
        <v>100</v>
      </c>
      <c r="H38" s="41" t="n">
        <v>0.17</v>
      </c>
      <c r="I38" s="28" t="n">
        <f aca="false">H38*0.1532</f>
        <v>0.026044</v>
      </c>
      <c r="J38" s="28" t="n">
        <f aca="false">H38+I38</f>
        <v>0.196044</v>
      </c>
      <c r="K38" s="28" t="n">
        <f aca="false">J38*(0.03%)</f>
        <v>5.88132E-005</v>
      </c>
      <c r="L38" s="28" t="n">
        <f aca="false">J38-K38</f>
        <v>0.1959851868</v>
      </c>
      <c r="M38" s="28" t="n">
        <f aca="false">L38*G38</f>
        <v>19.59851868</v>
      </c>
      <c r="N38" s="28" t="n">
        <f aca="false">M38/M37</f>
        <v>0.125739644970414</v>
      </c>
      <c r="O38" s="10"/>
    </row>
    <row r="39" s="38" customFormat="true" ht="16.5" hidden="false" customHeight="true" outlineLevel="0" collapsed="false">
      <c r="A39" s="34" t="s">
        <v>78</v>
      </c>
      <c r="B39" s="34" t="s">
        <v>68</v>
      </c>
      <c r="C39" s="34" t="n">
        <v>4374</v>
      </c>
      <c r="D39" s="34" t="s">
        <v>41</v>
      </c>
      <c r="E39" s="39" t="s">
        <v>82</v>
      </c>
      <c r="F39" s="34" t="s">
        <v>26</v>
      </c>
      <c r="G39" s="34" t="n">
        <v>100</v>
      </c>
      <c r="H39" s="41" t="n">
        <v>0.33</v>
      </c>
      <c r="I39" s="28" t="n">
        <f aca="false">H39*0.1532</f>
        <v>0.050556</v>
      </c>
      <c r="J39" s="28" t="n">
        <f aca="false">H39+I39</f>
        <v>0.380556</v>
      </c>
      <c r="K39" s="28" t="n">
        <f aca="false">J39*(0.03%)</f>
        <v>0.0001141668</v>
      </c>
      <c r="L39" s="28" t="n">
        <f aca="false">J39-K39</f>
        <v>0.3804418332</v>
      </c>
      <c r="M39" s="28" t="n">
        <f aca="false">L39*G39</f>
        <v>38.04418332</v>
      </c>
      <c r="N39" s="28" t="e">
        <f aca="false">M39/M$30</f>
        <v>#DIV/0!</v>
      </c>
      <c r="O39" s="10"/>
    </row>
    <row r="40" s="38" customFormat="true" ht="16.5" hidden="false" customHeight="true" outlineLevel="0" collapsed="false">
      <c r="A40" s="34" t="s">
        <v>83</v>
      </c>
      <c r="B40" s="34" t="s">
        <v>68</v>
      </c>
      <c r="C40" s="34" t="n">
        <v>4375</v>
      </c>
      <c r="D40" s="34" t="s">
        <v>41</v>
      </c>
      <c r="E40" s="39" t="s">
        <v>84</v>
      </c>
      <c r="F40" s="34" t="s">
        <v>26</v>
      </c>
      <c r="G40" s="34" t="n">
        <v>100</v>
      </c>
      <c r="H40" s="41" t="n">
        <v>0.09</v>
      </c>
      <c r="I40" s="28" t="n">
        <f aca="false">H40*0.1532</f>
        <v>0.013788</v>
      </c>
      <c r="J40" s="28" t="n">
        <f aca="false">H40+I40</f>
        <v>0.103788</v>
      </c>
      <c r="K40" s="28" t="n">
        <f aca="false">J40*(0.03%)</f>
        <v>3.11364E-005</v>
      </c>
      <c r="L40" s="28" t="n">
        <f aca="false">J40-K40</f>
        <v>0.1037568636</v>
      </c>
      <c r="M40" s="28" t="n">
        <f aca="false">L40*G40</f>
        <v>10.37568636</v>
      </c>
      <c r="N40" s="28" t="n">
        <f aca="false">M40/M39</f>
        <v>0.272727272727273</v>
      </c>
      <c r="O40" s="10"/>
    </row>
    <row r="41" s="38" customFormat="true" ht="16.5" hidden="false" customHeight="true" outlineLevel="0" collapsed="false">
      <c r="A41" s="34" t="s">
        <v>85</v>
      </c>
      <c r="B41" s="34" t="s">
        <v>68</v>
      </c>
      <c r="C41" s="35" t="n">
        <v>11962</v>
      </c>
      <c r="D41" s="34" t="s">
        <v>41</v>
      </c>
      <c r="E41" s="39" t="s">
        <v>86</v>
      </c>
      <c r="F41" s="34" t="s">
        <v>26</v>
      </c>
      <c r="G41" s="34" t="n">
        <v>100</v>
      </c>
      <c r="H41" s="40" t="n">
        <v>0.24</v>
      </c>
      <c r="I41" s="28" t="n">
        <f aca="false">H41*0.1532</f>
        <v>0.036768</v>
      </c>
      <c r="J41" s="28" t="n">
        <f aca="false">H41+I41</f>
        <v>0.276768</v>
      </c>
      <c r="K41" s="28" t="n">
        <f aca="false">J41*(0.03%)</f>
        <v>8.30304E-005</v>
      </c>
      <c r="L41" s="28" t="n">
        <f aca="false">J41-K41</f>
        <v>0.2766849696</v>
      </c>
      <c r="M41" s="28" t="n">
        <f aca="false">L41*G41</f>
        <v>27.66849696</v>
      </c>
      <c r="N41" s="28" t="n">
        <f aca="false">M41/M40</f>
        <v>2.66666666666667</v>
      </c>
      <c r="O41" s="10"/>
    </row>
    <row r="42" s="38" customFormat="true" ht="16.5" hidden="false" customHeight="true" outlineLevel="0" collapsed="false">
      <c r="A42" s="34" t="s">
        <v>87</v>
      </c>
      <c r="B42" s="34" t="s">
        <v>68</v>
      </c>
      <c r="C42" s="43" t="n">
        <v>11685</v>
      </c>
      <c r="D42" s="34" t="s">
        <v>41</v>
      </c>
      <c r="E42" s="44" t="s">
        <v>88</v>
      </c>
      <c r="F42" s="34" t="s">
        <v>26</v>
      </c>
      <c r="G42" s="43" t="n">
        <v>15</v>
      </c>
      <c r="H42" s="45" t="n">
        <v>26.68</v>
      </c>
      <c r="I42" s="28" t="n">
        <f aca="false">H42*0.1532</f>
        <v>4.087376</v>
      </c>
      <c r="J42" s="28" t="n">
        <f aca="false">H42+I42</f>
        <v>30.767376</v>
      </c>
      <c r="K42" s="28" t="n">
        <f aca="false">J42*(0.03%)</f>
        <v>0.0092302128</v>
      </c>
      <c r="L42" s="28" t="n">
        <f aca="false">J42-K42</f>
        <v>30.7581457872</v>
      </c>
      <c r="M42" s="28" t="n">
        <f aca="false">L42*G42</f>
        <v>461.372186808</v>
      </c>
      <c r="N42" s="28" t="n">
        <f aca="false">M42/M41</f>
        <v>16.675</v>
      </c>
      <c r="O42" s="10"/>
    </row>
    <row r="43" s="38" customFormat="true" ht="16.5" hidden="false" customHeight="true" outlineLevel="0" collapsed="false">
      <c r="A43" s="34" t="s">
        <v>85</v>
      </c>
      <c r="B43" s="34" t="s">
        <v>68</v>
      </c>
      <c r="C43" s="34" t="n">
        <v>3148</v>
      </c>
      <c r="D43" s="34" t="s">
        <v>41</v>
      </c>
      <c r="E43" s="46" t="s">
        <v>89</v>
      </c>
      <c r="F43" s="34" t="s">
        <v>26</v>
      </c>
      <c r="G43" s="34" t="n">
        <v>15</v>
      </c>
      <c r="H43" s="41" t="n">
        <v>8.77</v>
      </c>
      <c r="I43" s="28" t="n">
        <f aca="false">H43*0.1532</f>
        <v>1.343564</v>
      </c>
      <c r="J43" s="28" t="n">
        <f aca="false">H43+I43</f>
        <v>10.113564</v>
      </c>
      <c r="K43" s="28" t="n">
        <f aca="false">J43*(0.03%)</f>
        <v>0.0030340692</v>
      </c>
      <c r="L43" s="28" t="n">
        <f aca="false">J43-K43</f>
        <v>10.1105299308</v>
      </c>
      <c r="M43" s="28" t="n">
        <f aca="false">L43*G43</f>
        <v>151.657948962</v>
      </c>
      <c r="N43" s="28" t="n">
        <f aca="false">M43/M42</f>
        <v>0.328710644677661</v>
      </c>
      <c r="O43" s="10"/>
    </row>
    <row r="44" s="38" customFormat="true" ht="16.5" hidden="false" customHeight="true" outlineLevel="0" collapsed="false">
      <c r="A44" s="34" t="s">
        <v>87</v>
      </c>
      <c r="B44" s="34" t="s">
        <v>68</v>
      </c>
      <c r="C44" s="34" t="n">
        <v>20111</v>
      </c>
      <c r="D44" s="34" t="s">
        <v>41</v>
      </c>
      <c r="E44" s="36" t="s">
        <v>90</v>
      </c>
      <c r="F44" s="34" t="s">
        <v>26</v>
      </c>
      <c r="G44" s="34" t="n">
        <v>10</v>
      </c>
      <c r="H44" s="27" t="n">
        <v>19.62</v>
      </c>
      <c r="I44" s="28" t="n">
        <f aca="false">H44*0.1532</f>
        <v>3.005784</v>
      </c>
      <c r="J44" s="28" t="n">
        <f aca="false">H44+I44</f>
        <v>22.625784</v>
      </c>
      <c r="K44" s="28" t="n">
        <f aca="false">J44*(0.03%)</f>
        <v>0.0067877352</v>
      </c>
      <c r="L44" s="28" t="n">
        <f aca="false">J44-K44</f>
        <v>22.6189962648</v>
      </c>
      <c r="M44" s="28" t="n">
        <f aca="false">L44*G44</f>
        <v>226.189962648</v>
      </c>
      <c r="N44" s="28" t="e">
        <f aca="false">M44/M$30</f>
        <v>#DIV/0!</v>
      </c>
      <c r="O44" s="10"/>
    </row>
    <row r="45" s="38" customFormat="true" ht="16.5" hidden="false" customHeight="true" outlineLevel="0" collapsed="false">
      <c r="A45" s="34" t="s">
        <v>91</v>
      </c>
      <c r="B45" s="34" t="s">
        <v>68</v>
      </c>
      <c r="C45" s="34" t="n">
        <v>38194</v>
      </c>
      <c r="D45" s="34" t="s">
        <v>41</v>
      </c>
      <c r="E45" s="36" t="s">
        <v>92</v>
      </c>
      <c r="F45" s="34" t="s">
        <v>26</v>
      </c>
      <c r="G45" s="34" t="n">
        <v>20</v>
      </c>
      <c r="H45" s="27" t="n">
        <v>7.35</v>
      </c>
      <c r="I45" s="28" t="n">
        <f aca="false">H45*0.1532</f>
        <v>1.12602</v>
      </c>
      <c r="J45" s="28" t="n">
        <f aca="false">H45+I45</f>
        <v>8.47602</v>
      </c>
      <c r="K45" s="28" t="n">
        <f aca="false">J45*(0.03%)</f>
        <v>0.002542806</v>
      </c>
      <c r="L45" s="28" t="n">
        <f aca="false">J45-K45</f>
        <v>8.473477194</v>
      </c>
      <c r="M45" s="28" t="n">
        <f aca="false">L45*G45</f>
        <v>169.46954388</v>
      </c>
      <c r="N45" s="28" t="n">
        <f aca="false">M45/M44</f>
        <v>0.749235474006116</v>
      </c>
      <c r="O45" s="10"/>
    </row>
    <row r="46" s="38" customFormat="true" ht="16.5" hidden="false" customHeight="true" outlineLevel="0" collapsed="false">
      <c r="A46" s="34" t="s">
        <v>93</v>
      </c>
      <c r="B46" s="34" t="s">
        <v>68</v>
      </c>
      <c r="C46" s="35" t="n">
        <v>1368</v>
      </c>
      <c r="D46" s="34" t="s">
        <v>41</v>
      </c>
      <c r="E46" s="36" t="s">
        <v>94</v>
      </c>
      <c r="F46" s="34" t="s">
        <v>26</v>
      </c>
      <c r="G46" s="34" t="n">
        <v>20</v>
      </c>
      <c r="H46" s="27" t="n">
        <v>87.9</v>
      </c>
      <c r="I46" s="28" t="n">
        <f aca="false">H46*0.1532</f>
        <v>13.46628</v>
      </c>
      <c r="J46" s="28" t="n">
        <f aca="false">H46+I46</f>
        <v>101.36628</v>
      </c>
      <c r="K46" s="28" t="n">
        <f aca="false">J46*(0.03%)</f>
        <v>0.030409884</v>
      </c>
      <c r="L46" s="28" t="n">
        <f aca="false">J46-K46</f>
        <v>101.335870116</v>
      </c>
      <c r="M46" s="28" t="n">
        <f aca="false">L46*G46</f>
        <v>2026.71740232</v>
      </c>
      <c r="N46" s="28" t="n">
        <f aca="false">M46/M45</f>
        <v>11.9591836734694</v>
      </c>
      <c r="O46" s="10"/>
    </row>
    <row r="47" s="38" customFormat="true" ht="16.5" hidden="false" customHeight="true" outlineLevel="0" collapsed="false">
      <c r="A47" s="34" t="s">
        <v>95</v>
      </c>
      <c r="B47" s="34" t="s">
        <v>68</v>
      </c>
      <c r="C47" s="47" t="s">
        <v>96</v>
      </c>
      <c r="D47" s="47" t="s">
        <v>97</v>
      </c>
      <c r="E47" s="48" t="s">
        <v>98</v>
      </c>
      <c r="F47" s="47" t="s">
        <v>99</v>
      </c>
      <c r="G47" s="34" t="n">
        <v>10</v>
      </c>
      <c r="H47" s="49" t="n">
        <v>147.71</v>
      </c>
      <c r="I47" s="28" t="n">
        <f aca="false">H47*0.1532</f>
        <v>22.629172</v>
      </c>
      <c r="J47" s="28" t="n">
        <f aca="false">H47+I47</f>
        <v>170.339172</v>
      </c>
      <c r="K47" s="28" t="n">
        <f aca="false">J47*(0.03%)</f>
        <v>0.0511017516</v>
      </c>
      <c r="L47" s="28" t="n">
        <f aca="false">J47-K47</f>
        <v>170.2880702484</v>
      </c>
      <c r="M47" s="28" t="n">
        <f aca="false">L47*G47</f>
        <v>1702.880702484</v>
      </c>
      <c r="N47" s="28" t="e">
        <f aca="false">M47/M$30</f>
        <v>#DIV/0!</v>
      </c>
      <c r="O47" s="10"/>
    </row>
    <row r="48" s="38" customFormat="true" ht="16.5" hidden="false" customHeight="true" outlineLevel="0" collapsed="false">
      <c r="A48" s="34" t="s">
        <v>100</v>
      </c>
      <c r="B48" s="34" t="s">
        <v>68</v>
      </c>
      <c r="C48" s="24" t="n">
        <v>38383</v>
      </c>
      <c r="D48" s="34" t="s">
        <v>41</v>
      </c>
      <c r="E48" s="50" t="s">
        <v>101</v>
      </c>
      <c r="F48" s="34" t="s">
        <v>26</v>
      </c>
      <c r="G48" s="34" t="n">
        <v>50</v>
      </c>
      <c r="H48" s="27" t="n">
        <v>2.66</v>
      </c>
      <c r="I48" s="28" t="n">
        <f aca="false">H48*0.1532</f>
        <v>0.407512</v>
      </c>
      <c r="J48" s="28" t="n">
        <f aca="false">H48+I48</f>
        <v>3.067512</v>
      </c>
      <c r="K48" s="28" t="n">
        <f aca="false">J48*(0.03%)</f>
        <v>0.0009202536</v>
      </c>
      <c r="L48" s="28" t="n">
        <f aca="false">J48-K48</f>
        <v>3.0665917464</v>
      </c>
      <c r="M48" s="28" t="n">
        <f aca="false">L48*G48</f>
        <v>153.32958732</v>
      </c>
      <c r="N48" s="28" t="e">
        <f aca="false">M48/M$30</f>
        <v>#DIV/0!</v>
      </c>
      <c r="O48" s="10"/>
    </row>
    <row r="49" s="38" customFormat="true" ht="16.5" hidden="false" customHeight="true" outlineLevel="0" collapsed="false">
      <c r="A49" s="34" t="s">
        <v>102</v>
      </c>
      <c r="B49" s="34" t="s">
        <v>68</v>
      </c>
      <c r="C49" s="35" t="n">
        <v>11677</v>
      </c>
      <c r="D49" s="34" t="s">
        <v>41</v>
      </c>
      <c r="E49" s="36" t="s">
        <v>103</v>
      </c>
      <c r="F49" s="34" t="s">
        <v>26</v>
      </c>
      <c r="G49" s="34" t="n">
        <v>5</v>
      </c>
      <c r="H49" s="37" t="n">
        <v>70.27</v>
      </c>
      <c r="I49" s="28" t="n">
        <f aca="false">H49*0.1532</f>
        <v>10.765364</v>
      </c>
      <c r="J49" s="28" t="n">
        <f aca="false">H49+I49</f>
        <v>81.035364</v>
      </c>
      <c r="K49" s="28" t="n">
        <f aca="false">J49*(0.03%)</f>
        <v>0.0243106092</v>
      </c>
      <c r="L49" s="28" t="n">
        <f aca="false">J49-K49</f>
        <v>81.0110533908</v>
      </c>
      <c r="M49" s="28" t="n">
        <f aca="false">L49*G49</f>
        <v>405.055266954</v>
      </c>
      <c r="N49" s="28" t="n">
        <f aca="false">M49/M48</f>
        <v>2.64172932330827</v>
      </c>
      <c r="O49" s="10"/>
    </row>
    <row r="50" s="38" customFormat="true" ht="16.5" hidden="false" customHeight="true" outlineLevel="0" collapsed="false">
      <c r="A50" s="34" t="s">
        <v>80</v>
      </c>
      <c r="B50" s="34" t="s">
        <v>68</v>
      </c>
      <c r="C50" s="34" t="n">
        <v>11678</v>
      </c>
      <c r="D50" s="34" t="s">
        <v>41</v>
      </c>
      <c r="E50" s="39" t="s">
        <v>104</v>
      </c>
      <c r="F50" s="34" t="s">
        <v>26</v>
      </c>
      <c r="G50" s="34" t="n">
        <v>2</v>
      </c>
      <c r="H50" s="41" t="n">
        <v>128.7</v>
      </c>
      <c r="I50" s="28" t="n">
        <f aca="false">H50*0.1532</f>
        <v>19.71684</v>
      </c>
      <c r="J50" s="28" t="n">
        <f aca="false">H50+I50</f>
        <v>148.41684</v>
      </c>
      <c r="K50" s="28" t="n">
        <f aca="false">J50*(0.03%)</f>
        <v>0.044525052</v>
      </c>
      <c r="L50" s="28" t="n">
        <f aca="false">J50-K50</f>
        <v>148.372314948</v>
      </c>
      <c r="M50" s="28" t="n">
        <f aca="false">L50*G50</f>
        <v>296.744629896</v>
      </c>
      <c r="N50" s="28" t="n">
        <f aca="false">M50/M49</f>
        <v>0.732602817703145</v>
      </c>
      <c r="O50" s="10"/>
    </row>
    <row r="51" s="38" customFormat="true" ht="16.5" hidden="false" customHeight="true" outlineLevel="0" collapsed="false">
      <c r="A51" s="34" t="s">
        <v>105</v>
      </c>
      <c r="B51" s="34" t="s">
        <v>68</v>
      </c>
      <c r="C51" s="35" t="n">
        <v>11674</v>
      </c>
      <c r="D51" s="34" t="s">
        <v>41</v>
      </c>
      <c r="E51" s="36" t="s">
        <v>106</v>
      </c>
      <c r="F51" s="34" t="s">
        <v>26</v>
      </c>
      <c r="G51" s="34" t="n">
        <v>10</v>
      </c>
      <c r="H51" s="27" t="n">
        <v>32.04</v>
      </c>
      <c r="I51" s="28" t="n">
        <f aca="false">H51*0.1532</f>
        <v>4.908528</v>
      </c>
      <c r="J51" s="28" t="n">
        <f aca="false">H51+I51</f>
        <v>36.948528</v>
      </c>
      <c r="K51" s="28" t="n">
        <f aca="false">J51*(0.03%)</f>
        <v>0.0110845584</v>
      </c>
      <c r="L51" s="28" t="n">
        <f aca="false">J51-K51</f>
        <v>36.9374434416</v>
      </c>
      <c r="M51" s="28" t="n">
        <f aca="false">L51*G51</f>
        <v>369.374434416</v>
      </c>
      <c r="N51" s="28" t="n">
        <f aca="false">M51/M50</f>
        <v>1.24475524475525</v>
      </c>
      <c r="O51" s="10"/>
    </row>
    <row r="52" s="38" customFormat="true" ht="16.5" hidden="false" customHeight="true" outlineLevel="0" collapsed="false">
      <c r="A52" s="34" t="s">
        <v>107</v>
      </c>
      <c r="B52" s="34" t="s">
        <v>68</v>
      </c>
      <c r="C52" s="35" t="n">
        <v>142</v>
      </c>
      <c r="D52" s="34" t="s">
        <v>41</v>
      </c>
      <c r="E52" s="36" t="s">
        <v>108</v>
      </c>
      <c r="F52" s="34" t="s">
        <v>26</v>
      </c>
      <c r="G52" s="34" t="n">
        <v>100</v>
      </c>
      <c r="H52" s="27" t="n">
        <v>34.53</v>
      </c>
      <c r="I52" s="28" t="n">
        <f aca="false">H52*0.1532</f>
        <v>5.289996</v>
      </c>
      <c r="J52" s="28" t="n">
        <f aca="false">H52+I52</f>
        <v>39.819996</v>
      </c>
      <c r="K52" s="28" t="n">
        <f aca="false">J52*(0.03%)</f>
        <v>0.0119459988</v>
      </c>
      <c r="L52" s="28" t="n">
        <f aca="false">J52-K52</f>
        <v>39.8080500012</v>
      </c>
      <c r="M52" s="28" t="n">
        <f aca="false">L52*G52</f>
        <v>3980.80500012</v>
      </c>
      <c r="N52" s="28" t="n">
        <f aca="false">M52/M51</f>
        <v>10.7771535580524</v>
      </c>
      <c r="O52" s="10"/>
    </row>
    <row r="53" s="38" customFormat="true" ht="16.5" hidden="false" customHeight="true" outlineLevel="0" collapsed="false">
      <c r="A53" s="34" t="s">
        <v>109</v>
      </c>
      <c r="B53" s="34" t="s">
        <v>68</v>
      </c>
      <c r="C53" s="34" t="n">
        <v>65</v>
      </c>
      <c r="D53" s="34" t="s">
        <v>41</v>
      </c>
      <c r="E53" s="42" t="s">
        <v>110</v>
      </c>
      <c r="F53" s="34" t="s">
        <v>26</v>
      </c>
      <c r="G53" s="34" t="n">
        <v>15</v>
      </c>
      <c r="H53" s="41" t="n">
        <v>0.93</v>
      </c>
      <c r="I53" s="28" t="n">
        <f aca="false">H53*0.1532</f>
        <v>0.142476</v>
      </c>
      <c r="J53" s="28" t="n">
        <f aca="false">H53+I53</f>
        <v>1.072476</v>
      </c>
      <c r="K53" s="28" t="n">
        <f aca="false">J53*(0.03%)</f>
        <v>0.0003217428</v>
      </c>
      <c r="L53" s="28" t="n">
        <f aca="false">J53-K53</f>
        <v>1.0721542572</v>
      </c>
      <c r="M53" s="28" t="n">
        <f aca="false">L53*G53</f>
        <v>16.082313858</v>
      </c>
      <c r="N53" s="28" t="n">
        <f aca="false">M53/M52</f>
        <v>0.00403996524761077</v>
      </c>
      <c r="O53" s="10"/>
    </row>
    <row r="54" s="38" customFormat="true" ht="16.5" hidden="false" customHeight="true" outlineLevel="0" collapsed="false">
      <c r="A54" s="34" t="s">
        <v>67</v>
      </c>
      <c r="B54" s="34" t="s">
        <v>68</v>
      </c>
      <c r="C54" s="34" t="n">
        <v>3529</v>
      </c>
      <c r="D54" s="34" t="s">
        <v>41</v>
      </c>
      <c r="E54" s="51" t="s">
        <v>111</v>
      </c>
      <c r="F54" s="34" t="s">
        <v>26</v>
      </c>
      <c r="G54" s="34" t="n">
        <v>15</v>
      </c>
      <c r="H54" s="41" t="n">
        <v>0.76</v>
      </c>
      <c r="I54" s="28" t="n">
        <f aca="false">H54*0.1532</f>
        <v>0.116432</v>
      </c>
      <c r="J54" s="28" t="n">
        <f aca="false">H54+I54</f>
        <v>0.876432</v>
      </c>
      <c r="K54" s="28" t="n">
        <f aca="false">J54*(0.03%)</f>
        <v>0.0002629296</v>
      </c>
      <c r="L54" s="28" t="n">
        <f aca="false">J54-K54</f>
        <v>0.8761690704</v>
      </c>
      <c r="M54" s="28" t="n">
        <f aca="false">L54*G54</f>
        <v>13.142536056</v>
      </c>
      <c r="N54" s="28" t="n">
        <f aca="false">M54/M53</f>
        <v>0.817204301075269</v>
      </c>
      <c r="O54" s="10"/>
    </row>
    <row r="55" s="38" customFormat="true" ht="16.5" hidden="false" customHeight="true" outlineLevel="0" collapsed="false">
      <c r="A55" s="34" t="s">
        <v>112</v>
      </c>
      <c r="B55" s="34" t="s">
        <v>68</v>
      </c>
      <c r="C55" s="35" t="n">
        <v>3873</v>
      </c>
      <c r="D55" s="34" t="s">
        <v>41</v>
      </c>
      <c r="E55" s="36" t="s">
        <v>113</v>
      </c>
      <c r="F55" s="52" t="s">
        <v>26</v>
      </c>
      <c r="G55" s="34" t="n">
        <v>10</v>
      </c>
      <c r="H55" s="37" t="n">
        <v>12.96</v>
      </c>
      <c r="I55" s="28" t="n">
        <f aca="false">H55*0.1532</f>
        <v>1.985472</v>
      </c>
      <c r="J55" s="28" t="n">
        <f aca="false">H55+I55</f>
        <v>14.945472</v>
      </c>
      <c r="K55" s="28" t="n">
        <f aca="false">J55*(0.03%)</f>
        <v>0.0044836416</v>
      </c>
      <c r="L55" s="28" t="n">
        <f aca="false">J55-K55</f>
        <v>14.9409883584</v>
      </c>
      <c r="M55" s="28" t="n">
        <f aca="false">L55*G55</f>
        <v>149.409883584</v>
      </c>
      <c r="N55" s="28" t="n">
        <f aca="false">M55/M54</f>
        <v>11.3684210526316</v>
      </c>
      <c r="O55" s="10"/>
    </row>
    <row r="56" s="38" customFormat="true" ht="16.5" hidden="false" customHeight="true" outlineLevel="0" collapsed="false">
      <c r="A56" s="34" t="s">
        <v>105</v>
      </c>
      <c r="B56" s="34" t="s">
        <v>68</v>
      </c>
      <c r="C56" s="34" t="n">
        <v>7139</v>
      </c>
      <c r="D56" s="34" t="s">
        <v>41</v>
      </c>
      <c r="E56" s="51" t="s">
        <v>114</v>
      </c>
      <c r="F56" s="34" t="s">
        <v>26</v>
      </c>
      <c r="G56" s="34" t="n">
        <v>10</v>
      </c>
      <c r="H56" s="41" t="n">
        <v>1.26</v>
      </c>
      <c r="I56" s="28" t="n">
        <f aca="false">H56*0.1532</f>
        <v>0.193032</v>
      </c>
      <c r="J56" s="28" t="n">
        <f aca="false">H56+I56</f>
        <v>1.453032</v>
      </c>
      <c r="K56" s="28" t="n">
        <f aca="false">J56*(0.03%)</f>
        <v>0.0004359096</v>
      </c>
      <c r="L56" s="28" t="n">
        <f aca="false">J56-K56</f>
        <v>1.4525960904</v>
      </c>
      <c r="M56" s="28" t="n">
        <f aca="false">L56*G56</f>
        <v>14.525960904</v>
      </c>
      <c r="N56" s="28" t="n">
        <f aca="false">M56/M55</f>
        <v>0.0972222222222222</v>
      </c>
      <c r="O56" s="10"/>
    </row>
    <row r="57" s="38" customFormat="true" ht="16.5" hidden="false" customHeight="true" outlineLevel="0" collapsed="false">
      <c r="A57" s="34" t="s">
        <v>67</v>
      </c>
      <c r="B57" s="34" t="s">
        <v>68</v>
      </c>
      <c r="C57" s="35" t="n">
        <v>9906</v>
      </c>
      <c r="D57" s="34" t="s">
        <v>41</v>
      </c>
      <c r="E57" s="36" t="s">
        <v>115</v>
      </c>
      <c r="F57" s="34" t="s">
        <v>26</v>
      </c>
      <c r="G57" s="34" t="n">
        <v>10</v>
      </c>
      <c r="H57" s="37" t="n">
        <v>8.39</v>
      </c>
      <c r="I57" s="28" t="n">
        <f aca="false">H57*0.1532</f>
        <v>1.285348</v>
      </c>
      <c r="J57" s="28" t="n">
        <f aca="false">H57+I57</f>
        <v>9.675348</v>
      </c>
      <c r="K57" s="28" t="n">
        <f aca="false">J57*(0.03%)</f>
        <v>0.0029026044</v>
      </c>
      <c r="L57" s="28" t="n">
        <f aca="false">J57-K57</f>
        <v>9.6724453956</v>
      </c>
      <c r="M57" s="28" t="n">
        <f aca="false">L57*G57</f>
        <v>96.724453956</v>
      </c>
      <c r="N57" s="28" t="n">
        <f aca="false">M57/M56</f>
        <v>6.65873015873016</v>
      </c>
      <c r="O57" s="10"/>
    </row>
    <row r="58" s="38" customFormat="true" ht="16.5" hidden="false" customHeight="true" outlineLevel="0" collapsed="false">
      <c r="A58" s="34" t="s">
        <v>116</v>
      </c>
      <c r="B58" s="34" t="s">
        <v>68</v>
      </c>
      <c r="C58" s="53" t="s">
        <v>117</v>
      </c>
      <c r="D58" s="53" t="s">
        <v>97</v>
      </c>
      <c r="E58" s="36" t="s">
        <v>118</v>
      </c>
      <c r="F58" s="34" t="s">
        <v>26</v>
      </c>
      <c r="G58" s="34" t="n">
        <v>31</v>
      </c>
      <c r="H58" s="27" t="n">
        <v>78.3</v>
      </c>
      <c r="I58" s="28" t="n">
        <f aca="false">H58*0.1532</f>
        <v>11.99556</v>
      </c>
      <c r="J58" s="28" t="n">
        <f aca="false">H58+I58</f>
        <v>90.29556</v>
      </c>
      <c r="K58" s="28" t="n">
        <f aca="false">J58*(0.03%)</f>
        <v>0.027088668</v>
      </c>
      <c r="L58" s="28" t="n">
        <f aca="false">J58-K58</f>
        <v>90.268471332</v>
      </c>
      <c r="M58" s="28" t="n">
        <f aca="false">L58*G58</f>
        <v>2798.322611292</v>
      </c>
      <c r="N58" s="28" t="n">
        <f aca="false">M58/M57</f>
        <v>28.9308700834326</v>
      </c>
      <c r="O58" s="10"/>
    </row>
    <row r="59" s="38" customFormat="true" ht="16.5" hidden="false" customHeight="true" outlineLevel="0" collapsed="false">
      <c r="A59" s="34" t="s">
        <v>87</v>
      </c>
      <c r="B59" s="34" t="s">
        <v>68</v>
      </c>
      <c r="C59" s="34" t="n">
        <v>43059</v>
      </c>
      <c r="D59" s="34" t="s">
        <v>41</v>
      </c>
      <c r="E59" s="54" t="s">
        <v>119</v>
      </c>
      <c r="F59" s="34" t="s">
        <v>120</v>
      </c>
      <c r="G59" s="34" t="n">
        <f aca="false">1.32*20</f>
        <v>26.4</v>
      </c>
      <c r="H59" s="41" t="n">
        <v>7.53</v>
      </c>
      <c r="I59" s="28" t="n">
        <f aca="false">H59*0.1532</f>
        <v>1.153596</v>
      </c>
      <c r="J59" s="28" t="n">
        <f aca="false">H59+I59</f>
        <v>8.683596</v>
      </c>
      <c r="K59" s="28" t="n">
        <f aca="false">J59*(0.03%)</f>
        <v>0.0026050788</v>
      </c>
      <c r="L59" s="28" t="n">
        <f aca="false">J59-K59</f>
        <v>8.6809909212</v>
      </c>
      <c r="M59" s="28" t="n">
        <f aca="false">L59*G59</f>
        <v>229.17816031968</v>
      </c>
      <c r="N59" s="28" t="n">
        <f aca="false">M59/M58</f>
        <v>0.0818984056358917</v>
      </c>
      <c r="O59" s="10"/>
    </row>
    <row r="60" s="38" customFormat="true" ht="16.5" hidden="false" customHeight="true" outlineLevel="0" collapsed="false">
      <c r="A60" s="34" t="s">
        <v>100</v>
      </c>
      <c r="B60" s="34" t="s">
        <v>68</v>
      </c>
      <c r="C60" s="35" t="n">
        <v>33</v>
      </c>
      <c r="D60" s="34" t="s">
        <v>41</v>
      </c>
      <c r="E60" s="36" t="s">
        <v>121</v>
      </c>
      <c r="F60" s="34" t="s">
        <v>120</v>
      </c>
      <c r="G60" s="34" t="n">
        <f aca="false">4.74*20</f>
        <v>94.8</v>
      </c>
      <c r="H60" s="37" t="n">
        <v>8.44</v>
      </c>
      <c r="I60" s="28" t="n">
        <f aca="false">H60*0.1532</f>
        <v>1.293008</v>
      </c>
      <c r="J60" s="28" t="n">
        <f aca="false">H60+I60</f>
        <v>9.733008</v>
      </c>
      <c r="K60" s="28" t="n">
        <f aca="false">J60*(0.03%)</f>
        <v>0.0029199024</v>
      </c>
      <c r="L60" s="28" t="n">
        <f aca="false">J60-K60</f>
        <v>9.7300880976</v>
      </c>
      <c r="M60" s="28" t="n">
        <f aca="false">L60*G60</f>
        <v>922.41235165248</v>
      </c>
      <c r="N60" s="28" t="n">
        <f aca="false">M60/M59</f>
        <v>4.02487021610528</v>
      </c>
      <c r="O60" s="10"/>
    </row>
    <row r="61" s="38" customFormat="true" ht="16.5" hidden="false" customHeight="true" outlineLevel="0" collapsed="false">
      <c r="A61" s="34" t="s">
        <v>91</v>
      </c>
      <c r="B61" s="34" t="s">
        <v>68</v>
      </c>
      <c r="C61" s="34" t="n">
        <v>7194</v>
      </c>
      <c r="D61" s="34" t="s">
        <v>41</v>
      </c>
      <c r="E61" s="42" t="s">
        <v>122</v>
      </c>
      <c r="F61" s="34" t="s">
        <v>123</v>
      </c>
      <c r="G61" s="34" t="n">
        <f aca="false">30*1.1*2.44</f>
        <v>80.52</v>
      </c>
      <c r="H61" s="41" t="n">
        <v>24.8</v>
      </c>
      <c r="I61" s="28" t="n">
        <f aca="false">H61*0.1532</f>
        <v>3.79936</v>
      </c>
      <c r="J61" s="28" t="n">
        <f aca="false">H61+I61</f>
        <v>28.59936</v>
      </c>
      <c r="K61" s="28" t="n">
        <f aca="false">J61*(0.03%)</f>
        <v>0.008579808</v>
      </c>
      <c r="L61" s="28" t="n">
        <f aca="false">J61-K61</f>
        <v>28.590780192</v>
      </c>
      <c r="M61" s="28" t="n">
        <f aca="false">L61*G61</f>
        <v>2302.12962105984</v>
      </c>
      <c r="N61" s="28" t="n">
        <f aca="false">M61/M60</f>
        <v>2.4957705921171</v>
      </c>
      <c r="O61" s="10"/>
    </row>
    <row r="62" s="38" customFormat="true" ht="16.5" hidden="false" customHeight="true" outlineLevel="0" collapsed="false">
      <c r="A62" s="34" t="s">
        <v>74</v>
      </c>
      <c r="B62" s="34" t="s">
        <v>68</v>
      </c>
      <c r="C62" s="34" t="n">
        <v>9868</v>
      </c>
      <c r="D62" s="34" t="s">
        <v>41</v>
      </c>
      <c r="E62" s="39" t="s">
        <v>124</v>
      </c>
      <c r="F62" s="34" t="s">
        <v>125</v>
      </c>
      <c r="G62" s="34" t="n">
        <v>90</v>
      </c>
      <c r="H62" s="41" t="n">
        <v>4.36</v>
      </c>
      <c r="I62" s="28" t="n">
        <f aca="false">H62*0.1532</f>
        <v>0.667952</v>
      </c>
      <c r="J62" s="28" t="n">
        <f aca="false">H62+I62</f>
        <v>5.027952</v>
      </c>
      <c r="K62" s="28" t="n">
        <f aca="false">J62*(0.03%)</f>
        <v>0.0015083856</v>
      </c>
      <c r="L62" s="28" t="n">
        <f aca="false">J62-K62</f>
        <v>5.0264436144</v>
      </c>
      <c r="M62" s="28" t="n">
        <f aca="false">L62*G62</f>
        <v>452.379925296</v>
      </c>
      <c r="N62" s="28" t="n">
        <f aca="false">M62/M61</f>
        <v>0.196504975722321</v>
      </c>
      <c r="O62" s="10"/>
    </row>
    <row r="63" s="55" customFormat="true" ht="16.5" hidden="false" customHeight="true" outlineLevel="0" collapsed="false">
      <c r="A63" s="34" t="s">
        <v>126</v>
      </c>
      <c r="B63" s="34" t="s">
        <v>68</v>
      </c>
      <c r="C63" s="34" t="n">
        <v>7348</v>
      </c>
      <c r="D63" s="34" t="s">
        <v>41</v>
      </c>
      <c r="E63" s="39" t="s">
        <v>127</v>
      </c>
      <c r="F63" s="34" t="s">
        <v>128</v>
      </c>
      <c r="G63" s="34" t="n">
        <v>36</v>
      </c>
      <c r="H63" s="41" t="n">
        <v>19.44</v>
      </c>
      <c r="I63" s="28" t="n">
        <f aca="false">H63*0.1532</f>
        <v>2.978208</v>
      </c>
      <c r="J63" s="28" t="n">
        <f aca="false">H63+I63</f>
        <v>22.418208</v>
      </c>
      <c r="K63" s="28" t="n">
        <f aca="false">J63*(0.03%)</f>
        <v>0.0067254624</v>
      </c>
      <c r="L63" s="28" t="n">
        <f aca="false">J63-K63</f>
        <v>22.4114825376</v>
      </c>
      <c r="M63" s="28" t="n">
        <f aca="false">L63*G63</f>
        <v>806.8133713536</v>
      </c>
      <c r="N63" s="28" t="n">
        <f aca="false">M63/M62</f>
        <v>1.78348623853211</v>
      </c>
      <c r="O63" s="10"/>
    </row>
    <row r="64" s="38" customFormat="true" ht="16.5" hidden="false" customHeight="true" outlineLevel="0" collapsed="false">
      <c r="A64" s="34" t="s">
        <v>78</v>
      </c>
      <c r="B64" s="34" t="s">
        <v>68</v>
      </c>
      <c r="C64" s="34" t="n">
        <v>35692</v>
      </c>
      <c r="D64" s="34" t="s">
        <v>41</v>
      </c>
      <c r="E64" s="39" t="s">
        <v>129</v>
      </c>
      <c r="F64" s="34" t="s">
        <v>128</v>
      </c>
      <c r="G64" s="34" t="n">
        <f aca="false">18*2</f>
        <v>36</v>
      </c>
      <c r="H64" s="37" t="n">
        <v>18.97</v>
      </c>
      <c r="I64" s="28" t="n">
        <f aca="false">H64*0.1532</f>
        <v>2.906204</v>
      </c>
      <c r="J64" s="28" t="n">
        <f aca="false">H64+I64</f>
        <v>21.876204</v>
      </c>
      <c r="K64" s="28" t="n">
        <f aca="false">J64*(0.03%)</f>
        <v>0.0065628612</v>
      </c>
      <c r="L64" s="28" t="n">
        <f aca="false">J64-K64</f>
        <v>21.8696411388</v>
      </c>
      <c r="M64" s="28" t="n">
        <f aca="false">L64*G64</f>
        <v>787.3070809968</v>
      </c>
      <c r="N64" s="28" t="n">
        <f aca="false">M64/M63</f>
        <v>0.97582304526749</v>
      </c>
      <c r="O64" s="10"/>
    </row>
    <row r="65" s="38" customFormat="true" ht="16.5" hidden="false" customHeight="true" outlineLevel="0" collapsed="false">
      <c r="A65" s="34" t="s">
        <v>130</v>
      </c>
      <c r="B65" s="34" t="s">
        <v>68</v>
      </c>
      <c r="C65" s="24" t="n">
        <v>4791</v>
      </c>
      <c r="D65" s="34" t="s">
        <v>41</v>
      </c>
      <c r="E65" s="50" t="s">
        <v>131</v>
      </c>
      <c r="F65" s="34" t="s">
        <v>120</v>
      </c>
      <c r="G65" s="34" t="n">
        <f aca="false">2.8*3</f>
        <v>8.4</v>
      </c>
      <c r="H65" s="41" t="n">
        <v>47.3</v>
      </c>
      <c r="I65" s="28" t="n">
        <f aca="false">H65*0.1532</f>
        <v>7.24636</v>
      </c>
      <c r="J65" s="28" t="n">
        <f aca="false">H65+I65</f>
        <v>54.54636</v>
      </c>
      <c r="K65" s="28" t="n">
        <f aca="false">J65*(0.03%)</f>
        <v>0.016363908</v>
      </c>
      <c r="L65" s="28" t="n">
        <f aca="false">J65-K65</f>
        <v>54.529996092</v>
      </c>
      <c r="M65" s="28" t="n">
        <f aca="false">L65*G65</f>
        <v>458.0519671728</v>
      </c>
      <c r="N65" s="28" t="n">
        <f aca="false">M65/M64</f>
        <v>0.58179581795818</v>
      </c>
      <c r="O65" s="10"/>
    </row>
    <row r="66" s="38" customFormat="true" ht="16.5" hidden="false" customHeight="true" outlineLevel="0" collapsed="false">
      <c r="A66" s="34" t="s">
        <v>132</v>
      </c>
      <c r="B66" s="34" t="s">
        <v>68</v>
      </c>
      <c r="C66" s="34" t="n">
        <v>12815</v>
      </c>
      <c r="D66" s="34" t="s">
        <v>41</v>
      </c>
      <c r="E66" s="54" t="s">
        <v>133</v>
      </c>
      <c r="F66" s="34" t="s">
        <v>26</v>
      </c>
      <c r="G66" s="34" t="n">
        <v>5</v>
      </c>
      <c r="H66" s="41" t="n">
        <v>10.89</v>
      </c>
      <c r="I66" s="28" t="n">
        <f aca="false">H66*0.1532</f>
        <v>1.668348</v>
      </c>
      <c r="J66" s="28" t="n">
        <f aca="false">H66+I66</f>
        <v>12.558348</v>
      </c>
      <c r="K66" s="28" t="n">
        <f aca="false">J66*(0.03%)</f>
        <v>0.0037675044</v>
      </c>
      <c r="L66" s="28" t="n">
        <f aca="false">J66-K66</f>
        <v>12.5545804956</v>
      </c>
      <c r="M66" s="28" t="n">
        <f aca="false">L66*G66</f>
        <v>62.772902478</v>
      </c>
      <c r="N66" s="28" t="n">
        <f aca="false">M66/M65</f>
        <v>0.137043189368771</v>
      </c>
      <c r="O66" s="10"/>
    </row>
    <row r="67" s="38" customFormat="true" ht="16.5" hidden="false" customHeight="true" outlineLevel="0" collapsed="false">
      <c r="A67" s="34" t="s">
        <v>134</v>
      </c>
      <c r="B67" s="34" t="s">
        <v>68</v>
      </c>
      <c r="C67" s="34" t="n">
        <v>7292</v>
      </c>
      <c r="D67" s="34" t="s">
        <v>41</v>
      </c>
      <c r="E67" s="54" t="s">
        <v>135</v>
      </c>
      <c r="F67" s="34" t="s">
        <v>128</v>
      </c>
      <c r="G67" s="34" t="n">
        <f aca="false">3.6*2</f>
        <v>7.2</v>
      </c>
      <c r="H67" s="41" t="n">
        <v>40.28</v>
      </c>
      <c r="I67" s="28" t="n">
        <f aca="false">H67*0.1532</f>
        <v>6.170896</v>
      </c>
      <c r="J67" s="28" t="n">
        <f aca="false">H67+I67</f>
        <v>46.450896</v>
      </c>
      <c r="K67" s="28" t="n">
        <f aca="false">J67*(0.03%)</f>
        <v>0.0139352688</v>
      </c>
      <c r="L67" s="28" t="n">
        <f aca="false">J67-K67</f>
        <v>46.4369607312</v>
      </c>
      <c r="M67" s="28" t="n">
        <f aca="false">L67*G67</f>
        <v>334.34611726464</v>
      </c>
      <c r="N67" s="28" t="n">
        <f aca="false">M67/M66</f>
        <v>5.32628099173554</v>
      </c>
      <c r="O67" s="10"/>
    </row>
    <row r="68" s="38" customFormat="true" ht="16.5" hidden="false" customHeight="true" outlineLevel="0" collapsed="false">
      <c r="A68" s="34" t="s">
        <v>100</v>
      </c>
      <c r="B68" s="34" t="s">
        <v>68</v>
      </c>
      <c r="C68" s="34" t="n">
        <v>5318</v>
      </c>
      <c r="D68" s="34" t="s">
        <v>41</v>
      </c>
      <c r="E68" s="54" t="s">
        <v>136</v>
      </c>
      <c r="F68" s="34" t="s">
        <v>128</v>
      </c>
      <c r="G68" s="34" t="n">
        <v>18</v>
      </c>
      <c r="H68" s="41" t="n">
        <v>23</v>
      </c>
      <c r="I68" s="28" t="n">
        <f aca="false">H68*0.1532</f>
        <v>3.5236</v>
      </c>
      <c r="J68" s="28" t="n">
        <f aca="false">H68+I68</f>
        <v>26.5236</v>
      </c>
      <c r="K68" s="28" t="n">
        <f aca="false">J68*(0.03%)</f>
        <v>0.00795708</v>
      </c>
      <c r="L68" s="28" t="n">
        <f aca="false">J68-K68</f>
        <v>26.51564292</v>
      </c>
      <c r="M68" s="28" t="n">
        <f aca="false">L68*G68</f>
        <v>477.28157256</v>
      </c>
      <c r="N68" s="28" t="n">
        <f aca="false">M68/M67</f>
        <v>1.42750744786495</v>
      </c>
      <c r="O68" s="10"/>
    </row>
    <row r="69" s="38" customFormat="true" ht="16.5" hidden="false" customHeight="true" outlineLevel="0" collapsed="false">
      <c r="A69" s="34" t="s">
        <v>137</v>
      </c>
      <c r="B69" s="34" t="s">
        <v>68</v>
      </c>
      <c r="C69" s="53" t="n">
        <v>20971</v>
      </c>
      <c r="D69" s="53" t="s">
        <v>41</v>
      </c>
      <c r="E69" s="36" t="s">
        <v>138</v>
      </c>
      <c r="F69" s="53" t="s">
        <v>26</v>
      </c>
      <c r="G69" s="53" t="n">
        <v>3</v>
      </c>
      <c r="H69" s="56" t="n">
        <v>28.09</v>
      </c>
      <c r="I69" s="57" t="n">
        <f aca="false">H69*0.1532</f>
        <v>4.303388</v>
      </c>
      <c r="J69" s="57" t="n">
        <f aca="false">H69+I69</f>
        <v>32.393388</v>
      </c>
      <c r="K69" s="57" t="n">
        <f aca="false">J69*(0.03%)</f>
        <v>0.0097180164</v>
      </c>
      <c r="L69" s="57" t="n">
        <f aca="false">J69-K69</f>
        <v>32.3836699836</v>
      </c>
      <c r="M69" s="57" t="n">
        <f aca="false">L69*G69</f>
        <v>97.1510099508</v>
      </c>
      <c r="N69" s="57" t="n">
        <f aca="false">M69/M68</f>
        <v>0.203550724637681</v>
      </c>
      <c r="O69" s="10"/>
    </row>
    <row r="70" s="38" customFormat="true" ht="16.5" hidden="false" customHeight="true" outlineLevel="0" collapsed="false">
      <c r="A70" s="34" t="s">
        <v>139</v>
      </c>
      <c r="B70" s="34" t="s">
        <v>68</v>
      </c>
      <c r="C70" s="35" t="n">
        <v>37530</v>
      </c>
      <c r="D70" s="34" t="s">
        <v>41</v>
      </c>
      <c r="E70" s="36" t="s">
        <v>140</v>
      </c>
      <c r="F70" s="34" t="s">
        <v>26</v>
      </c>
      <c r="G70" s="34" t="n">
        <v>10</v>
      </c>
      <c r="H70" s="37" t="n">
        <v>759.09</v>
      </c>
      <c r="I70" s="28" t="n">
        <f aca="false">H70*0.1532</f>
        <v>116.292588</v>
      </c>
      <c r="J70" s="28" t="n">
        <f aca="false">H70+I70</f>
        <v>875.382588</v>
      </c>
      <c r="K70" s="28" t="n">
        <f aca="false">J70*(0.03%)</f>
        <v>0.2626147764</v>
      </c>
      <c r="L70" s="28" t="n">
        <f aca="false">J70-K70</f>
        <v>875.1199732236</v>
      </c>
      <c r="M70" s="28" t="n">
        <f aca="false">L70*G70</f>
        <v>8751.199732236</v>
      </c>
      <c r="N70" s="28" t="n">
        <f aca="false">M70/M69</f>
        <v>90.0783196867213</v>
      </c>
      <c r="O70" s="10"/>
    </row>
    <row r="71" s="38" customFormat="true" ht="16.5" hidden="false" customHeight="true" outlineLevel="0" collapsed="false">
      <c r="A71" s="34" t="s">
        <v>141</v>
      </c>
      <c r="B71" s="53" t="s">
        <v>68</v>
      </c>
      <c r="C71" s="53" t="n">
        <v>37554</v>
      </c>
      <c r="D71" s="53" t="s">
        <v>41</v>
      </c>
      <c r="E71" s="38" t="s">
        <v>142</v>
      </c>
      <c r="F71" s="53" t="s">
        <v>26</v>
      </c>
      <c r="G71" s="53" t="n">
        <v>11</v>
      </c>
      <c r="H71" s="56" t="n">
        <v>346.44</v>
      </c>
      <c r="I71" s="57" t="n">
        <f aca="false">H71*0.1532</f>
        <v>53.074608</v>
      </c>
      <c r="J71" s="57" t="n">
        <f aca="false">H71+I71</f>
        <v>399.514608</v>
      </c>
      <c r="K71" s="57" t="n">
        <f aca="false">J71*(0.03%)</f>
        <v>0.1198543824</v>
      </c>
      <c r="L71" s="57" t="n">
        <f aca="false">J71-K71</f>
        <v>399.3947536176</v>
      </c>
      <c r="M71" s="57" t="n">
        <f aca="false">L71*G71</f>
        <v>4393.3422897936</v>
      </c>
      <c r="N71" s="57" t="n">
        <f aca="false">M71/M70</f>
        <v>0.502027427577758</v>
      </c>
      <c r="O71" s="10"/>
    </row>
    <row r="72" s="62" customFormat="true" ht="16.5" hidden="false" customHeight="true" outlineLevel="0" collapsed="false">
      <c r="A72" s="34" t="s">
        <v>139</v>
      </c>
      <c r="B72" s="34" t="s">
        <v>68</v>
      </c>
      <c r="C72" s="58" t="n">
        <v>10900</v>
      </c>
      <c r="D72" s="34" t="s">
        <v>41</v>
      </c>
      <c r="E72" s="59" t="s">
        <v>143</v>
      </c>
      <c r="F72" s="34" t="s">
        <v>26</v>
      </c>
      <c r="G72" s="60" t="n">
        <v>4</v>
      </c>
      <c r="H72" s="61" t="n">
        <v>101.14</v>
      </c>
      <c r="I72" s="28" t="n">
        <f aca="false">H72*0.1532</f>
        <v>15.494648</v>
      </c>
      <c r="J72" s="28" t="n">
        <f aca="false">H72+I72</f>
        <v>116.634648</v>
      </c>
      <c r="K72" s="28" t="n">
        <f aca="false">J72*(0.03%)</f>
        <v>0.0349903944</v>
      </c>
      <c r="L72" s="28" t="n">
        <f aca="false">J72-K72</f>
        <v>116.5996576056</v>
      </c>
      <c r="M72" s="28" t="n">
        <f aca="false">L72*G72</f>
        <v>466.3986304224</v>
      </c>
      <c r="N72" s="28" t="n">
        <f aca="false">M72/M71</f>
        <v>0.106160321608884</v>
      </c>
      <c r="O72" s="10"/>
    </row>
    <row r="73" s="38" customFormat="true" ht="16.5" hidden="false" customHeight="true" outlineLevel="0" collapsed="false">
      <c r="A73" s="34" t="s">
        <v>144</v>
      </c>
      <c r="B73" s="34" t="s">
        <v>68</v>
      </c>
      <c r="C73" s="63" t="n">
        <v>16000067044</v>
      </c>
      <c r="D73" s="34" t="s">
        <v>145</v>
      </c>
      <c r="E73" s="36" t="s">
        <v>146</v>
      </c>
      <c r="F73" s="34" t="s">
        <v>128</v>
      </c>
      <c r="G73" s="34" t="n">
        <v>20</v>
      </c>
      <c r="H73" s="64" t="n">
        <v>2.8</v>
      </c>
      <c r="I73" s="28" t="n">
        <f aca="false">H73*0.1532</f>
        <v>0.42896</v>
      </c>
      <c r="J73" s="28" t="n">
        <f aca="false">H73+I73</f>
        <v>3.22896</v>
      </c>
      <c r="K73" s="28" t="n">
        <f aca="false">J73*(0.03%)</f>
        <v>0.000968688</v>
      </c>
      <c r="L73" s="28" t="n">
        <f aca="false">J73-K73</f>
        <v>3.227991312</v>
      </c>
      <c r="M73" s="28" t="n">
        <f aca="false">L73*G73</f>
        <v>64.55982624</v>
      </c>
      <c r="N73" s="28" t="n">
        <f aca="false">M73/M72</f>
        <v>0.138421989321732</v>
      </c>
      <c r="O73" s="10"/>
    </row>
    <row r="74" s="62" customFormat="true" ht="16.5" hidden="false" customHeight="true" outlineLevel="0" collapsed="false">
      <c r="A74" s="34" t="s">
        <v>147</v>
      </c>
      <c r="B74" s="34" t="s">
        <v>68</v>
      </c>
      <c r="C74" s="63" t="n">
        <v>16000067042</v>
      </c>
      <c r="D74" s="34" t="s">
        <v>145</v>
      </c>
      <c r="E74" s="36" t="s">
        <v>148</v>
      </c>
      <c r="F74" s="34" t="s">
        <v>120</v>
      </c>
      <c r="G74" s="34" t="n">
        <v>32</v>
      </c>
      <c r="H74" s="64" t="n">
        <v>8.53</v>
      </c>
      <c r="I74" s="28" t="n">
        <f aca="false">H74*0.1532</f>
        <v>1.306796</v>
      </c>
      <c r="J74" s="28" t="n">
        <f aca="false">H74+I74</f>
        <v>9.836796</v>
      </c>
      <c r="K74" s="28" t="n">
        <f aca="false">J74*(0.03%)</f>
        <v>0.0029510388</v>
      </c>
      <c r="L74" s="28" t="n">
        <f aca="false">J74-K74</f>
        <v>9.8338449612</v>
      </c>
      <c r="M74" s="28" t="n">
        <f aca="false">L74*G74</f>
        <v>314.6830387584</v>
      </c>
      <c r="N74" s="28" t="n">
        <f aca="false">M74/M73</f>
        <v>4.87428571428572</v>
      </c>
      <c r="O74" s="10"/>
    </row>
    <row r="75" s="38" customFormat="true" ht="16.5" hidden="false" customHeight="true" outlineLevel="0" collapsed="false">
      <c r="A75" s="34" t="s">
        <v>149</v>
      </c>
      <c r="B75" s="34" t="s">
        <v>68</v>
      </c>
      <c r="C75" s="63" t="n">
        <v>16000067043</v>
      </c>
      <c r="D75" s="34" t="s">
        <v>145</v>
      </c>
      <c r="E75" s="36" t="s">
        <v>150</v>
      </c>
      <c r="F75" s="34" t="s">
        <v>120</v>
      </c>
      <c r="G75" s="34" t="n">
        <v>12</v>
      </c>
      <c r="H75" s="64" t="n">
        <v>11.14</v>
      </c>
      <c r="I75" s="28" t="n">
        <f aca="false">H75*0.1532</f>
        <v>1.706648</v>
      </c>
      <c r="J75" s="28" t="n">
        <f aca="false">H75+I75</f>
        <v>12.846648</v>
      </c>
      <c r="K75" s="28" t="n">
        <f aca="false">J75*(0.03%)</f>
        <v>0.0038539944</v>
      </c>
      <c r="L75" s="28" t="n">
        <f aca="false">J75-K75</f>
        <v>12.8427940056</v>
      </c>
      <c r="M75" s="28" t="n">
        <f aca="false">L75*G75</f>
        <v>154.1135280672</v>
      </c>
      <c r="N75" s="28" t="n">
        <f aca="false">M75/M74</f>
        <v>0.489742086752638</v>
      </c>
      <c r="O75" s="10"/>
    </row>
    <row r="76" s="62" customFormat="true" ht="16.5" hidden="false" customHeight="true" outlineLevel="0" collapsed="false">
      <c r="A76" s="60"/>
      <c r="B76" s="60"/>
      <c r="C76" s="60"/>
      <c r="D76" s="60"/>
      <c r="E76" s="59"/>
      <c r="F76" s="34"/>
      <c r="G76" s="60"/>
      <c r="H76" s="65"/>
      <c r="I76" s="28"/>
      <c r="J76" s="28"/>
      <c r="K76" s="28"/>
      <c r="L76" s="28"/>
      <c r="M76" s="28"/>
      <c r="N76" s="28"/>
      <c r="O76" s="10"/>
    </row>
    <row r="77" s="62" customFormat="true" ht="16.5" hidden="false" customHeight="true" outlineLevel="0" collapsed="false">
      <c r="A77" s="60"/>
      <c r="B77" s="60"/>
      <c r="C77" s="60"/>
      <c r="D77" s="60"/>
      <c r="E77" s="59"/>
      <c r="F77" s="34"/>
      <c r="G77" s="60"/>
      <c r="H77" s="65"/>
      <c r="I77" s="28"/>
      <c r="J77" s="28"/>
      <c r="K77" s="28"/>
      <c r="L77" s="28"/>
      <c r="M77" s="28"/>
      <c r="N77" s="28"/>
      <c r="O77" s="10"/>
    </row>
    <row r="78" s="62" customFormat="true" ht="16.5" hidden="false" customHeight="true" outlineLevel="0" collapsed="false">
      <c r="A78" s="60"/>
      <c r="B78" s="60"/>
      <c r="C78" s="60"/>
      <c r="D78" s="60"/>
      <c r="E78" s="59"/>
      <c r="F78" s="66"/>
      <c r="G78" s="60"/>
      <c r="H78" s="65"/>
      <c r="I78" s="28"/>
      <c r="J78" s="28"/>
      <c r="K78" s="28"/>
      <c r="L78" s="28"/>
      <c r="M78" s="28"/>
      <c r="N78" s="28"/>
      <c r="O78" s="10"/>
    </row>
    <row r="79" s="38" customFormat="true" ht="16.5" hidden="false" customHeight="true" outlineLevel="0" collapsed="false">
      <c r="A79" s="34"/>
      <c r="B79" s="34"/>
      <c r="C79" s="35"/>
      <c r="D79" s="34"/>
      <c r="E79" s="36"/>
      <c r="F79" s="34"/>
      <c r="G79" s="34"/>
      <c r="H79" s="67"/>
      <c r="I79" s="28"/>
      <c r="J79" s="28"/>
      <c r="K79" s="28"/>
      <c r="L79" s="28"/>
      <c r="M79" s="28"/>
      <c r="N79" s="28"/>
      <c r="O79" s="10"/>
    </row>
    <row r="80" s="70" customFormat="true" ht="16.5" hidden="false" customHeight="true" outlineLevel="0" collapsed="false">
      <c r="A80" s="68" t="s">
        <v>21</v>
      </c>
      <c r="B80" s="15" t="s">
        <v>22</v>
      </c>
      <c r="C80" s="15" t="s">
        <v>23</v>
      </c>
      <c r="D80" s="15" t="s">
        <v>24</v>
      </c>
      <c r="E80" s="15" t="s">
        <v>25</v>
      </c>
      <c r="F80" s="15" t="s">
        <v>26</v>
      </c>
      <c r="G80" s="15" t="s">
        <v>27</v>
      </c>
      <c r="H80" s="69" t="s">
        <v>28</v>
      </c>
      <c r="I80" s="69"/>
      <c r="J80" s="69"/>
      <c r="K80" s="69"/>
      <c r="L80" s="69"/>
      <c r="M80" s="15" t="s">
        <v>29</v>
      </c>
      <c r="N80" s="15" t="s">
        <v>30</v>
      </c>
      <c r="O80" s="10"/>
    </row>
    <row r="81" s="70" customFormat="true" ht="16.5" hidden="false" customHeight="true" outlineLevel="0" collapsed="false">
      <c r="A81" s="68"/>
      <c r="B81" s="15"/>
      <c r="C81" s="15"/>
      <c r="D81" s="15"/>
      <c r="E81" s="15"/>
      <c r="F81" s="15"/>
      <c r="G81" s="15"/>
      <c r="H81" s="15" t="s">
        <v>32</v>
      </c>
      <c r="I81" s="15" t="s">
        <v>33</v>
      </c>
      <c r="J81" s="15" t="s">
        <v>34</v>
      </c>
      <c r="K81" s="15" t="s">
        <v>151</v>
      </c>
      <c r="L81" s="15" t="s">
        <v>36</v>
      </c>
      <c r="M81" s="15"/>
      <c r="N81" s="15"/>
      <c r="O81" s="10"/>
    </row>
    <row r="82" s="62" customFormat="true" ht="16.5" hidden="false" customHeight="true" outlineLevel="0" collapsed="false">
      <c r="A82" s="71" t="n">
        <v>3</v>
      </c>
      <c r="B82" s="72" t="s">
        <v>152</v>
      </c>
      <c r="C82" s="72"/>
      <c r="D82" s="72"/>
      <c r="E82" s="72"/>
      <c r="F82" s="72"/>
      <c r="G82" s="73"/>
      <c r="H82" s="73"/>
      <c r="I82" s="73"/>
      <c r="J82" s="73"/>
      <c r="K82" s="73"/>
      <c r="L82" s="73"/>
      <c r="M82" s="74" t="n">
        <f aca="false">SUM(M83:M101)</f>
        <v>68688.715924583</v>
      </c>
      <c r="N82" s="73"/>
      <c r="O82" s="10"/>
    </row>
    <row r="83" s="62" customFormat="true" ht="26.25" hidden="false" customHeight="true" outlineLevel="0" collapsed="false">
      <c r="A83" s="75" t="s">
        <v>153</v>
      </c>
      <c r="B83" s="75" t="s">
        <v>39</v>
      </c>
      <c r="C83" s="75" t="s">
        <v>53</v>
      </c>
      <c r="D83" s="75" t="s">
        <v>41</v>
      </c>
      <c r="E83" s="76" t="s">
        <v>54</v>
      </c>
      <c r="F83" s="77" t="s">
        <v>43</v>
      </c>
      <c r="G83" s="75" t="n">
        <v>180</v>
      </c>
      <c r="H83" s="78" t="n">
        <v>31.59</v>
      </c>
      <c r="I83" s="79" t="n">
        <f aca="false">H83*0.2232</f>
        <v>7.050888</v>
      </c>
      <c r="J83" s="79" t="n">
        <f aca="false">H83+I83</f>
        <v>38.640888</v>
      </c>
      <c r="K83" s="79" t="n">
        <f aca="false">J83*(0.03%)</f>
        <v>0.0115922664</v>
      </c>
      <c r="L83" s="79" t="n">
        <f aca="false">J83-K83</f>
        <v>38.6292957336</v>
      </c>
      <c r="M83" s="79" t="n">
        <f aca="false">L83*G83</f>
        <v>6953.273232048</v>
      </c>
      <c r="N83" s="79" t="n">
        <f aca="false">M83/M$16</f>
        <v>0.0866887583606126</v>
      </c>
      <c r="O83" s="10"/>
    </row>
    <row r="84" s="62" customFormat="true" ht="23.25" hidden="false" customHeight="true" outlineLevel="0" collapsed="false">
      <c r="A84" s="75" t="s">
        <v>154</v>
      </c>
      <c r="B84" s="75" t="s">
        <v>39</v>
      </c>
      <c r="C84" s="75" t="s">
        <v>57</v>
      </c>
      <c r="D84" s="75" t="s">
        <v>41</v>
      </c>
      <c r="E84" s="76" t="s">
        <v>58</v>
      </c>
      <c r="F84" s="77" t="s">
        <v>43</v>
      </c>
      <c r="G84" s="75" t="n">
        <v>180</v>
      </c>
      <c r="H84" s="78" t="n">
        <v>27.2</v>
      </c>
      <c r="I84" s="79" t="n">
        <f aca="false">H84*0.2232</f>
        <v>6.07104</v>
      </c>
      <c r="J84" s="79" t="n">
        <f aca="false">H84+I84</f>
        <v>33.27104</v>
      </c>
      <c r="K84" s="79" t="n">
        <f aca="false">J84*(0.03%)</f>
        <v>0.009981312</v>
      </c>
      <c r="L84" s="79" t="n">
        <f aca="false">J84-K84</f>
        <v>33.261058688</v>
      </c>
      <c r="M84" s="79" t="n">
        <f aca="false">L84*G84</f>
        <v>5986.99056384</v>
      </c>
      <c r="N84" s="79" t="n">
        <f aca="false">M84/M$16</f>
        <v>0.0746417925738734</v>
      </c>
      <c r="O84" s="10"/>
    </row>
    <row r="85" s="70" customFormat="true" ht="26.25" hidden="false" customHeight="true" outlineLevel="0" collapsed="false">
      <c r="A85" s="24" t="s">
        <v>155</v>
      </c>
      <c r="B85" s="24" t="s">
        <v>39</v>
      </c>
      <c r="C85" s="24" t="n">
        <v>88310</v>
      </c>
      <c r="D85" s="24" t="s">
        <v>41</v>
      </c>
      <c r="E85" s="25" t="s">
        <v>156</v>
      </c>
      <c r="F85" s="26" t="s">
        <v>43</v>
      </c>
      <c r="G85" s="24" t="n">
        <v>180</v>
      </c>
      <c r="H85" s="27" t="n">
        <v>36.42</v>
      </c>
      <c r="I85" s="28" t="n">
        <f aca="false">H85*0.2232</f>
        <v>8.128944</v>
      </c>
      <c r="J85" s="28" t="n">
        <f aca="false">H85+I85</f>
        <v>44.548944</v>
      </c>
      <c r="K85" s="28" t="n">
        <f aca="false">J85*(0.03%)</f>
        <v>0.0133646832</v>
      </c>
      <c r="L85" s="28" t="n">
        <f aca="false">J85-K85</f>
        <v>44.5355793168</v>
      </c>
      <c r="M85" s="28" t="n">
        <f aca="false">L85*G85</f>
        <v>8016.404277024</v>
      </c>
      <c r="N85" s="28" t="n">
        <f aca="false">M85/M$16</f>
        <v>0.0999431649095761</v>
      </c>
      <c r="O85" s="10"/>
    </row>
    <row r="86" s="62" customFormat="true" ht="23.25" hidden="false" customHeight="true" outlineLevel="0" collapsed="false">
      <c r="A86" s="80" t="s">
        <v>157</v>
      </c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10"/>
    </row>
    <row r="87" s="62" customFormat="true" ht="33" hidden="false" customHeight="true" outlineLevel="0" collapsed="false">
      <c r="A87" s="79" t="s">
        <v>158</v>
      </c>
      <c r="B87" s="75" t="s">
        <v>39</v>
      </c>
      <c r="C87" s="43" t="n">
        <v>96116</v>
      </c>
      <c r="D87" s="43" t="s">
        <v>41</v>
      </c>
      <c r="E87" s="81" t="s">
        <v>159</v>
      </c>
      <c r="F87" s="43" t="s">
        <v>123</v>
      </c>
      <c r="G87" s="43" t="n">
        <f aca="false">16*11</f>
        <v>176</v>
      </c>
      <c r="H87" s="45" t="n">
        <v>66.91</v>
      </c>
      <c r="I87" s="79" t="n">
        <f aca="false">H87*0.2232</f>
        <v>14.934312</v>
      </c>
      <c r="J87" s="79" t="n">
        <f aca="false">H87+I87</f>
        <v>81.844312</v>
      </c>
      <c r="K87" s="79" t="n">
        <f aca="false">J87*(0.03%)</f>
        <v>0.0245532936</v>
      </c>
      <c r="L87" s="79" t="n">
        <f aca="false">J87-K87</f>
        <v>81.8197587064</v>
      </c>
      <c r="M87" s="79" t="n">
        <f aca="false">L87*G87</f>
        <v>14400.2775323264</v>
      </c>
      <c r="N87" s="79" t="n">
        <f aca="false">M87/M$16</f>
        <v>0.179533025334303</v>
      </c>
      <c r="O87" s="10"/>
    </row>
    <row r="88" s="62" customFormat="true" ht="33" hidden="false" customHeight="true" outlineLevel="0" collapsed="false">
      <c r="A88" s="80" t="s">
        <v>160</v>
      </c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10"/>
    </row>
    <row r="89" s="62" customFormat="true" ht="33" hidden="false" customHeight="true" outlineLevel="0" collapsed="false">
      <c r="A89" s="23" t="s">
        <v>161</v>
      </c>
      <c r="B89" s="23" t="s">
        <v>39</v>
      </c>
      <c r="C89" s="24" t="s">
        <v>62</v>
      </c>
      <c r="D89" s="24" t="s">
        <v>41</v>
      </c>
      <c r="E89" s="25" t="s">
        <v>162</v>
      </c>
      <c r="F89" s="26" t="s">
        <v>43</v>
      </c>
      <c r="G89" s="23" t="n">
        <v>16</v>
      </c>
      <c r="H89" s="27" t="n">
        <v>27.16</v>
      </c>
      <c r="I89" s="79" t="n">
        <f aca="false">H89*0.2232</f>
        <v>6.062112</v>
      </c>
      <c r="J89" s="79" t="n">
        <f aca="false">H89+I89</f>
        <v>33.222112</v>
      </c>
      <c r="K89" s="79" t="n">
        <f aca="false">J89*(0.03%)</f>
        <v>0.0099666336</v>
      </c>
      <c r="L89" s="79" t="n">
        <f aca="false">J89-K89</f>
        <v>33.2121453664</v>
      </c>
      <c r="M89" s="79" t="n">
        <f aca="false">L89*G89</f>
        <v>531.3943258624</v>
      </c>
      <c r="N89" s="79" t="n">
        <f aca="false">M89/M$16</f>
        <v>0.00662506890949805</v>
      </c>
      <c r="O89" s="10"/>
    </row>
    <row r="90" s="62" customFormat="true" ht="33" hidden="false" customHeight="true" outlineLevel="0" collapsed="false">
      <c r="A90" s="79" t="s">
        <v>163</v>
      </c>
      <c r="B90" s="75" t="s">
        <v>39</v>
      </c>
      <c r="C90" s="43" t="n">
        <v>588</v>
      </c>
      <c r="D90" s="43" t="s">
        <v>41</v>
      </c>
      <c r="E90" s="81" t="s">
        <v>164</v>
      </c>
      <c r="F90" s="43" t="s">
        <v>165</v>
      </c>
      <c r="G90" s="43" t="n">
        <v>6</v>
      </c>
      <c r="H90" s="45" t="n">
        <v>31.57</v>
      </c>
      <c r="I90" s="82" t="n">
        <f aca="false">H90*0.1532</f>
        <v>4.836524</v>
      </c>
      <c r="J90" s="79" t="n">
        <f aca="false">H90+I90</f>
        <v>36.406524</v>
      </c>
      <c r="K90" s="79" t="n">
        <f aca="false">J90*(0.03%)</f>
        <v>0.0109219572</v>
      </c>
      <c r="L90" s="79" t="n">
        <f aca="false">J90-K90</f>
        <v>36.3956020428</v>
      </c>
      <c r="M90" s="79" t="n">
        <f aca="false">L90*G90</f>
        <v>218.3736122568</v>
      </c>
      <c r="N90" s="79" t="n">
        <f aca="false">M90/M$16</f>
        <v>0.00272253608818535</v>
      </c>
      <c r="O90" s="10"/>
    </row>
    <row r="91" s="62" customFormat="true" ht="33" hidden="false" customHeight="true" outlineLevel="0" collapsed="false">
      <c r="A91" s="79" t="s">
        <v>166</v>
      </c>
      <c r="B91" s="75" t="s">
        <v>39</v>
      </c>
      <c r="C91" s="43" t="n">
        <v>10710</v>
      </c>
      <c r="D91" s="43" t="s">
        <v>41</v>
      </c>
      <c r="E91" s="81" t="s">
        <v>167</v>
      </c>
      <c r="F91" s="83" t="s">
        <v>123</v>
      </c>
      <c r="G91" s="43" t="n">
        <v>62</v>
      </c>
      <c r="H91" s="45" t="n">
        <v>160</v>
      </c>
      <c r="I91" s="79" t="n">
        <f aca="false">H91*0.2232</f>
        <v>35.712</v>
      </c>
      <c r="J91" s="79" t="n">
        <f aca="false">H91+I91</f>
        <v>195.712</v>
      </c>
      <c r="K91" s="79" t="n">
        <f aca="false">J91*(0.03%)</f>
        <v>0.0587136</v>
      </c>
      <c r="L91" s="79" t="n">
        <f aca="false">J91-K91</f>
        <v>195.6532864</v>
      </c>
      <c r="M91" s="79" t="n">
        <f aca="false">L91*G91</f>
        <v>12130.5037568</v>
      </c>
      <c r="N91" s="79" t="n">
        <f aca="false">M91/M$16</f>
        <v>0.151235004561443</v>
      </c>
      <c r="O91" s="10"/>
    </row>
    <row r="92" s="62" customFormat="true" ht="23.25" hidden="false" customHeight="true" outlineLevel="0" collapsed="false">
      <c r="A92" s="80" t="s">
        <v>168</v>
      </c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10"/>
    </row>
    <row r="93" s="62" customFormat="true" ht="23.25" hidden="false" customHeight="true" outlineLevel="0" collapsed="false">
      <c r="A93" s="79" t="s">
        <v>163</v>
      </c>
      <c r="B93" s="75" t="s">
        <v>39</v>
      </c>
      <c r="C93" s="83" t="n">
        <v>99814</v>
      </c>
      <c r="D93" s="83" t="s">
        <v>41</v>
      </c>
      <c r="E93" s="84" t="s">
        <v>169</v>
      </c>
      <c r="F93" s="83" t="s">
        <v>123</v>
      </c>
      <c r="G93" s="83" t="n">
        <v>89</v>
      </c>
      <c r="H93" s="85" t="n">
        <v>2.43</v>
      </c>
      <c r="I93" s="79" t="n">
        <f aca="false">H93*0.2232</f>
        <v>0.542376</v>
      </c>
      <c r="J93" s="79" t="n">
        <f aca="false">H93+I93</f>
        <v>2.972376</v>
      </c>
      <c r="K93" s="79" t="n">
        <f aca="false">J93*(0.03%)</f>
        <v>0.0008917128</v>
      </c>
      <c r="L93" s="79" t="n">
        <f aca="false">J93-K93</f>
        <v>2.9714842872</v>
      </c>
      <c r="M93" s="79" t="n">
        <f aca="false">L93*G93</f>
        <v>264.4621015608</v>
      </c>
      <c r="N93" s="79" t="n">
        <f aca="false">M93/M$16</f>
        <v>0.00329713653593783</v>
      </c>
      <c r="O93" s="10"/>
    </row>
    <row r="94" s="62" customFormat="true" ht="23.25" hidden="false" customHeight="true" outlineLevel="0" collapsed="false">
      <c r="A94" s="79" t="s">
        <v>163</v>
      </c>
      <c r="B94" s="75" t="s">
        <v>39</v>
      </c>
      <c r="C94" s="43" t="s">
        <v>170</v>
      </c>
      <c r="D94" s="43" t="s">
        <v>41</v>
      </c>
      <c r="E94" s="86" t="s">
        <v>171</v>
      </c>
      <c r="F94" s="43" t="s">
        <v>123</v>
      </c>
      <c r="G94" s="43" t="n">
        <v>89</v>
      </c>
      <c r="H94" s="87" t="n">
        <v>14.03</v>
      </c>
      <c r="I94" s="79" t="n">
        <f aca="false">H94*0.2232</f>
        <v>3.131496</v>
      </c>
      <c r="J94" s="79" t="n">
        <f aca="false">H94+I94</f>
        <v>17.161496</v>
      </c>
      <c r="K94" s="79" t="n">
        <f aca="false">J94*(0.03%)</f>
        <v>0.0051484488</v>
      </c>
      <c r="L94" s="79" t="n">
        <f aca="false">J94-K94</f>
        <v>17.1563475512</v>
      </c>
      <c r="M94" s="79" t="n">
        <f aca="false">L94*G94</f>
        <v>1526.9149320568</v>
      </c>
      <c r="N94" s="79" t="n">
        <f aca="false">M94/M$16</f>
        <v>0.0190365537445299</v>
      </c>
      <c r="O94" s="10"/>
    </row>
    <row r="95" s="62" customFormat="true" ht="23.25" hidden="false" customHeight="true" outlineLevel="0" collapsed="false">
      <c r="A95" s="79" t="s">
        <v>166</v>
      </c>
      <c r="B95" s="75" t="s">
        <v>39</v>
      </c>
      <c r="C95" s="43" t="n">
        <v>88485</v>
      </c>
      <c r="D95" s="88" t="s">
        <v>41</v>
      </c>
      <c r="E95" s="86" t="s">
        <v>172</v>
      </c>
      <c r="F95" s="43" t="s">
        <v>123</v>
      </c>
      <c r="G95" s="43" t="n">
        <v>89</v>
      </c>
      <c r="H95" s="87" t="n">
        <v>4.84</v>
      </c>
      <c r="I95" s="79" t="n">
        <f aca="false">H95*0.2232</f>
        <v>1.080288</v>
      </c>
      <c r="J95" s="79" t="n">
        <f aca="false">H95+I95</f>
        <v>5.920288</v>
      </c>
      <c r="K95" s="79" t="n">
        <f aca="false">J95*(0.03%)</f>
        <v>0.0017760864</v>
      </c>
      <c r="L95" s="79" t="n">
        <f aca="false">J95-K95</f>
        <v>5.9185119136</v>
      </c>
      <c r="M95" s="79" t="n">
        <f aca="false">L95*G95</f>
        <v>526.7475603104</v>
      </c>
      <c r="N95" s="79" t="n">
        <f aca="false">M95/M$16</f>
        <v>0.00656713614565395</v>
      </c>
      <c r="O95" s="10"/>
    </row>
    <row r="96" s="62" customFormat="true" ht="23.25" hidden="false" customHeight="true" outlineLevel="0" collapsed="false">
      <c r="A96" s="79" t="s">
        <v>173</v>
      </c>
      <c r="B96" s="75" t="s">
        <v>39</v>
      </c>
      <c r="C96" s="83" t="n">
        <v>96135</v>
      </c>
      <c r="D96" s="83" t="s">
        <v>41</v>
      </c>
      <c r="E96" s="89" t="s">
        <v>174</v>
      </c>
      <c r="F96" s="83" t="s">
        <v>123</v>
      </c>
      <c r="G96" s="83" t="n">
        <v>8.2</v>
      </c>
      <c r="H96" s="90" t="n">
        <v>35.38</v>
      </c>
      <c r="I96" s="79" t="n">
        <f aca="false">H96*0.2232</f>
        <v>7.896816</v>
      </c>
      <c r="J96" s="79" t="n">
        <f aca="false">H96+I96</f>
        <v>43.276816</v>
      </c>
      <c r="K96" s="79" t="n">
        <f aca="false">J96*(0.03%)</f>
        <v>0.0129830448</v>
      </c>
      <c r="L96" s="79" t="n">
        <f aca="false">J96-K96</f>
        <v>43.2638329552</v>
      </c>
      <c r="M96" s="79" t="n">
        <f aca="false">L96*G96</f>
        <v>354.76343023264</v>
      </c>
      <c r="N96" s="79" t="n">
        <f aca="false">M96/M$16</f>
        <v>0.00442295308299875</v>
      </c>
      <c r="O96" s="10"/>
    </row>
    <row r="97" s="62" customFormat="true" ht="23.25" hidden="false" customHeight="true" outlineLevel="0" collapsed="false">
      <c r="A97" s="80" t="s">
        <v>175</v>
      </c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10"/>
    </row>
    <row r="98" s="62" customFormat="true" ht="23.25" hidden="false" customHeight="true" outlineLevel="0" collapsed="false">
      <c r="A98" s="79" t="s">
        <v>176</v>
      </c>
      <c r="B98" s="75" t="s">
        <v>39</v>
      </c>
      <c r="C98" s="43" t="s">
        <v>170</v>
      </c>
      <c r="D98" s="43" t="s">
        <v>41</v>
      </c>
      <c r="E98" s="86" t="s">
        <v>171</v>
      </c>
      <c r="F98" s="43" t="s">
        <v>123</v>
      </c>
      <c r="G98" s="43" t="n">
        <v>601</v>
      </c>
      <c r="H98" s="87" t="n">
        <v>14.03</v>
      </c>
      <c r="I98" s="79" t="n">
        <f aca="false">H98*0.2232</f>
        <v>3.131496</v>
      </c>
      <c r="J98" s="79" t="n">
        <f aca="false">H98+I98</f>
        <v>17.161496</v>
      </c>
      <c r="K98" s="79" t="n">
        <f aca="false">J98*(0.03%)</f>
        <v>0.0051484488</v>
      </c>
      <c r="L98" s="79" t="n">
        <f aca="false">J98-K98</f>
        <v>17.1563475512</v>
      </c>
      <c r="M98" s="79" t="n">
        <f aca="false">L98*G98</f>
        <v>10310.9648782712</v>
      </c>
      <c r="N98" s="79" t="n">
        <f aca="false">M98/M$16</f>
        <v>0.128550211241152</v>
      </c>
      <c r="O98" s="10"/>
    </row>
    <row r="99" s="62" customFormat="true" ht="23.25" hidden="false" customHeight="true" outlineLevel="0" collapsed="false">
      <c r="A99" s="79" t="s">
        <v>177</v>
      </c>
      <c r="B99" s="75" t="s">
        <v>39</v>
      </c>
      <c r="C99" s="83" t="n">
        <v>88488</v>
      </c>
      <c r="D99" s="83" t="s">
        <v>41</v>
      </c>
      <c r="E99" s="89" t="s">
        <v>178</v>
      </c>
      <c r="F99" s="83" t="s">
        <v>123</v>
      </c>
      <c r="G99" s="83" t="n">
        <v>180</v>
      </c>
      <c r="H99" s="87" t="n">
        <v>16.93</v>
      </c>
      <c r="I99" s="79" t="n">
        <f aca="false">H99*0.2232</f>
        <v>3.778776</v>
      </c>
      <c r="J99" s="79" t="n">
        <f aca="false">H99+I99</f>
        <v>20.708776</v>
      </c>
      <c r="K99" s="79" t="n">
        <f aca="false">J99*(0.03%)</f>
        <v>0.0062126328</v>
      </c>
      <c r="L99" s="79" t="n">
        <f aca="false">J99-K99</f>
        <v>20.7025633672</v>
      </c>
      <c r="M99" s="79" t="n">
        <f aca="false">L99*G99</f>
        <v>3726.461406096</v>
      </c>
      <c r="N99" s="79" t="n">
        <f aca="false">M99/M$16</f>
        <v>0.0464590275101352</v>
      </c>
      <c r="O99" s="10"/>
      <c r="R99" s="62" t="s">
        <v>179</v>
      </c>
      <c r="T99" s="91" t="n">
        <v>111530.59</v>
      </c>
    </row>
    <row r="100" s="62" customFormat="true" ht="23.25" hidden="false" customHeight="true" outlineLevel="0" collapsed="false">
      <c r="A100" s="79" t="s">
        <v>177</v>
      </c>
      <c r="B100" s="75" t="s">
        <v>39</v>
      </c>
      <c r="C100" s="43" t="n">
        <v>88485</v>
      </c>
      <c r="D100" s="88" t="s">
        <v>41</v>
      </c>
      <c r="E100" s="86" t="s">
        <v>172</v>
      </c>
      <c r="F100" s="43" t="s">
        <v>123</v>
      </c>
      <c r="G100" s="43" t="n">
        <v>252</v>
      </c>
      <c r="H100" s="87" t="n">
        <v>4.84</v>
      </c>
      <c r="I100" s="79" t="n">
        <f aca="false">H100*0.2232</f>
        <v>1.080288</v>
      </c>
      <c r="J100" s="79" t="n">
        <f aca="false">H100+I100</f>
        <v>5.920288</v>
      </c>
      <c r="K100" s="79" t="n">
        <f aca="false">J100*(0.03%)</f>
        <v>0.0017760864</v>
      </c>
      <c r="L100" s="79" t="n">
        <f aca="false">J100-K100</f>
        <v>5.9185119136</v>
      </c>
      <c r="M100" s="79" t="n">
        <f aca="false">L100*G100</f>
        <v>1491.4650022272</v>
      </c>
      <c r="N100" s="79" t="n">
        <f aca="false">M100/M$16</f>
        <v>0.0185945877382561</v>
      </c>
      <c r="O100" s="10"/>
      <c r="R100" s="62" t="s">
        <v>180</v>
      </c>
      <c r="T100" s="92" t="n">
        <f aca="false">150000-T99</f>
        <v>38469.41</v>
      </c>
    </row>
    <row r="101" s="62" customFormat="true" ht="23.25" hidden="false" customHeight="true" outlineLevel="0" collapsed="false">
      <c r="A101" s="79" t="s">
        <v>181</v>
      </c>
      <c r="B101" s="75" t="s">
        <v>39</v>
      </c>
      <c r="C101" s="83" t="n">
        <v>96135</v>
      </c>
      <c r="D101" s="83" t="s">
        <v>41</v>
      </c>
      <c r="E101" s="89" t="s">
        <v>174</v>
      </c>
      <c r="F101" s="83" t="s">
        <v>123</v>
      </c>
      <c r="G101" s="83" t="n">
        <v>52</v>
      </c>
      <c r="H101" s="90" t="n">
        <v>35.38</v>
      </c>
      <c r="I101" s="79" t="n">
        <f aca="false">H101*0.2232</f>
        <v>7.896816</v>
      </c>
      <c r="J101" s="79" t="n">
        <f aca="false">H101+I101</f>
        <v>43.276816</v>
      </c>
      <c r="K101" s="79" t="n">
        <f aca="false">J101*(0.03%)</f>
        <v>0.0129830448</v>
      </c>
      <c r="L101" s="79" t="n">
        <f aca="false">J101-K101</f>
        <v>43.2638329552</v>
      </c>
      <c r="M101" s="79" t="n">
        <f aca="false">L101*G101</f>
        <v>2249.7193136704</v>
      </c>
      <c r="N101" s="79" t="n">
        <f aca="false">M101/M$16</f>
        <v>0.0280479951604799</v>
      </c>
      <c r="O101" s="10"/>
      <c r="R101" s="62" t="s">
        <v>182</v>
      </c>
      <c r="T101" s="92" t="n">
        <f aca="false">SUM(T99:T100)</f>
        <v>150000</v>
      </c>
    </row>
    <row r="102" s="55" customFormat="true" ht="16.5" hidden="false" customHeight="true" outlineLevel="0" collapsed="false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10"/>
    </row>
    <row r="103" s="55" customFormat="true" ht="16.5" hidden="false" customHeight="true" outlineLevel="0" collapsed="false">
      <c r="A103" s="94"/>
      <c r="B103" s="94"/>
      <c r="C103" s="94"/>
      <c r="D103" s="94"/>
      <c r="E103" s="94"/>
      <c r="F103" s="94"/>
      <c r="G103" s="94"/>
      <c r="H103" s="95" t="s">
        <v>183</v>
      </c>
      <c r="I103" s="96"/>
      <c r="J103" s="97" t="n">
        <f aca="false">M16+M31+M82</f>
        <v>189552.07890992</v>
      </c>
      <c r="K103" s="97"/>
      <c r="L103" s="97"/>
      <c r="M103" s="97"/>
      <c r="N103" s="97"/>
      <c r="O103" s="10"/>
      <c r="R103" s="98" t="s">
        <v>184</v>
      </c>
      <c r="S103" s="98"/>
      <c r="T103" s="99" t="n">
        <f aca="false">J103-T100</f>
        <v>151082.66890992</v>
      </c>
    </row>
    <row r="104" customFormat="false" ht="16.5" hidden="false" customHeight="true" outlineLevel="0" collapsed="false">
      <c r="A104" s="100" t="s">
        <v>185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"/>
    </row>
    <row r="105" customFormat="false" ht="16.5" hidden="false" customHeight="true" outlineLevel="0" collapsed="false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"/>
    </row>
    <row r="106" customFormat="false" ht="16.5" hidden="false" customHeight="true" outlineLevel="0" collapsed="false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"/>
    </row>
    <row r="107" customFormat="false" ht="16.5" hidden="false" customHeight="true" outlineLevel="0" collapsed="false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"/>
    </row>
    <row r="108" customFormat="false" ht="16.5" hidden="false" customHeight="true" outlineLevel="0" collapsed="false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"/>
    </row>
    <row r="109" customFormat="false" ht="16.5" hidden="false" customHeight="true" outlineLevel="0" collapsed="false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"/>
    </row>
    <row r="110" customFormat="false" ht="16.5" hidden="false" customHeight="true" outlineLevel="0" collapsed="false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"/>
    </row>
    <row r="111" customFormat="false" ht="16.5" hidden="false" customHeight="true" outlineLevel="0" collapsed="false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</row>
    <row r="112" customFormat="false" ht="16.5" hidden="false" customHeight="true" outlineLevel="0" collapsed="false">
      <c r="A112" s="102" t="s">
        <v>186</v>
      </c>
      <c r="B112" s="102"/>
      <c r="C112" s="102"/>
      <c r="D112" s="102"/>
      <c r="E112" s="102"/>
      <c r="F112" s="102"/>
      <c r="G112" s="103" t="s">
        <v>187</v>
      </c>
      <c r="H112" s="103"/>
      <c r="I112" s="103"/>
      <c r="J112" s="103"/>
      <c r="K112" s="104"/>
      <c r="L112" s="104"/>
      <c r="M112" s="104"/>
      <c r="N112" s="104"/>
      <c r="O112" s="105" t="s">
        <v>188</v>
      </c>
    </row>
    <row r="113" customFormat="false" ht="16.5" hidden="false" customHeight="true" outlineLevel="0" collapsed="false">
      <c r="A113" s="106" t="s">
        <v>189</v>
      </c>
      <c r="B113" s="106"/>
      <c r="C113" s="106"/>
      <c r="D113" s="106"/>
      <c r="E113" s="106"/>
      <c r="F113" s="106"/>
      <c r="G113" s="107" t="s">
        <v>190</v>
      </c>
      <c r="H113" s="107"/>
      <c r="I113" s="107"/>
      <c r="J113" s="107"/>
      <c r="K113" s="104"/>
      <c r="L113" s="104"/>
      <c r="M113" s="104"/>
      <c r="N113" s="104"/>
      <c r="O113" s="105"/>
    </row>
    <row r="114" customFormat="false" ht="16.5" hidden="false" customHeight="true" outlineLevel="0" collapsed="false">
      <c r="A114" s="106"/>
      <c r="B114" s="106"/>
      <c r="C114" s="106"/>
      <c r="D114" s="106"/>
      <c r="E114" s="106"/>
      <c r="F114" s="106"/>
      <c r="G114" s="107"/>
      <c r="H114" s="107"/>
      <c r="I114" s="107"/>
      <c r="J114" s="107"/>
      <c r="K114" s="104"/>
      <c r="L114" s="104"/>
      <c r="M114" s="104"/>
      <c r="N114" s="104"/>
      <c r="O114" s="105"/>
    </row>
    <row r="115" customFormat="false" ht="16.5" hidden="false" customHeight="true" outlineLevel="0" collapsed="false">
      <c r="A115" s="106"/>
      <c r="B115" s="106"/>
      <c r="C115" s="106"/>
      <c r="D115" s="106"/>
      <c r="E115" s="106"/>
      <c r="F115" s="106"/>
      <c r="G115" s="107"/>
      <c r="H115" s="107"/>
      <c r="I115" s="107"/>
      <c r="J115" s="107"/>
      <c r="K115" s="104"/>
      <c r="L115" s="104"/>
      <c r="M115" s="104"/>
      <c r="N115" s="104"/>
      <c r="O115" s="105"/>
    </row>
    <row r="116" customFormat="false" ht="16.5" hidden="false" customHeight="true" outlineLevel="0" collapsed="false">
      <c r="A116" s="106"/>
      <c r="B116" s="106"/>
      <c r="C116" s="106"/>
      <c r="D116" s="106"/>
      <c r="E116" s="106"/>
      <c r="F116" s="106"/>
      <c r="G116" s="107"/>
      <c r="H116" s="107"/>
      <c r="I116" s="107"/>
      <c r="J116" s="107"/>
      <c r="K116" s="104"/>
      <c r="L116" s="104"/>
      <c r="M116" s="104"/>
      <c r="N116" s="104"/>
      <c r="O116" s="105"/>
    </row>
    <row r="117" customFormat="false" ht="16.5" hidden="false" customHeight="true" outlineLevel="0" collapsed="false">
      <c r="A117" s="106"/>
      <c r="B117" s="106"/>
      <c r="C117" s="106"/>
      <c r="D117" s="106"/>
      <c r="E117" s="106"/>
      <c r="F117" s="106"/>
      <c r="G117" s="107"/>
      <c r="H117" s="107"/>
      <c r="I117" s="107"/>
      <c r="J117" s="107"/>
      <c r="K117" s="104"/>
      <c r="L117" s="104"/>
      <c r="M117" s="104"/>
      <c r="N117" s="104"/>
      <c r="O117" s="105"/>
    </row>
    <row r="118" customFormat="false" ht="16.5" hidden="false" customHeight="true" outlineLevel="0" collapsed="false">
      <c r="A118" s="106"/>
      <c r="B118" s="106"/>
      <c r="C118" s="106"/>
      <c r="D118" s="106"/>
      <c r="E118" s="106"/>
      <c r="F118" s="106"/>
      <c r="G118" s="107"/>
      <c r="H118" s="107"/>
      <c r="I118" s="107"/>
      <c r="J118" s="107"/>
      <c r="K118" s="104"/>
      <c r="L118" s="104"/>
      <c r="M118" s="104"/>
      <c r="N118" s="104"/>
      <c r="O118" s="105"/>
    </row>
    <row r="119" customFormat="false" ht="16.5" hidden="false" customHeight="true" outlineLevel="0" collapsed="false">
      <c r="A119" s="106"/>
      <c r="B119" s="106"/>
      <c r="C119" s="106"/>
      <c r="D119" s="106"/>
      <c r="E119" s="106"/>
      <c r="F119" s="106"/>
      <c r="G119" s="107"/>
      <c r="H119" s="107"/>
      <c r="I119" s="107"/>
      <c r="J119" s="107"/>
      <c r="K119" s="104"/>
      <c r="L119" s="104"/>
      <c r="M119" s="104"/>
      <c r="N119" s="104"/>
      <c r="O119" s="105"/>
    </row>
    <row r="120" customFormat="false" ht="16.5" hidden="false" customHeight="true" outlineLevel="0" collapsed="false">
      <c r="A120" s="106"/>
      <c r="B120" s="106"/>
      <c r="C120" s="106"/>
      <c r="D120" s="106"/>
      <c r="E120" s="106"/>
      <c r="F120" s="106"/>
      <c r="G120" s="107"/>
      <c r="H120" s="107"/>
      <c r="I120" s="107"/>
      <c r="J120" s="107"/>
      <c r="K120" s="104"/>
      <c r="L120" s="104"/>
      <c r="M120" s="104"/>
      <c r="N120" s="104"/>
      <c r="O120" s="105"/>
    </row>
    <row r="121" customFormat="false" ht="16.5" hidden="false" customHeight="true" outlineLevel="0" collapsed="false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</row>
    <row r="122" customFormat="false" ht="16.5" hidden="false" customHeight="true" outlineLevel="0" collapsed="false">
      <c r="A122" s="100" t="s">
        <v>191</v>
      </c>
      <c r="B122" s="100"/>
      <c r="C122" s="100"/>
      <c r="D122" s="100"/>
      <c r="E122" s="109" t="s">
        <v>192</v>
      </c>
      <c r="F122" s="109"/>
      <c r="G122" s="109"/>
      <c r="H122" s="109"/>
      <c r="I122" s="109"/>
      <c r="J122" s="109"/>
      <c r="K122" s="110" t="s">
        <v>193</v>
      </c>
      <c r="L122" s="110"/>
      <c r="M122" s="110"/>
      <c r="N122" s="110"/>
      <c r="O122" s="111" t="s">
        <v>194</v>
      </c>
    </row>
    <row r="123" customFormat="false" ht="16.5" hidden="false" customHeight="true" outlineLevel="0" collapsed="false">
      <c r="A123" s="100"/>
      <c r="B123" s="100"/>
      <c r="C123" s="100"/>
      <c r="D123" s="100"/>
      <c r="E123" s="109"/>
      <c r="F123" s="109"/>
      <c r="G123" s="109"/>
      <c r="H123" s="109"/>
      <c r="I123" s="109"/>
      <c r="J123" s="109"/>
      <c r="K123" s="110"/>
      <c r="L123" s="110"/>
      <c r="M123" s="110"/>
      <c r="N123" s="110"/>
      <c r="O123" s="111"/>
    </row>
    <row r="124" customFormat="false" ht="16.5" hidden="false" customHeight="true" outlineLevel="0" collapsed="false">
      <c r="A124" s="112" t="s">
        <v>195</v>
      </c>
      <c r="B124" s="112"/>
      <c r="C124" s="112"/>
      <c r="D124" s="112"/>
      <c r="E124" s="112"/>
      <c r="F124" s="112"/>
      <c r="G124" s="112"/>
      <c r="H124" s="112"/>
      <c r="I124" s="112"/>
      <c r="J124" s="112"/>
      <c r="K124" s="110"/>
      <c r="L124" s="110"/>
      <c r="M124" s="110"/>
      <c r="N124" s="110"/>
      <c r="O124" s="111"/>
    </row>
    <row r="125" customFormat="false" ht="16.5" hidden="false" customHeight="true" outlineLevel="0" collapsed="false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0"/>
      <c r="L125" s="110"/>
      <c r="M125" s="110"/>
      <c r="N125" s="110"/>
      <c r="O125" s="111"/>
    </row>
    <row r="126" customFormat="false" ht="16.5" hidden="false" customHeight="true" outlineLevel="0" collapsed="false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0"/>
      <c r="L126" s="110"/>
      <c r="M126" s="110"/>
      <c r="N126" s="110"/>
      <c r="O126" s="111"/>
    </row>
    <row r="127" customFormat="false" ht="16.5" hidden="false" customHeight="true" outlineLevel="0" collapsed="false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0"/>
      <c r="L127" s="110"/>
      <c r="M127" s="110"/>
      <c r="N127" s="110"/>
      <c r="O127" s="111"/>
    </row>
    <row r="128" customFormat="false" ht="16.5" hidden="false" customHeight="true" outlineLevel="0" collapsed="false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0"/>
      <c r="L128" s="110"/>
      <c r="M128" s="110"/>
      <c r="N128" s="110"/>
      <c r="O128" s="111"/>
    </row>
    <row r="129" customFormat="false" ht="13.5" hidden="false" customHeight="true" outlineLevel="0" collapsed="false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</row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</sheetData>
  <mergeCells count="76"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O14:O110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80:A81"/>
    <mergeCell ref="B80:B81"/>
    <mergeCell ref="C80:C81"/>
    <mergeCell ref="D80:D81"/>
    <mergeCell ref="E80:E81"/>
    <mergeCell ref="F80:F81"/>
    <mergeCell ref="G80:G81"/>
    <mergeCell ref="H80:L80"/>
    <mergeCell ref="M80:M81"/>
    <mergeCell ref="N80:N81"/>
    <mergeCell ref="B82:F82"/>
    <mergeCell ref="A86:N86"/>
    <mergeCell ref="A88:N88"/>
    <mergeCell ref="A92:N92"/>
    <mergeCell ref="A97:N97"/>
    <mergeCell ref="A103:G103"/>
    <mergeCell ref="J103:N103"/>
    <mergeCell ref="A104:N110"/>
    <mergeCell ref="A111:O111"/>
    <mergeCell ref="A112:F112"/>
    <mergeCell ref="G112:J112"/>
    <mergeCell ref="K112:N120"/>
    <mergeCell ref="O112:O120"/>
    <mergeCell ref="A113:F120"/>
    <mergeCell ref="G113:J120"/>
    <mergeCell ref="A121:O121"/>
    <mergeCell ref="A122:D123"/>
    <mergeCell ref="E122:J123"/>
    <mergeCell ref="K122:N128"/>
    <mergeCell ref="O122:O128"/>
    <mergeCell ref="A124:J128"/>
    <mergeCell ref="A129:J129"/>
    <mergeCell ref="K129:S129"/>
  </mergeCells>
  <hyperlinks>
    <hyperlink ref="E37" r:id="rId1" display="REGISTRO GAVETA BRUTO EM LATAO FORJADO, BITOLA 3/4 &quot;"/>
    <hyperlink ref="E43" r:id="rId2" display="FITA VEDA ROSCA EM ROLOS DE 18 MM X 50 M (L X C)"/>
  </hyperlink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5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2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8" activeCellId="1" sqref="R99:T103 B8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6.29"/>
  </cols>
  <sheetData>
    <row r="3" customFormat="false" ht="15" hidden="false" customHeight="false" outlineLevel="0" collapsed="false">
      <c r="B3" s="1" t="s">
        <v>196</v>
      </c>
    </row>
    <row r="4" customFormat="false" ht="15" hidden="false" customHeight="false" outlineLevel="0" collapsed="false">
      <c r="B4" s="1" t="s">
        <v>197</v>
      </c>
    </row>
    <row r="5" customFormat="false" ht="15" hidden="false" customHeight="false" outlineLevel="0" collapsed="false">
      <c r="B5" s="1" t="s">
        <v>198</v>
      </c>
    </row>
    <row r="6" customFormat="false" ht="15" hidden="false" customHeight="false" outlineLevel="0" collapsed="false">
      <c r="B6" s="1" t="s">
        <v>199</v>
      </c>
    </row>
    <row r="7" customFormat="false" ht="15" hidden="false" customHeight="false" outlineLevel="0" collapsed="false">
      <c r="B7" s="1" t="n">
        <v>1</v>
      </c>
    </row>
    <row r="8" customFormat="false" ht="15" hidden="false" customHeight="false" outlineLevel="0" collapsed="false">
      <c r="B8" s="1" t="s">
        <v>200</v>
      </c>
    </row>
    <row r="9" customFormat="false" ht="15" hidden="false" customHeight="false" outlineLevel="0" collapsed="false">
      <c r="B9" s="114" t="n">
        <v>20</v>
      </c>
    </row>
    <row r="10" customFormat="false" ht="15" hidden="false" customHeight="false" outlineLevel="0" collapsed="false">
      <c r="B10" s="114" t="n">
        <v>40</v>
      </c>
    </row>
    <row r="11" customFormat="false" ht="15" hidden="false" customHeight="false" outlineLevel="0" collapsed="false">
      <c r="B11" s="1" t="n">
        <v>7</v>
      </c>
    </row>
    <row r="12" customFormat="false" ht="15" hidden="false" customHeight="false" outlineLevel="0" collapsed="false">
      <c r="B12" s="1" t="s">
        <v>201</v>
      </c>
    </row>
    <row r="13" customFormat="false" ht="15" hidden="false" customHeight="false" outlineLevel="0" collapsed="false">
      <c r="B13" s="114" t="n">
        <v>45</v>
      </c>
    </row>
    <row r="14" customFormat="false" ht="15" hidden="false" customHeight="false" outlineLevel="0" collapsed="false">
      <c r="B14" s="114" t="n">
        <v>315</v>
      </c>
    </row>
    <row r="15" customFormat="false" ht="15" hidden="false" customHeight="false" outlineLevel="0" collapsed="false">
      <c r="B15" s="1" t="n">
        <v>7</v>
      </c>
    </row>
    <row r="16" customFormat="false" ht="15" hidden="false" customHeight="false" outlineLevel="0" collapsed="false">
      <c r="B16" s="1" t="s">
        <v>202</v>
      </c>
    </row>
    <row r="17" customFormat="false" ht="15" hidden="false" customHeight="false" outlineLevel="0" collapsed="false">
      <c r="B17" s="114" t="n">
        <v>45</v>
      </c>
    </row>
    <row r="18" customFormat="false" ht="15" hidden="false" customHeight="false" outlineLevel="0" collapsed="false">
      <c r="B18" s="114" t="n">
        <v>315</v>
      </c>
    </row>
    <row r="19" customFormat="false" ht="15" hidden="false" customHeight="false" outlineLevel="0" collapsed="false">
      <c r="B19" s="1" t="n">
        <v>7</v>
      </c>
    </row>
    <row r="20" customFormat="false" ht="15" hidden="false" customHeight="false" outlineLevel="0" collapsed="false">
      <c r="B20" s="1" t="s">
        <v>203</v>
      </c>
    </row>
    <row r="21" customFormat="false" ht="15" hidden="false" customHeight="false" outlineLevel="0" collapsed="false">
      <c r="B21" s="114" t="n">
        <v>690</v>
      </c>
    </row>
    <row r="22" customFormat="false" ht="15" hidden="false" customHeight="false" outlineLevel="0" collapsed="false">
      <c r="B22" s="114" t="n">
        <v>4830</v>
      </c>
    </row>
    <row r="23" customFormat="false" ht="15" hidden="false" customHeight="false" outlineLevel="0" collapsed="false">
      <c r="B23" s="1" t="n">
        <v>7</v>
      </c>
    </row>
    <row r="24" customFormat="false" ht="15" hidden="false" customHeight="false" outlineLevel="0" collapsed="false">
      <c r="B24" s="1" t="s">
        <v>204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8E05589-C82A-472C-8CC9-831D5EC24105}"/>
</file>

<file path=customXml/itemProps2.xml><?xml version="1.0" encoding="utf-8"?>
<ds:datastoreItem xmlns:ds="http://schemas.openxmlformats.org/officeDocument/2006/customXml" ds:itemID="{DEB2E653-DF1B-4421-9778-23C2B78DAD47}"/>
</file>

<file path=customXml/itemProps3.xml><?xml version="1.0" encoding="utf-8"?>
<ds:datastoreItem xmlns:ds="http://schemas.openxmlformats.org/officeDocument/2006/customXml" ds:itemID="{7DC1D1F5-0731-4B03-B63F-FD88A03C8EC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Anivaldo Junior</dc:creator>
  <dc:description/>
  <cp:lastModifiedBy/>
  <cp:revision>3</cp:revision>
  <dcterms:created xsi:type="dcterms:W3CDTF">2022-01-02T19:12:46Z</dcterms:created>
  <dcterms:modified xsi:type="dcterms:W3CDTF">2024-01-12T08:51:29Z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