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5-Agosto\"/>
    </mc:Choice>
  </mc:AlternateContent>
  <xr:revisionPtr revIDLastSave="0" documentId="13_ncr:1_{F2940EB3-49DA-4589-BA47-83105C8C8A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2" i="1" l="1"/>
  <c r="J92" i="1" s="1"/>
  <c r="I91" i="1"/>
  <c r="J91" i="1" s="1"/>
  <c r="I90" i="1"/>
  <c r="J90" i="1" s="1"/>
  <c r="I88" i="1"/>
  <c r="J88" i="1" s="1"/>
  <c r="I87" i="1"/>
  <c r="J87" i="1" s="1"/>
  <c r="I83" i="1"/>
  <c r="J83" i="1" s="1"/>
  <c r="I78" i="1"/>
  <c r="J78" i="1" s="1"/>
  <c r="K91" i="1" l="1"/>
  <c r="L91" i="1" s="1"/>
  <c r="M91" i="1" s="1"/>
  <c r="K90" i="1"/>
  <c r="L90" i="1" s="1"/>
  <c r="M90" i="1" s="1"/>
  <c r="K92" i="1"/>
  <c r="L92" i="1" s="1"/>
  <c r="M92" i="1" s="1"/>
  <c r="K88" i="1"/>
  <c r="L88" i="1" s="1"/>
  <c r="M88" i="1" s="1"/>
  <c r="K87" i="1"/>
  <c r="L87" i="1" s="1"/>
  <c r="M87" i="1" s="1"/>
  <c r="K83" i="1"/>
  <c r="L83" i="1" s="1"/>
  <c r="M83" i="1" s="1"/>
  <c r="K78" i="1"/>
  <c r="L78" i="1" s="1"/>
  <c r="M78" i="1" s="1"/>
  <c r="G76" i="1" l="1"/>
  <c r="I76" i="1"/>
  <c r="J76" i="1" s="1"/>
  <c r="K76" i="1" l="1"/>
  <c r="L76" i="1" s="1"/>
  <c r="M76" i="1" s="1"/>
  <c r="I67" i="1" l="1"/>
  <c r="J67" i="1" s="1"/>
  <c r="K67" i="1" l="1"/>
  <c r="L67" i="1" s="1"/>
  <c r="M67" i="1" s="1"/>
  <c r="I65" i="1" l="1"/>
  <c r="J65" i="1" s="1"/>
  <c r="I64" i="1"/>
  <c r="J64" i="1" s="1"/>
  <c r="K64" i="1" s="1"/>
  <c r="L64" i="1" s="1"/>
  <c r="M64" i="1" s="1"/>
  <c r="I63" i="1"/>
  <c r="J63" i="1" s="1"/>
  <c r="K63" i="1" s="1"/>
  <c r="I62" i="1"/>
  <c r="J62" i="1" s="1"/>
  <c r="I61" i="1"/>
  <c r="J61" i="1" s="1"/>
  <c r="I60" i="1"/>
  <c r="J60" i="1" s="1"/>
  <c r="K60" i="1" s="1"/>
  <c r="I59" i="1"/>
  <c r="J59" i="1" s="1"/>
  <c r="K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K46" i="1" s="1"/>
  <c r="I42" i="1"/>
  <c r="J42" i="1" s="1"/>
  <c r="I43" i="1"/>
  <c r="J43" i="1" s="1"/>
  <c r="K43" i="1" s="1"/>
  <c r="I44" i="1"/>
  <c r="J44" i="1" s="1"/>
  <c r="I45" i="1"/>
  <c r="J45" i="1" s="1"/>
  <c r="K45" i="1" s="1"/>
  <c r="I41" i="1"/>
  <c r="J41" i="1" s="1"/>
  <c r="I40" i="1"/>
  <c r="J40" i="1" s="1"/>
  <c r="L59" i="1" l="1"/>
  <c r="M59" i="1" s="1"/>
  <c r="L46" i="1"/>
  <c r="M46" i="1" s="1"/>
  <c r="K65" i="1"/>
  <c r="L65" i="1" s="1"/>
  <c r="M65" i="1" s="1"/>
  <c r="N65" i="1" s="1"/>
  <c r="L63" i="1"/>
  <c r="M63" i="1" s="1"/>
  <c r="K62" i="1"/>
  <c r="L62" i="1" s="1"/>
  <c r="M62" i="1" s="1"/>
  <c r="K61" i="1"/>
  <c r="L61" i="1" s="1"/>
  <c r="M61" i="1" s="1"/>
  <c r="L60" i="1"/>
  <c r="M60" i="1" s="1"/>
  <c r="K58" i="1"/>
  <c r="L58" i="1" s="1"/>
  <c r="M58" i="1" s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K53" i="1"/>
  <c r="L53" i="1" s="1"/>
  <c r="M53" i="1" s="1"/>
  <c r="K52" i="1"/>
  <c r="L52" i="1" s="1"/>
  <c r="M52" i="1" s="1"/>
  <c r="K51" i="1"/>
  <c r="L51" i="1" s="1"/>
  <c r="M51" i="1" s="1"/>
  <c r="K50" i="1"/>
  <c r="L50" i="1" s="1"/>
  <c r="M50" i="1" s="1"/>
  <c r="K49" i="1"/>
  <c r="L49" i="1"/>
  <c r="M49" i="1" s="1"/>
  <c r="K48" i="1"/>
  <c r="L48" i="1" s="1"/>
  <c r="M48" i="1" s="1"/>
  <c r="K47" i="1"/>
  <c r="L47" i="1" s="1"/>
  <c r="M47" i="1" s="1"/>
  <c r="K44" i="1"/>
  <c r="L44" i="1" s="1"/>
  <c r="M44" i="1" s="1"/>
  <c r="K42" i="1"/>
  <c r="L42" i="1" s="1"/>
  <c r="M42" i="1" s="1"/>
  <c r="L45" i="1"/>
  <c r="M45" i="1" s="1"/>
  <c r="L43" i="1"/>
  <c r="M43" i="1" s="1"/>
  <c r="K41" i="1"/>
  <c r="L41" i="1" s="1"/>
  <c r="M41" i="1" s="1"/>
  <c r="K40" i="1"/>
  <c r="L40" i="1" s="1"/>
  <c r="M40" i="1" s="1"/>
  <c r="I94" i="1"/>
  <c r="J94" i="1" s="1"/>
  <c r="I95" i="1"/>
  <c r="J95" i="1" s="1"/>
  <c r="K95" i="1" s="1"/>
  <c r="I80" i="1"/>
  <c r="J80" i="1" s="1"/>
  <c r="K80" i="1" s="1"/>
  <c r="L80" i="1" s="1"/>
  <c r="I81" i="1"/>
  <c r="J81" i="1" s="1"/>
  <c r="K81" i="1" s="1"/>
  <c r="I82" i="1"/>
  <c r="J82" i="1" s="1"/>
  <c r="K82" i="1" s="1"/>
  <c r="L82" i="1" s="1"/>
  <c r="M82" i="1" s="1"/>
  <c r="I84" i="1"/>
  <c r="J84" i="1" s="1"/>
  <c r="K84" i="1" s="1"/>
  <c r="N49" i="1" l="1"/>
  <c r="N52" i="1"/>
  <c r="N61" i="1"/>
  <c r="N46" i="1"/>
  <c r="N44" i="1"/>
  <c r="N78" i="1"/>
  <c r="N56" i="1"/>
  <c r="N53" i="1"/>
  <c r="N57" i="1"/>
  <c r="N62" i="1"/>
  <c r="N43" i="1"/>
  <c r="N47" i="1"/>
  <c r="N50" i="1"/>
  <c r="N54" i="1"/>
  <c r="N58" i="1"/>
  <c r="N63" i="1"/>
  <c r="N59" i="1"/>
  <c r="N45" i="1"/>
  <c r="N48" i="1"/>
  <c r="N51" i="1"/>
  <c r="N55" i="1"/>
  <c r="N60" i="1"/>
  <c r="N64" i="1"/>
  <c r="N42" i="1"/>
  <c r="N41" i="1"/>
  <c r="M80" i="1"/>
  <c r="K94" i="1"/>
  <c r="L94" i="1" s="1"/>
  <c r="M94" i="1" s="1"/>
  <c r="L95" i="1"/>
  <c r="M95" i="1" s="1"/>
  <c r="L84" i="1"/>
  <c r="M84" i="1" s="1"/>
  <c r="L81" i="1"/>
  <c r="M81" i="1" s="1"/>
  <c r="I66" i="1" l="1"/>
  <c r="J66" i="1" s="1"/>
  <c r="I39" i="1"/>
  <c r="J39" i="1" s="1"/>
  <c r="I38" i="1"/>
  <c r="J38" i="1" s="1"/>
  <c r="I37" i="1"/>
  <c r="J37" i="1" s="1"/>
  <c r="I74" i="1"/>
  <c r="J74" i="1" s="1"/>
  <c r="K74" i="1" s="1"/>
  <c r="K66" i="1" l="1"/>
  <c r="L66" i="1" s="1"/>
  <c r="M66" i="1" s="1"/>
  <c r="K39" i="1"/>
  <c r="L39" i="1" s="1"/>
  <c r="M39" i="1" s="1"/>
  <c r="K38" i="1"/>
  <c r="L38" i="1" s="1"/>
  <c r="M38" i="1" s="1"/>
  <c r="K37" i="1"/>
  <c r="L37" i="1" s="1"/>
  <c r="M37" i="1" s="1"/>
  <c r="L74" i="1"/>
  <c r="M74" i="1" s="1"/>
  <c r="N66" i="1" l="1"/>
  <c r="N67" i="1"/>
  <c r="N38" i="1"/>
  <c r="N39" i="1"/>
  <c r="N40" i="1"/>
  <c r="I35" i="1"/>
  <c r="J35" i="1" s="1"/>
  <c r="I36" i="1"/>
  <c r="J36" i="1" s="1"/>
  <c r="K35" i="1" l="1"/>
  <c r="L35" i="1" s="1"/>
  <c r="M35" i="1" s="1"/>
  <c r="K36" i="1"/>
  <c r="L36" i="1" s="1"/>
  <c r="M36" i="1" s="1"/>
  <c r="N36" i="1" l="1"/>
  <c r="N37" i="1"/>
  <c r="I96" i="1"/>
  <c r="J96" i="1" s="1"/>
  <c r="I85" i="1"/>
  <c r="J85" i="1" s="1"/>
  <c r="K96" i="1" l="1"/>
  <c r="L96" i="1" s="1"/>
  <c r="M96" i="1" s="1"/>
  <c r="K85" i="1"/>
  <c r="L85" i="1" s="1"/>
  <c r="M85" i="1" s="1"/>
  <c r="I34" i="1" l="1"/>
  <c r="J34" i="1" s="1"/>
  <c r="K34" i="1" l="1"/>
  <c r="L34" i="1" s="1"/>
  <c r="M34" i="1" s="1"/>
  <c r="N35" i="1" l="1"/>
  <c r="I75" i="1"/>
  <c r="J75" i="1" s="1"/>
  <c r="K75" i="1" s="1"/>
  <c r="L75" i="1" l="1"/>
  <c r="M75" i="1" s="1"/>
  <c r="I33" i="1" l="1"/>
  <c r="J33" i="1" s="1"/>
  <c r="I32" i="1"/>
  <c r="J32" i="1" s="1"/>
  <c r="K33" i="1" l="1"/>
  <c r="L33" i="1" s="1"/>
  <c r="M33" i="1" s="1"/>
  <c r="N34" i="1" s="1"/>
  <c r="K32" i="1"/>
  <c r="L32" i="1" s="1"/>
  <c r="M32" i="1" s="1"/>
  <c r="N33" i="1" l="1"/>
  <c r="I73" i="1" l="1"/>
  <c r="J73" i="1" s="1"/>
  <c r="K73" i="1" l="1"/>
  <c r="L73" i="1" s="1"/>
  <c r="M73" i="1" s="1"/>
  <c r="M72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91" i="1" l="1"/>
  <c r="N90" i="1"/>
  <c r="N92" i="1"/>
  <c r="N87" i="1"/>
  <c r="N88" i="1"/>
  <c r="N76" i="1"/>
  <c r="N83" i="1"/>
  <c r="N95" i="1"/>
  <c r="N94" i="1"/>
  <c r="N80" i="1"/>
  <c r="N82" i="1"/>
  <c r="N81" i="1"/>
  <c r="N84" i="1"/>
  <c r="N96" i="1"/>
  <c r="N85" i="1"/>
  <c r="N75" i="1"/>
  <c r="N73" i="1"/>
  <c r="N19" i="1"/>
  <c r="N18" i="1"/>
  <c r="N23" i="1"/>
  <c r="N21" i="1"/>
  <c r="N26" i="1"/>
  <c r="N20" i="1"/>
  <c r="N27" i="1"/>
  <c r="N25" i="1"/>
  <c r="N24" i="1"/>
  <c r="N28" i="1"/>
  <c r="N22" i="1"/>
  <c r="N17" i="1"/>
  <c r="J98" i="1"/>
  <c r="N16" i="1" l="1"/>
</calcChain>
</file>

<file path=xl/sharedStrings.xml><?xml version="1.0" encoding="utf-8"?>
<sst xmlns="http://schemas.openxmlformats.org/spreadsheetml/2006/main" count="440" uniqueCount="200">
  <si>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</si>
  <si>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</si>
  <si>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</si>
  <si>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</si>
  <si>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</si>
  <si>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</si>
  <si>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</si>
  <si>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</si>
  <si>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</si>
  <si>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</si>
  <si>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</si>
  <si>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</si>
  <si>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</si>
  <si>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</si>
  <si>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</si>
  <si>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</si>
  <si>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</si>
  <si>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</si>
  <si>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</si>
  <si>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</si>
  <si>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</si>
  <si>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</si>
  <si>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</si>
  <si>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</si>
  <si>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</si>
  <si>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</si>
  <si>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</si>
  <si>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</si>
  <si>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</si>
  <si>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</si>
  <si>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</si>
  <si>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</si>
  <si>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</si>
  <si>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</si>
  <si>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</si>
  <si>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</si>
  <si>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</si>
  <si>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</si>
  <si>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</si>
  <si>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</si>
  <si>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</si>
  <si>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</si>
  <si>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</si>
  <si>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</si>
  <si>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</si>
  <si>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</si>
  <si>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</si>
  <si>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</si>
  <si>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</si>
  <si>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</si>
  <si>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</si>
  <si>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</si>
  <si>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</si>
  <si>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</si>
  <si>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</si>
  <si>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</si>
  <si>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</si>
  <si>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</si>
  <si>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</si>
  <si>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</si>
  <si>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</si>
  <si>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</si>
  <si>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</si>
  <si>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</si>
  <si>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</si>
  <si>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</si>
  <si>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</si>
  <si>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</si>
  <si>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</si>
  <si>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</si>
  <si>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</si>
  <si>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</si>
  <si>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</si>
  <si>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</si>
  <si>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</si>
  <si>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</si>
  <si>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</si>
  <si>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</si>
  <si>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</si>
  <si>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</si>
  <si>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</si>
  <si>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</si>
  <si>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</si>
  <si>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</si>
  <si>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</si>
  <si>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</si>
  <si>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</si>
  <si>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</si>
  <si>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</si>
  <si>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</si>
  <si>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</si>
  <si>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</si>
  <si>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</si>
  <si>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</si>
  <si>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</si>
  <si>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</si>
  <si>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</si>
  <si>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</si>
  <si>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SELANTE ELASTICO MONOCOMPONENTE A BASE DE POLIURETANO (PU) PARA JUNTAS DIVERSAS</t>
  </si>
  <si>
    <t>TORNEIRA METALICA CROMADA PARA JARDIM / TANQUE, COM BICO PLASTICO, CANO LONGO, DE PAREDE, PADRAO POPULAR / USO GERAL , 1/2 " OU 3/4 " (REF 1153 / 1130)</t>
  </si>
  <si>
    <t>CIMENTO PORTLAND COMPOSTO CP II-32</t>
  </si>
  <si>
    <t>3.1</t>
  </si>
  <si>
    <t>3.3</t>
  </si>
  <si>
    <t>3.4</t>
  </si>
  <si>
    <t>PINTOR COM ENCARGOS COMPLEMENTARES</t>
  </si>
  <si>
    <t>MANTA ASFALTICA ELASTOMERICA EM POLIESTER ALUMINIZADA 3 MM, TIPO III, CLASSE B (NBR 9952)</t>
  </si>
  <si>
    <t>M2</t>
  </si>
  <si>
    <t>LUVA PVC SOLDAVEL, 25 MM, PARA AGUA FRIA PREDIAL</t>
  </si>
  <si>
    <t>KG</t>
  </si>
  <si>
    <t>TINTA LATEX ACRILICA STANDARD, COR BRANCA</t>
  </si>
  <si>
    <t>L</t>
  </si>
  <si>
    <t>2.21</t>
  </si>
  <si>
    <t>2.22</t>
  </si>
  <si>
    <t>2.23</t>
  </si>
  <si>
    <t>MASSA ACRILICA PARA SUPERFICIES INTERNAS E EXTERNAS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</si>
  <si>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</si>
  <si>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</si>
  <si>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</si>
  <si>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</si>
  <si>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</si>
  <si>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</si>
  <si>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</si>
  <si>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</si>
  <si>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</si>
  <si>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</si>
  <si>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</si>
  <si>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</si>
  <si>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3.5</t>
  </si>
  <si>
    <t>m²</t>
  </si>
  <si>
    <t>3.6</t>
  </si>
  <si>
    <t>3.7</t>
  </si>
  <si>
    <t>PINTURA COM TINTA ALQUÍDICA DE ACABAMENTO (ESMALTE SINTÉTICO BRILHANTE) APLICADA A ROLO OU PINCEL SOBRE SUPERFÍCIES METÁLICAS (EXCETO PERFIL) EXECUTADO EM OBRA (POR DEMÃO). AF_01/2020</t>
  </si>
  <si>
    <t>3.8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</si>
  <si>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</si>
  <si>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</si>
  <si>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</si>
  <si>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M</t>
  </si>
  <si>
    <t>8.01.02</t>
  </si>
  <si>
    <t>FDE</t>
  </si>
  <si>
    <t>ALUGUEL CAÇAMBA 4M3</t>
  </si>
  <si>
    <t>TINTA ESMALTE SINTETICO PREMIUM BRILHANTE</t>
  </si>
  <si>
    <t>3.2</t>
  </si>
  <si>
    <t>6.95.47</t>
  </si>
  <si>
    <t>REPARO P/VALVULA DESCARGA HIDRA LISA II</t>
  </si>
  <si>
    <t>SIFAO / TUBO SINFONADO EXTENSIVEL/SANFONADO, UNIVERSAL/ SIMPLES, ENTRE *50 A 70* CM, DE PLASTICO BRANCO</t>
  </si>
  <si>
    <t>TORNEIRA METALICA CROMADA DE MESA PARA LAVATORIO, BICA ALTA, COM AREJADOR (REF 1195)</t>
  </si>
  <si>
    <t>ADAPTADOR PVC SOLDAVEL CURTO COM BOLSA E ROSCA, 25 MM X 3/4", PARA AGUA FRIA</t>
  </si>
  <si>
    <t>2.34</t>
  </si>
  <si>
    <t>APLICAÇÃO MANUAL DE PINTURA COM TINTA LÁTEX ACRÍLICA EM TETO, DUAS DEMÃOS. AF_06/2014</t>
  </si>
  <si>
    <t xml:space="preserve"> 88489 </t>
  </si>
  <si>
    <t>PINTURA LÁTEX ACRÍLICA PREMIUM, APLICAÇÃO MANUAL EM PAREDES, DUAS DEMÃOS. AF_04/2023</t>
  </si>
  <si>
    <t>APLICAÇÃO DE FUNDO SELADOR ACRÍLICO EM PAREDES, UMA DEMÃO. AF_06/2014</t>
  </si>
  <si>
    <t>LIMPEZA DE SUPERFÍCIE COM JATO DE ALTA PRESSÃO. AF_04/2019</t>
  </si>
  <si>
    <t>3.9</t>
  </si>
  <si>
    <t>3.10</t>
  </si>
  <si>
    <t>3.11</t>
  </si>
  <si>
    <t>RUFO EXTERNO/INTERNO EM CHAPA DE AÇO GALVANIZADO NÚMERO 26, CORTE DE 33 CM, INCLUSO IÇAMENTO. AF_07/2019</t>
  </si>
  <si>
    <t>CALHA EM CHAPA DE AÇO GALVANIZADO NÚMERO 24, DESENVOLVIMENTO DE 50 CM, INCLUSO TRANSPORTE VERTICAL. AF_07/2019</t>
  </si>
  <si>
    <t>TELHADISTA COM ENCARGOS COMPLEMENTARES</t>
  </si>
  <si>
    <t>H</t>
  </si>
  <si>
    <t>3.12</t>
  </si>
  <si>
    <t>3.13</t>
  </si>
  <si>
    <t>3.14</t>
  </si>
  <si>
    <t>3.15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</si>
  <si>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AGOSTO/2023</t>
    </r>
  </si>
  <si>
    <t>PEDRA BRITADA N. 0, OU PEDRISCO (4,8 A 9,5 MM) POSTO PEDREIRA/FORNECEDOR, SEM FRETE</t>
  </si>
  <si>
    <t>m3</t>
  </si>
  <si>
    <t>AREIA GROSSA - POSTO JAZIDA/FORNECEDOR (RETIRADO NA JAZIDA, SEM TRANSPORTE)</t>
  </si>
  <si>
    <t>LAVATORIO / CUBA DE EMBUTIR, OVAL, DE LOUCA BRANCA, SEM LADRAO, DIMENSOES *50 X 35* CM (L X C)</t>
  </si>
  <si>
    <t>ADITIVO ADESIVO LIQUIDO PARA ARGAMASSAS DE REVESTIMENTOS CIMENTICIOS</t>
  </si>
  <si>
    <t>PARAFUSO ZINCADO, AUTOBROCANTE, FLANGEADO, 4,2 MM X 19 MM</t>
  </si>
  <si>
    <t>CENTO</t>
  </si>
  <si>
    <t>VALVULA DE RETENCAO HORIZONTAL, DE BRONZE (PN-25), 3", 400 PSI, TAMPA DE PORCA DE UNIAO, EXTREMIDADES COM ROSCA</t>
  </si>
  <si>
    <t>NIPLE DE FERRO GALVANIZADO, COM ROSCA BSP, DE 1/2"</t>
  </si>
  <si>
    <t>ANEL DE VEDACAO, PVC FLEXIVEL, 100 MM, PARA SAIDA DE BACIA / VASO SANITARIO</t>
  </si>
  <si>
    <t>TORNEIRA DE BOIA CONVENCIONAL PARA CAIXA D'AGUA, AGUA FRIA, 3/4", COM HASTE E TORNEIRA METALICOS E BALAO PLASTICO</t>
  </si>
  <si>
    <t>VALVULA DE DESCARGA METALICA, BASE 1 1/2 " E ACABAMENTO METALICO CROMADO</t>
  </si>
  <si>
    <t>BUCHA DE NYLON SEM ABA S8</t>
  </si>
  <si>
    <t>ENGATE/RABICHO FLEXIVEL PLASTICO (PVC OU ABS) BRANCO 1/2 " X 40 CM</t>
  </si>
  <si>
    <t>FITA VEDA ROSCA EM ROLOS DE 18 MM X 50 M (L X C)</t>
  </si>
  <si>
    <t>ADAPTADOR PVC SOLDAVEL CURTO COM BOLSA E ROSCA, 32 MM X 1", PARA AGUA FRIA</t>
  </si>
  <si>
    <t>JOELHO PVC, SOLDAVEL COM ROSCA, 90 GRAUS, 25 MM X 3/4", PARA AGUA FRIA PREDIAL</t>
  </si>
  <si>
    <t>JOELHO PVC, SOLDAVEL, 90 GRAUS, 25 MM, PARA AGUA FRIA PREDIAL</t>
  </si>
  <si>
    <t>LUVA SOLDAVEL COM BUCHA DE LATAO, PVC, 25 MM X 3/4"</t>
  </si>
  <si>
    <t>LUVA SOLDAVEL COM BUCHA DE LATAO, PVC, 32 MM X 1"</t>
  </si>
  <si>
    <t>LUVA DE REDUCAO SOLDAVEL, PVC, 32 MM X 25 MM, PARA AGUA FRIA PREDIAL</t>
  </si>
  <si>
    <t>TE SOLDAVEL, PVC, 90 GRAUS, 25 MM, PARA AGUA FRIA PREDIAL (NBR 5648)</t>
  </si>
  <si>
    <t>LUVA DE CORRER, PVC PBA, JE, DN 100 / DE 110 MM, PARA REDE AGUA (NBR 10351)</t>
  </si>
  <si>
    <t>CHAPA/PAINEL DE MADEIRA COMPENSADA PLASTIFICADA (MADEIRITE PLASTIFICADO) PARA FORMA DE CONCRETO, DE 2200 x 1100 MM, E = *17* MM</t>
  </si>
  <si>
    <t>TINTA ACRILICA A BASE DE SOLVENTE, PARA SINALIZACAO HORIZONTAL VIARIA (NBR 11862)</t>
  </si>
  <si>
    <t>TRANSPORTE COM CAMINHÃO BASCULANTE DE 10 M³, EM VIA URBANA EM LEITO NATURAL (UNIDADE: M3XKM). AF_07/2020</t>
  </si>
  <si>
    <t>M3XKM</t>
  </si>
  <si>
    <t>CAMINHÃO PARA EQUIPAMENTO DE LIMPEZA A SUCÇÃO, COM CAMINHÃO TRUCADO DE PESO BRUTO TOTAL 23000 KG, CARGA ÚTIL MÁXIMA 15935 KG, DISTÂNCIA ENTRE EIXOS 4,80 M, POTÊNCIA 230 CV, INCLUSIVE LIMPADORA A SUCÇÃO, TANQUE 12000 L - CHP DIURNO. AF_11/2015</t>
  </si>
  <si>
    <t>chp</t>
  </si>
  <si>
    <t>Desobstrução Barragem</t>
  </si>
  <si>
    <t>Pintura Quiosque Area Norte</t>
  </si>
  <si>
    <t>TEXTURA ACRÍLICA, APLICAÇÃO MANUAL EM PAREDE, UMA DEMÃO. AF_04/2023</t>
  </si>
  <si>
    <t>Manutenção Telhado Quiosque Area Norte</t>
  </si>
  <si>
    <t>Manutenção Telhado Departamento de Quimica</t>
  </si>
  <si>
    <t>Pintura DEQ - Sala apoio, Lab. L1 e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</si>
</sst>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i/>
      <sz val="11"/>
      <color rgb="FF7F7F7F"/>
      <name val="Calibri"/>
      <family val="2"/>
      <charset val="1"/>
    </font>
    <font>
      <sz val="8"/>
      <color rgb="FF000000"/>
      <name val="Arial"/>
      <family val="1"/>
    </font>
    <font>
      <sz val="8"/>
      <color rgb="FF333333"/>
      <name val="Arial"/>
      <family val="2"/>
    </font>
    <font>
      <sz val="8"/>
      <color rgb="FF000000"/>
      <name val="Arial"/>
      <family val="2"/>
    </font>
    <font>
      <b/>
      <sz val="8"/>
      <color rgb="FF0070C0"/>
      <name val="Arial"/>
      <family val="2"/>
    </font>
    <font>
      <b/>
      <sz val="8"/>
      <color theme="8"/>
      <name val="Arial"/>
      <family val="1"/>
    </font>
    <font>
      <b/>
      <sz val="8"/>
      <color theme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9" fillId="0" borderId="0" applyBorder="0" applyProtection="0"/>
  </cellStyleXfs>
  <cellXfs count="16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0" fontId="13" fillId="0" borderId="0" xfId="4" applyFont="1" applyFill="1" applyBorder="1"/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9" fillId="2" borderId="25" xfId="1" applyFont="1" applyBorder="1" applyAlignment="1">
      <alignment horizontal="center" vertical="center"/>
    </xf>
    <xf numFmtId="0" fontId="8" fillId="2" borderId="27" xfId="1" applyFont="1" applyBorder="1" applyAlignment="1">
      <alignment horizontal="center" vertical="center"/>
    </xf>
    <xf numFmtId="44" fontId="8" fillId="2" borderId="27" xfId="3" applyFont="1" applyFill="1" applyBorder="1" applyAlignment="1">
      <alignment horizontal="center" vertical="center"/>
    </xf>
    <xf numFmtId="0" fontId="13" fillId="0" borderId="0" xfId="0" applyFont="1"/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15" fillId="0" borderId="0" xfId="0" applyFont="1"/>
    <xf numFmtId="0" fontId="3" fillId="0" borderId="0" xfId="0" applyFont="1"/>
    <xf numFmtId="0" fontId="15" fillId="0" borderId="24" xfId="0" applyFont="1" applyBorder="1"/>
    <xf numFmtId="0" fontId="15" fillId="0" borderId="24" xfId="0" applyFont="1" applyBorder="1" applyAlignment="1">
      <alignment vertical="center"/>
    </xf>
    <xf numFmtId="0" fontId="17" fillId="0" borderId="24" xfId="5" applyFont="1" applyFill="1" applyBorder="1" applyAlignment="1" applyProtection="1">
      <alignment horizontal="center" vertical="center"/>
    </xf>
    <xf numFmtId="2" fontId="18" fillId="0" borderId="24" xfId="5" applyNumberFormat="1" applyFont="1" applyFill="1" applyBorder="1" applyAlignment="1" applyProtection="1">
      <alignment horizontal="center" vertical="center"/>
    </xf>
    <xf numFmtId="4" fontId="17" fillId="0" borderId="24" xfId="6" applyNumberFormat="1" applyFont="1" applyBorder="1" applyAlignment="1" applyProtection="1">
      <alignment horizontal="center" vertical="center"/>
    </xf>
    <xf numFmtId="0" fontId="17" fillId="0" borderId="0" xfId="0" applyFont="1"/>
    <xf numFmtId="0" fontId="17" fillId="0" borderId="24" xfId="0" applyFont="1" applyBorder="1"/>
    <xf numFmtId="4" fontId="9" fillId="0" borderId="16" xfId="2" applyNumberFormat="1" applyFont="1" applyFill="1" applyBorder="1" applyAlignment="1" applyProtection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top" wrapText="1"/>
    </xf>
    <xf numFmtId="0" fontId="20" fillId="0" borderId="24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22" fillId="0" borderId="24" xfId="0" applyFont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left" vertical="top" wrapText="1"/>
    </xf>
    <xf numFmtId="0" fontId="21" fillId="0" borderId="24" xfId="0" applyFont="1" applyBorder="1" applyAlignment="1">
      <alignment vertical="center" wrapText="1"/>
    </xf>
    <xf numFmtId="0" fontId="21" fillId="0" borderId="24" xfId="0" applyFont="1" applyBorder="1"/>
    <xf numFmtId="0" fontId="9" fillId="0" borderId="24" xfId="0" applyFont="1" applyBorder="1" applyAlignment="1">
      <alignment horizontal="left" vertical="center"/>
    </xf>
    <xf numFmtId="4" fontId="23" fillId="0" borderId="24" xfId="2" applyNumberFormat="1" applyFont="1" applyBorder="1" applyAlignment="1" applyProtection="1">
      <alignment horizontal="center" vertical="center"/>
    </xf>
    <xf numFmtId="2" fontId="23" fillId="0" borderId="24" xfId="1" applyNumberFormat="1" applyFont="1" applyFill="1" applyBorder="1" applyAlignment="1">
      <alignment horizontal="center" vertical="center"/>
    </xf>
    <xf numFmtId="0" fontId="23" fillId="0" borderId="24" xfId="1" applyFont="1" applyFill="1" applyBorder="1" applyAlignment="1">
      <alignment horizontal="center" vertical="center"/>
    </xf>
    <xf numFmtId="4" fontId="23" fillId="0" borderId="24" xfId="0" applyNumberFormat="1" applyFont="1" applyBorder="1" applyAlignment="1">
      <alignment horizontal="center" vertical="center" wrapText="1"/>
    </xf>
    <xf numFmtId="4" fontId="10" fillId="0" borderId="24" xfId="0" applyNumberFormat="1" applyFont="1" applyBorder="1" applyAlignment="1">
      <alignment horizontal="center" vertical="center" wrapText="1"/>
    </xf>
    <xf numFmtId="4" fontId="24" fillId="4" borderId="15" xfId="0" applyNumberFormat="1" applyFont="1" applyFill="1" applyBorder="1" applyAlignment="1">
      <alignment horizontal="center" vertical="center" wrapText="1"/>
    </xf>
    <xf numFmtId="0" fontId="25" fillId="6" borderId="24" xfId="0" applyFont="1" applyFill="1" applyBorder="1" applyAlignment="1">
      <alignment horizontal="center" vertical="center" wrapText="1"/>
    </xf>
    <xf numFmtId="4" fontId="25" fillId="4" borderId="24" xfId="0" applyNumberFormat="1" applyFont="1" applyFill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2" borderId="26" xfId="1" applyFont="1" applyBorder="1" applyAlignment="1">
      <alignment horizontal="center" vertical="center"/>
    </xf>
    <xf numFmtId="0" fontId="8" fillId="2" borderId="18" xfId="1" applyFont="1" applyBorder="1" applyAlignment="1">
      <alignment horizontal="center" vertical="center"/>
    </xf>
    <xf numFmtId="0" fontId="8" fillId="2" borderId="44" xfId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originais/2022/09%20Setembro/Notas%20Fiscais/NF01%20Jabu%20SA.pdf" TargetMode="External"/><Relationship Id="rId2" Type="http://schemas.openxmlformats.org/officeDocument/2006/relationships/hyperlink" Target="originais/2022/10%20Outubro/Notas%20Fiscais/NF01%20Jabu%20SA.pdf" TargetMode="External"/><Relationship Id="rId1" Type="http://schemas.openxmlformats.org/officeDocument/2006/relationships/hyperlink" Target="originais/2022/10%20Outubro/Notas%20Fiscais/NF%20516064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tabSelected="1" topLeftCell="A91" zoomScale="55" zoomScaleNormal="55" workbookViewId="0">
      <selection activeCell="R106" sqref="R106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42" t="s">
        <v>0</v>
      </c>
      <c r="B1" s="143"/>
      <c r="C1" s="143"/>
      <c r="D1" s="143"/>
      <c r="E1" s="143"/>
      <c r="F1" s="143"/>
      <c r="G1" s="143"/>
      <c r="H1" s="143"/>
      <c r="I1" s="144"/>
      <c r="J1" s="151" t="s">
        <v>1</v>
      </c>
      <c r="K1" s="151"/>
      <c r="L1" s="151"/>
      <c r="M1" s="151"/>
      <c r="N1" s="151"/>
      <c r="O1" s="152"/>
    </row>
    <row r="2" spans="1:15" ht="17.100000000000001" customHeight="1" x14ac:dyDescent="0.25">
      <c r="A2" s="145"/>
      <c r="B2" s="146"/>
      <c r="C2" s="146"/>
      <c r="D2" s="146"/>
      <c r="E2" s="146"/>
      <c r="F2" s="146"/>
      <c r="G2" s="146"/>
      <c r="H2" s="146"/>
      <c r="I2" s="147"/>
      <c r="J2" s="153" t="s">
        <v>2</v>
      </c>
      <c r="K2" s="153"/>
      <c r="L2" s="153"/>
      <c r="M2" s="153"/>
      <c r="N2" s="153"/>
      <c r="O2" s="154"/>
    </row>
    <row r="3" spans="1:15" ht="17.100000000000001" customHeight="1" x14ac:dyDescent="0.25">
      <c r="A3" s="145"/>
      <c r="B3" s="146"/>
      <c r="C3" s="146"/>
      <c r="D3" s="146"/>
      <c r="E3" s="146"/>
      <c r="F3" s="146"/>
      <c r="G3" s="146"/>
      <c r="H3" s="146"/>
      <c r="I3" s="147"/>
      <c r="J3" s="153" t="s">
        <v>3</v>
      </c>
      <c r="K3" s="153"/>
      <c r="L3" s="153"/>
      <c r="M3" s="153" t="s">
        <v>4</v>
      </c>
      <c r="N3" s="153"/>
      <c r="O3" s="1"/>
    </row>
    <row r="4" spans="1:15" ht="17.100000000000001" customHeight="1" x14ac:dyDescent="0.25">
      <c r="A4" s="145"/>
      <c r="B4" s="146"/>
      <c r="C4" s="146"/>
      <c r="D4" s="146"/>
      <c r="E4" s="146"/>
      <c r="F4" s="146"/>
      <c r="G4" s="146"/>
      <c r="H4" s="146"/>
      <c r="I4" s="147"/>
      <c r="J4" s="153" t="s">
        <v>5</v>
      </c>
      <c r="K4" s="153"/>
      <c r="L4" s="153"/>
      <c r="M4" s="153" t="s">
        <v>6</v>
      </c>
      <c r="N4" s="153"/>
      <c r="O4" s="2"/>
    </row>
    <row r="5" spans="1:15" ht="17.100000000000001" customHeight="1" x14ac:dyDescent="0.25">
      <c r="A5" s="145"/>
      <c r="B5" s="146"/>
      <c r="C5" s="146"/>
      <c r="D5" s="146"/>
      <c r="E5" s="146"/>
      <c r="F5" s="146"/>
      <c r="G5" s="146"/>
      <c r="H5" s="146"/>
      <c r="I5" s="147"/>
      <c r="J5" s="153" t="s">
        <v>7</v>
      </c>
      <c r="K5" s="153"/>
      <c r="L5" s="153"/>
      <c r="M5" s="153" t="s">
        <v>8</v>
      </c>
      <c r="N5" s="153"/>
      <c r="O5" s="1"/>
    </row>
    <row r="6" spans="1:15" ht="17.100000000000001" customHeight="1" x14ac:dyDescent="0.25">
      <c r="A6" s="148"/>
      <c r="B6" s="149"/>
      <c r="C6" s="149"/>
      <c r="D6" s="149"/>
      <c r="E6" s="149"/>
      <c r="F6" s="149"/>
      <c r="G6" s="149"/>
      <c r="H6" s="149"/>
      <c r="I6" s="150"/>
      <c r="J6" s="153" t="s">
        <v>9</v>
      </c>
      <c r="K6" s="153"/>
      <c r="L6" s="153"/>
      <c r="M6" s="153" t="s">
        <v>10</v>
      </c>
      <c r="N6" s="153"/>
      <c r="O6" s="1"/>
    </row>
    <row r="7" spans="1:15" ht="17.100000000000001" customHeight="1" x14ac:dyDescent="0.25">
      <c r="A7" s="155" t="s">
        <v>11</v>
      </c>
      <c r="B7" s="156"/>
      <c r="C7" s="156"/>
      <c r="D7" s="156"/>
      <c r="E7" s="156"/>
      <c r="F7" s="156"/>
      <c r="G7" s="156"/>
      <c r="H7" s="156"/>
      <c r="I7" s="157"/>
      <c r="J7" s="158" t="s">
        <v>55</v>
      </c>
      <c r="K7" s="159"/>
      <c r="L7" s="159"/>
      <c r="M7" s="159"/>
      <c r="N7" s="160"/>
      <c r="O7" s="82" t="s">
        <v>12</v>
      </c>
    </row>
    <row r="8" spans="1:15" ht="17.100000000000001" customHeight="1" x14ac:dyDescent="0.25">
      <c r="A8" s="111" t="s">
        <v>164</v>
      </c>
      <c r="B8" s="112"/>
      <c r="C8" s="112"/>
      <c r="D8" s="112"/>
      <c r="E8" s="112"/>
      <c r="F8" s="112"/>
      <c r="G8" s="112"/>
      <c r="H8" s="112"/>
      <c r="I8" s="125"/>
      <c r="J8" s="158" t="s">
        <v>13</v>
      </c>
      <c r="K8" s="159"/>
      <c r="L8" s="159"/>
      <c r="M8" s="159"/>
      <c r="N8" s="160"/>
      <c r="O8" s="82"/>
    </row>
    <row r="9" spans="1:15" ht="17.100000000000001" customHeight="1" x14ac:dyDescent="0.25">
      <c r="A9" s="113"/>
      <c r="B9" s="97"/>
      <c r="C9" s="97"/>
      <c r="D9" s="97"/>
      <c r="E9" s="97"/>
      <c r="F9" s="97"/>
      <c r="G9" s="97"/>
      <c r="H9" s="97"/>
      <c r="I9" s="98"/>
      <c r="J9" s="158" t="s">
        <v>14</v>
      </c>
      <c r="K9" s="159"/>
      <c r="L9" s="159"/>
      <c r="M9" s="159"/>
      <c r="N9" s="160"/>
      <c r="O9" s="82"/>
    </row>
    <row r="10" spans="1:15" ht="17.100000000000001" customHeight="1" x14ac:dyDescent="0.25">
      <c r="A10" s="113"/>
      <c r="B10" s="97"/>
      <c r="C10" s="97"/>
      <c r="D10" s="97"/>
      <c r="E10" s="97"/>
      <c r="F10" s="97"/>
      <c r="G10" s="97"/>
      <c r="H10" s="97"/>
      <c r="I10" s="98"/>
      <c r="J10" s="158" t="s">
        <v>15</v>
      </c>
      <c r="K10" s="159"/>
      <c r="L10" s="159"/>
      <c r="M10" s="159"/>
      <c r="N10" s="160"/>
      <c r="O10" s="82"/>
    </row>
    <row r="11" spans="1:15" ht="17.100000000000001" customHeight="1" x14ac:dyDescent="0.25">
      <c r="A11" s="113"/>
      <c r="B11" s="97"/>
      <c r="C11" s="97"/>
      <c r="D11" s="97"/>
      <c r="E11" s="97"/>
      <c r="F11" s="97"/>
      <c r="G11" s="97"/>
      <c r="H11" s="97"/>
      <c r="I11" s="98"/>
      <c r="J11" s="158" t="s">
        <v>54</v>
      </c>
      <c r="K11" s="159"/>
      <c r="L11" s="159"/>
      <c r="M11" s="159"/>
      <c r="N11" s="160"/>
      <c r="O11" s="82"/>
    </row>
    <row r="12" spans="1:15" ht="17.100000000000001" customHeight="1" x14ac:dyDescent="0.25">
      <c r="A12" s="113"/>
      <c r="B12" s="97"/>
      <c r="C12" s="97"/>
      <c r="D12" s="97"/>
      <c r="E12" s="97"/>
      <c r="F12" s="97"/>
      <c r="G12" s="97"/>
      <c r="H12" s="97"/>
      <c r="I12" s="98"/>
      <c r="J12" s="158" t="s">
        <v>135</v>
      </c>
      <c r="K12" s="159"/>
      <c r="L12" s="159"/>
      <c r="M12" s="159"/>
      <c r="N12" s="160"/>
      <c r="O12" s="82"/>
    </row>
    <row r="13" spans="1:15" ht="17.100000000000001" customHeight="1" x14ac:dyDescent="0.25">
      <c r="A13" s="99"/>
      <c r="B13" s="100"/>
      <c r="C13" s="100"/>
      <c r="D13" s="100"/>
      <c r="E13" s="100"/>
      <c r="F13" s="100"/>
      <c r="G13" s="100"/>
      <c r="H13" s="100"/>
      <c r="I13" s="101"/>
      <c r="J13" s="158" t="s">
        <v>134</v>
      </c>
      <c r="K13" s="159"/>
      <c r="L13" s="159"/>
      <c r="M13" s="159"/>
      <c r="N13" s="160"/>
      <c r="O13" s="82"/>
    </row>
    <row r="14" spans="1:15" ht="17.100000000000001" customHeight="1" x14ac:dyDescent="0.25">
      <c r="A14" s="132" t="s">
        <v>16</v>
      </c>
      <c r="B14" s="134" t="s">
        <v>17</v>
      </c>
      <c r="C14" s="134" t="s">
        <v>18</v>
      </c>
      <c r="D14" s="134" t="s">
        <v>19</v>
      </c>
      <c r="E14" s="134" t="s">
        <v>20</v>
      </c>
      <c r="F14" s="134" t="s">
        <v>21</v>
      </c>
      <c r="G14" s="134" t="s">
        <v>22</v>
      </c>
      <c r="H14" s="136" t="s">
        <v>23</v>
      </c>
      <c r="I14" s="136"/>
      <c r="J14" s="136"/>
      <c r="K14" s="136"/>
      <c r="L14" s="137"/>
      <c r="M14" s="134" t="s">
        <v>24</v>
      </c>
      <c r="N14" s="134" t="s">
        <v>25</v>
      </c>
      <c r="O14" s="82" t="s">
        <v>26</v>
      </c>
    </row>
    <row r="15" spans="1:15" ht="17.100000000000001" customHeight="1" x14ac:dyDescent="0.25">
      <c r="A15" s="133"/>
      <c r="B15" s="135"/>
      <c r="C15" s="135"/>
      <c r="D15" s="135"/>
      <c r="E15" s="135"/>
      <c r="F15" s="135"/>
      <c r="G15" s="135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35"/>
      <c r="N15" s="135"/>
      <c r="O15" s="82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5">
        <f>SUM(M17:M28)</f>
        <v>82593.787564059196</v>
      </c>
      <c r="N16" s="10">
        <f>SUM(N17:N28)</f>
        <v>1</v>
      </c>
      <c r="O16" s="82"/>
    </row>
    <row r="17" spans="1:15" ht="26.25" customHeight="1" x14ac:dyDescent="0.25">
      <c r="A17" s="17" t="s">
        <v>32</v>
      </c>
      <c r="B17" s="17" t="s">
        <v>33</v>
      </c>
      <c r="C17" s="11" t="s">
        <v>66</v>
      </c>
      <c r="D17" s="11" t="s">
        <v>34</v>
      </c>
      <c r="E17" s="24" t="s">
        <v>67</v>
      </c>
      <c r="F17" s="13" t="s">
        <v>35</v>
      </c>
      <c r="G17" s="17">
        <v>211</v>
      </c>
      <c r="H17" s="62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9923.3634895823998</v>
      </c>
      <c r="N17" s="14">
        <f>M17/M$16</f>
        <v>0.1201466088703815</v>
      </c>
      <c r="O17" s="131"/>
    </row>
    <row r="18" spans="1:15" ht="26.25" customHeight="1" x14ac:dyDescent="0.25">
      <c r="A18" s="17" t="s">
        <v>70</v>
      </c>
      <c r="B18" s="17" t="s">
        <v>33</v>
      </c>
      <c r="C18" s="11" t="s">
        <v>58</v>
      </c>
      <c r="D18" s="11" t="s">
        <v>34</v>
      </c>
      <c r="E18" s="24" t="s">
        <v>59</v>
      </c>
      <c r="F18" s="13" t="s">
        <v>35</v>
      </c>
      <c r="G18" s="17">
        <v>208</v>
      </c>
      <c r="H18" s="62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8457.1133046400009</v>
      </c>
      <c r="N18" s="14">
        <f t="shared" ref="N18:N28" si="5">M18/M$16</f>
        <v>0.10239406078914494</v>
      </c>
      <c r="O18" s="131"/>
    </row>
    <row r="19" spans="1:15" ht="26.25" customHeight="1" x14ac:dyDescent="0.25">
      <c r="A19" s="17" t="s">
        <v>71</v>
      </c>
      <c r="B19" s="17" t="s">
        <v>33</v>
      </c>
      <c r="C19" s="11" t="s">
        <v>58</v>
      </c>
      <c r="D19" s="11" t="s">
        <v>34</v>
      </c>
      <c r="E19" s="24" t="s">
        <v>59</v>
      </c>
      <c r="F19" s="13" t="s">
        <v>35</v>
      </c>
      <c r="G19" s="17">
        <v>180</v>
      </c>
      <c r="H19" s="62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8.861024491368312E-2</v>
      </c>
      <c r="O19" s="131"/>
    </row>
    <row r="20" spans="1:15" ht="26.25" customHeight="1" x14ac:dyDescent="0.25">
      <c r="A20" s="17" t="s">
        <v>72</v>
      </c>
      <c r="B20" s="17" t="s">
        <v>33</v>
      </c>
      <c r="C20" s="11" t="s">
        <v>60</v>
      </c>
      <c r="D20" s="11" t="s">
        <v>34</v>
      </c>
      <c r="E20" s="24" t="s">
        <v>61</v>
      </c>
      <c r="F20" s="13" t="s">
        <v>35</v>
      </c>
      <c r="G20" s="17">
        <v>194</v>
      </c>
      <c r="H20" s="62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6780.0222469407991</v>
      </c>
      <c r="N20" s="14">
        <f t="shared" si="5"/>
        <v>8.2088767774237972E-2</v>
      </c>
      <c r="O20" s="131"/>
    </row>
    <row r="21" spans="1:15" ht="26.25" customHeight="1" x14ac:dyDescent="0.25">
      <c r="A21" s="17" t="s">
        <v>73</v>
      </c>
      <c r="B21" s="17" t="s">
        <v>33</v>
      </c>
      <c r="C21" s="11" t="s">
        <v>60</v>
      </c>
      <c r="D21" s="11" t="s">
        <v>34</v>
      </c>
      <c r="E21" s="24" t="s">
        <v>61</v>
      </c>
      <c r="F21" s="13" t="s">
        <v>35</v>
      </c>
      <c r="G21" s="17">
        <v>180</v>
      </c>
      <c r="H21" s="62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7.6164836079189877E-2</v>
      </c>
      <c r="O21" s="131"/>
    </row>
    <row r="22" spans="1:15" ht="26.25" customHeight="1" x14ac:dyDescent="0.25">
      <c r="A22" s="17" t="s">
        <v>74</v>
      </c>
      <c r="B22" s="17" t="s">
        <v>33</v>
      </c>
      <c r="C22" s="11" t="s">
        <v>62</v>
      </c>
      <c r="D22" s="11" t="s">
        <v>34</v>
      </c>
      <c r="E22" s="24" t="s">
        <v>63</v>
      </c>
      <c r="F22" s="13" t="s">
        <v>35</v>
      </c>
      <c r="G22" s="17">
        <v>180</v>
      </c>
      <c r="H22" s="62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8.4186395092428576E-2</v>
      </c>
      <c r="O22" s="131"/>
    </row>
    <row r="23" spans="1:15" ht="26.25" customHeight="1" x14ac:dyDescent="0.25">
      <c r="A23" s="17" t="s">
        <v>75</v>
      </c>
      <c r="B23" s="17" t="s">
        <v>33</v>
      </c>
      <c r="C23" s="11" t="s">
        <v>62</v>
      </c>
      <c r="D23" s="11" t="s">
        <v>34</v>
      </c>
      <c r="E23" s="24" t="s">
        <v>63</v>
      </c>
      <c r="F23" s="13" t="s">
        <v>35</v>
      </c>
      <c r="G23" s="17">
        <v>180</v>
      </c>
      <c r="H23" s="62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8.4186395092428576E-2</v>
      </c>
      <c r="O23" s="131"/>
    </row>
    <row r="24" spans="1:15" ht="26.25" customHeight="1" x14ac:dyDescent="0.25">
      <c r="A24" s="17" t="s">
        <v>76</v>
      </c>
      <c r="B24" s="17" t="s">
        <v>33</v>
      </c>
      <c r="C24" s="11" t="s">
        <v>64</v>
      </c>
      <c r="D24" s="11" t="s">
        <v>34</v>
      </c>
      <c r="E24" s="24" t="s">
        <v>65</v>
      </c>
      <c r="F24" s="13" t="s">
        <v>35</v>
      </c>
      <c r="G24" s="17">
        <v>180</v>
      </c>
      <c r="H24" s="62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7.2487177794050547E-2</v>
      </c>
      <c r="O24" s="131"/>
    </row>
    <row r="25" spans="1:15" ht="26.25" customHeight="1" x14ac:dyDescent="0.25">
      <c r="A25" s="17" t="s">
        <v>77</v>
      </c>
      <c r="B25" s="17" t="s">
        <v>33</v>
      </c>
      <c r="C25" s="11" t="s">
        <v>64</v>
      </c>
      <c r="D25" s="11" t="s">
        <v>34</v>
      </c>
      <c r="E25" s="24" t="s">
        <v>65</v>
      </c>
      <c r="F25" s="13" t="s">
        <v>35</v>
      </c>
      <c r="G25" s="17">
        <v>180</v>
      </c>
      <c r="H25" s="62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7.2487177794050547E-2</v>
      </c>
      <c r="O25" s="131"/>
    </row>
    <row r="26" spans="1:15" ht="26.25" customHeight="1" x14ac:dyDescent="0.25">
      <c r="A26" s="17" t="s">
        <v>78</v>
      </c>
      <c r="B26" s="17" t="s">
        <v>33</v>
      </c>
      <c r="C26" s="11" t="s">
        <v>64</v>
      </c>
      <c r="D26" s="11" t="s">
        <v>34</v>
      </c>
      <c r="E26" s="24" t="s">
        <v>65</v>
      </c>
      <c r="F26" s="13" t="s">
        <v>35</v>
      </c>
      <c r="G26" s="17">
        <v>180</v>
      </c>
      <c r="H26" s="62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7.2487177794050547E-2</v>
      </c>
      <c r="O26" s="131"/>
    </row>
    <row r="27" spans="1:15" ht="26.25" customHeight="1" x14ac:dyDescent="0.25">
      <c r="A27" s="17" t="s">
        <v>79</v>
      </c>
      <c r="B27" s="17" t="s">
        <v>33</v>
      </c>
      <c r="C27" s="11" t="s">
        <v>68</v>
      </c>
      <c r="D27" s="11" t="s">
        <v>34</v>
      </c>
      <c r="E27" s="12" t="s">
        <v>69</v>
      </c>
      <c r="F27" s="13" t="s">
        <v>35</v>
      </c>
      <c r="G27" s="17">
        <v>180</v>
      </c>
      <c r="H27" s="62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7.2380579003176945E-2</v>
      </c>
      <c r="O27" s="131"/>
    </row>
    <row r="28" spans="1:15" ht="26.25" customHeight="1" x14ac:dyDescent="0.25">
      <c r="A28" s="17" t="s">
        <v>80</v>
      </c>
      <c r="B28" s="17" t="s">
        <v>33</v>
      </c>
      <c r="C28" s="11" t="s">
        <v>68</v>
      </c>
      <c r="D28" s="11" t="s">
        <v>34</v>
      </c>
      <c r="E28" s="12" t="s">
        <v>69</v>
      </c>
      <c r="F28" s="13" t="s">
        <v>35</v>
      </c>
      <c r="G28" s="17">
        <v>180</v>
      </c>
      <c r="H28" s="62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7.2380579003176945E-2</v>
      </c>
      <c r="O28" s="131"/>
    </row>
    <row r="29" spans="1:15" x14ac:dyDescent="0.25">
      <c r="A29" s="132" t="s">
        <v>16</v>
      </c>
      <c r="B29" s="134" t="s">
        <v>17</v>
      </c>
      <c r="C29" s="134" t="s">
        <v>18</v>
      </c>
      <c r="D29" s="134" t="s">
        <v>19</v>
      </c>
      <c r="E29" s="134" t="s">
        <v>20</v>
      </c>
      <c r="F29" s="134" t="s">
        <v>21</v>
      </c>
      <c r="G29" s="134" t="s">
        <v>22</v>
      </c>
      <c r="H29" s="136" t="s">
        <v>23</v>
      </c>
      <c r="I29" s="136"/>
      <c r="J29" s="136"/>
      <c r="K29" s="136"/>
      <c r="L29" s="137"/>
      <c r="M29" s="134" t="s">
        <v>24</v>
      </c>
      <c r="N29" s="134" t="s">
        <v>25</v>
      </c>
      <c r="O29" s="131"/>
    </row>
    <row r="30" spans="1:15" ht="17.100000000000001" customHeight="1" x14ac:dyDescent="0.25">
      <c r="A30" s="133"/>
      <c r="B30" s="135"/>
      <c r="C30" s="135"/>
      <c r="D30" s="135"/>
      <c r="E30" s="135"/>
      <c r="F30" s="135"/>
      <c r="G30" s="135"/>
      <c r="H30" s="3" t="s">
        <v>27</v>
      </c>
      <c r="I30" s="30" t="s">
        <v>36</v>
      </c>
      <c r="J30" s="3" t="s">
        <v>29</v>
      </c>
      <c r="K30" s="4" t="s">
        <v>56</v>
      </c>
      <c r="L30" s="3" t="s">
        <v>30</v>
      </c>
      <c r="M30" s="135"/>
      <c r="N30" s="135"/>
      <c r="O30" s="82"/>
    </row>
    <row r="31" spans="1:15" ht="17.100000000000001" customHeight="1" x14ac:dyDescent="0.25">
      <c r="A31" s="15">
        <v>2</v>
      </c>
      <c r="B31" s="138" t="s">
        <v>37</v>
      </c>
      <c r="C31" s="138"/>
      <c r="D31" s="139"/>
      <c r="E31" s="139"/>
      <c r="F31" s="139"/>
      <c r="G31" s="16"/>
      <c r="H31" s="16"/>
      <c r="I31" s="16"/>
      <c r="J31" s="16"/>
      <c r="K31" s="16"/>
      <c r="L31" s="16"/>
      <c r="M31" s="26">
        <f>SUM(M32:M69)</f>
        <v>24601.122415709837</v>
      </c>
      <c r="N31" s="16"/>
      <c r="O31" s="131"/>
    </row>
    <row r="32" spans="1:15" s="19" customFormat="1" ht="17.100000000000001" customHeight="1" x14ac:dyDescent="0.2">
      <c r="A32" s="18" t="s">
        <v>50</v>
      </c>
      <c r="B32" s="18" t="s">
        <v>53</v>
      </c>
      <c r="C32" s="27">
        <v>142</v>
      </c>
      <c r="D32" s="18" t="s">
        <v>34</v>
      </c>
      <c r="E32" s="28" t="s">
        <v>98</v>
      </c>
      <c r="F32" s="18" t="s">
        <v>21</v>
      </c>
      <c r="G32" s="18">
        <v>60</v>
      </c>
      <c r="H32" s="62">
        <v>34.53</v>
      </c>
      <c r="I32" s="14">
        <f t="shared" ref="I32" si="6">H32*0.1532</f>
        <v>5.2899960000000004</v>
      </c>
      <c r="J32" s="14">
        <f t="shared" ref="J32" si="7">H32+I32</f>
        <v>39.819996000000003</v>
      </c>
      <c r="K32" s="14">
        <f t="shared" ref="K32" si="8">J32*(0.03%)</f>
        <v>1.19459988E-2</v>
      </c>
      <c r="L32" s="14">
        <f t="shared" ref="L32" si="9">J32-K32</f>
        <v>39.808050001200002</v>
      </c>
      <c r="M32" s="14">
        <f t="shared" ref="M32" si="10">L32*G32</f>
        <v>2388.4830000720003</v>
      </c>
      <c r="N32" s="14">
        <f>M32/M31</f>
        <v>9.7088375063194593E-2</v>
      </c>
      <c r="O32" s="131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11762</v>
      </c>
      <c r="D33" s="18" t="s">
        <v>34</v>
      </c>
      <c r="E33" s="32" t="s">
        <v>99</v>
      </c>
      <c r="F33" s="18" t="s">
        <v>21</v>
      </c>
      <c r="G33" s="18">
        <v>10</v>
      </c>
      <c r="H33" s="63">
        <v>56.5</v>
      </c>
      <c r="I33" s="14">
        <f t="shared" ref="I33" si="11">H33*0.1532</f>
        <v>8.6557999999999993</v>
      </c>
      <c r="J33" s="14">
        <f t="shared" ref="J33" si="12">H33+I33</f>
        <v>65.155799999999999</v>
      </c>
      <c r="K33" s="14">
        <f t="shared" ref="K33" si="13">J33*(0.03%)</f>
        <v>1.9546739999999996E-2</v>
      </c>
      <c r="L33" s="14">
        <f t="shared" ref="L33" si="14">J33-K33</f>
        <v>65.136253260000004</v>
      </c>
      <c r="M33" s="14">
        <f t="shared" ref="M33" si="15">L33*G33</f>
        <v>651.36253260000001</v>
      </c>
      <c r="N33" s="14">
        <f t="shared" ref="N33:N67" si="16">M33/M32</f>
        <v>0.27270972101554203</v>
      </c>
      <c r="O33" s="131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11621</v>
      </c>
      <c r="D34" s="18" t="s">
        <v>34</v>
      </c>
      <c r="E34" s="42" t="s">
        <v>105</v>
      </c>
      <c r="F34" s="18" t="s">
        <v>106</v>
      </c>
      <c r="G34" s="18">
        <v>14</v>
      </c>
      <c r="H34" s="63">
        <v>57.96</v>
      </c>
      <c r="I34" s="14">
        <f t="shared" ref="I34" si="17">H34*0.1532</f>
        <v>8.8794719999999998</v>
      </c>
      <c r="J34" s="14">
        <f t="shared" ref="J34" si="18">H34+I34</f>
        <v>66.839472000000001</v>
      </c>
      <c r="K34" s="14">
        <f t="shared" ref="K34" si="19">J34*(0.03%)</f>
        <v>2.0051841599999998E-2</v>
      </c>
      <c r="L34" s="14">
        <f t="shared" ref="L34" si="20">J34-K34</f>
        <v>66.819420158400007</v>
      </c>
      <c r="M34" s="14">
        <f t="shared" ref="M34" si="21">L34*G34</f>
        <v>935.47188221760007</v>
      </c>
      <c r="N34" s="14">
        <f t="shared" si="16"/>
        <v>1.4361769911504425</v>
      </c>
      <c r="O34" s="131"/>
    </row>
    <row r="35" spans="1:15" s="19" customFormat="1" ht="17.100000000000001" customHeight="1" x14ac:dyDescent="0.2">
      <c r="A35" s="18" t="s">
        <v>81</v>
      </c>
      <c r="B35" s="18" t="s">
        <v>53</v>
      </c>
      <c r="C35" s="27">
        <v>43651</v>
      </c>
      <c r="D35" s="18" t="s">
        <v>34</v>
      </c>
      <c r="E35" s="28" t="s">
        <v>114</v>
      </c>
      <c r="F35" s="18" t="s">
        <v>108</v>
      </c>
      <c r="G35" s="18">
        <v>105</v>
      </c>
      <c r="H35" s="64">
        <v>6.83</v>
      </c>
      <c r="I35" s="14">
        <f t="shared" ref="I35:I66" si="22">H35*0.1532</f>
        <v>1.0463560000000001</v>
      </c>
      <c r="J35" s="14">
        <f t="shared" ref="J35:J67" si="23">H35+I35</f>
        <v>7.8763560000000004</v>
      </c>
      <c r="K35" s="14">
        <f t="shared" ref="K35:K67" si="24">J35*(0.03%)</f>
        <v>2.3629068E-3</v>
      </c>
      <c r="L35" s="14">
        <f t="shared" ref="L35:L67" si="25">J35-K35</f>
        <v>7.8739930932000002</v>
      </c>
      <c r="M35" s="14">
        <f t="shared" ref="M35:M41" si="26">L35*G35</f>
        <v>826.76927478599998</v>
      </c>
      <c r="N35" s="14">
        <f t="shared" si="16"/>
        <v>0.88379917184265</v>
      </c>
      <c r="O35" s="131"/>
    </row>
    <row r="36" spans="1:15" s="19" customFormat="1" ht="17.100000000000001" customHeight="1" x14ac:dyDescent="0.2">
      <c r="A36" s="18" t="s">
        <v>82</v>
      </c>
      <c r="B36" s="18" t="s">
        <v>53</v>
      </c>
      <c r="C36" s="27">
        <v>7292</v>
      </c>
      <c r="D36" s="18" t="s">
        <v>34</v>
      </c>
      <c r="E36" s="28" t="s">
        <v>140</v>
      </c>
      <c r="F36" s="18" t="s">
        <v>110</v>
      </c>
      <c r="G36" s="18">
        <v>7.2</v>
      </c>
      <c r="H36" s="64">
        <v>40.28</v>
      </c>
      <c r="I36" s="14">
        <f t="shared" si="22"/>
        <v>6.1708959999999999</v>
      </c>
      <c r="J36" s="14">
        <f t="shared" si="23"/>
        <v>46.450896</v>
      </c>
      <c r="K36" s="14">
        <f t="shared" si="24"/>
        <v>1.3935268799999999E-2</v>
      </c>
      <c r="L36" s="14">
        <f t="shared" si="25"/>
        <v>46.436960731200003</v>
      </c>
      <c r="M36" s="14">
        <f t="shared" si="26"/>
        <v>334.34611726464004</v>
      </c>
      <c r="N36" s="14">
        <f t="shared" si="16"/>
        <v>0.40440075298054806</v>
      </c>
      <c r="O36" s="131"/>
    </row>
    <row r="37" spans="1:15" s="19" customFormat="1" ht="17.100000000000001" customHeight="1" x14ac:dyDescent="0.2">
      <c r="A37" s="18" t="s">
        <v>83</v>
      </c>
      <c r="B37" s="18" t="s">
        <v>53</v>
      </c>
      <c r="C37" s="18">
        <v>35692</v>
      </c>
      <c r="D37" s="18" t="s">
        <v>34</v>
      </c>
      <c r="E37" s="29" t="s">
        <v>109</v>
      </c>
      <c r="F37" s="18" t="s">
        <v>110</v>
      </c>
      <c r="G37" s="18">
        <v>90</v>
      </c>
      <c r="H37" s="64">
        <v>18.97</v>
      </c>
      <c r="I37" s="14">
        <f t="shared" si="22"/>
        <v>2.9062039999999998</v>
      </c>
      <c r="J37" s="14">
        <f t="shared" si="23"/>
        <v>21.876203999999998</v>
      </c>
      <c r="K37" s="14">
        <f t="shared" si="24"/>
        <v>6.5628611999999989E-3</v>
      </c>
      <c r="L37" s="14">
        <f t="shared" si="25"/>
        <v>21.869641138799999</v>
      </c>
      <c r="M37" s="14">
        <f t="shared" si="26"/>
        <v>1968.2677024919999</v>
      </c>
      <c r="N37" s="14">
        <f t="shared" si="16"/>
        <v>5.886916583912611</v>
      </c>
      <c r="O37" s="131"/>
    </row>
    <row r="38" spans="1:15" s="19" customFormat="1" ht="17.100000000000001" customHeight="1" x14ac:dyDescent="0.2">
      <c r="A38" s="18" t="s">
        <v>84</v>
      </c>
      <c r="B38" s="18" t="s">
        <v>53</v>
      </c>
      <c r="C38" s="45" t="s">
        <v>142</v>
      </c>
      <c r="D38" s="45" t="s">
        <v>138</v>
      </c>
      <c r="E38" s="28" t="s">
        <v>143</v>
      </c>
      <c r="F38" s="18" t="s">
        <v>21</v>
      </c>
      <c r="G38" s="18">
        <v>10</v>
      </c>
      <c r="H38" s="62">
        <v>78.3</v>
      </c>
      <c r="I38" s="14">
        <f t="shared" si="22"/>
        <v>11.995559999999999</v>
      </c>
      <c r="J38" s="14">
        <f t="shared" si="23"/>
        <v>90.295559999999995</v>
      </c>
      <c r="K38" s="14">
        <f t="shared" si="24"/>
        <v>2.7088667999999996E-2</v>
      </c>
      <c r="L38" s="14">
        <f t="shared" si="25"/>
        <v>90.26847133199999</v>
      </c>
      <c r="M38" s="14">
        <f t="shared" si="26"/>
        <v>902.6847133199999</v>
      </c>
      <c r="N38" s="14">
        <f t="shared" si="16"/>
        <v>0.45861887190300471</v>
      </c>
      <c r="O38" s="131"/>
    </row>
    <row r="39" spans="1:15" s="19" customFormat="1" ht="17.100000000000001" customHeight="1" x14ac:dyDescent="0.2">
      <c r="A39" s="18" t="s">
        <v>85</v>
      </c>
      <c r="B39" s="18" t="s">
        <v>53</v>
      </c>
      <c r="C39" s="27">
        <v>44945</v>
      </c>
      <c r="D39" s="18" t="s">
        <v>34</v>
      </c>
      <c r="E39" s="28" t="s">
        <v>144</v>
      </c>
      <c r="F39" s="18" t="s">
        <v>21</v>
      </c>
      <c r="G39" s="18">
        <v>20</v>
      </c>
      <c r="H39" s="63">
        <v>10.8</v>
      </c>
      <c r="I39" s="14">
        <f t="shared" si="22"/>
        <v>1.65456</v>
      </c>
      <c r="J39" s="14">
        <f t="shared" si="23"/>
        <v>12.454560000000001</v>
      </c>
      <c r="K39" s="14">
        <f t="shared" si="24"/>
        <v>3.7363679999999999E-3</v>
      </c>
      <c r="L39" s="14">
        <f t="shared" si="25"/>
        <v>12.450823632000001</v>
      </c>
      <c r="M39" s="14">
        <f t="shared" si="26"/>
        <v>249.01647264000002</v>
      </c>
      <c r="N39" s="14">
        <f t="shared" si="16"/>
        <v>0.27586206896551729</v>
      </c>
      <c r="O39" s="131"/>
    </row>
    <row r="40" spans="1:15" s="19" customFormat="1" ht="17.100000000000001" customHeight="1" x14ac:dyDescent="0.2">
      <c r="A40" s="18" t="s">
        <v>86</v>
      </c>
      <c r="B40" s="18" t="s">
        <v>53</v>
      </c>
      <c r="C40" s="18">
        <v>4720</v>
      </c>
      <c r="D40" s="18" t="s">
        <v>34</v>
      </c>
      <c r="E40" s="60" t="s">
        <v>165</v>
      </c>
      <c r="F40" s="18" t="s">
        <v>166</v>
      </c>
      <c r="G40" s="18">
        <v>5</v>
      </c>
      <c r="H40" s="63">
        <v>80.39</v>
      </c>
      <c r="I40" s="14">
        <f t="shared" si="22"/>
        <v>12.315748000000001</v>
      </c>
      <c r="J40" s="14">
        <f t="shared" si="23"/>
        <v>92.705748</v>
      </c>
      <c r="K40" s="14">
        <f t="shared" si="24"/>
        <v>2.7811724399999998E-2</v>
      </c>
      <c r="L40" s="14">
        <f t="shared" si="25"/>
        <v>92.677936275600004</v>
      </c>
      <c r="M40" s="14">
        <f t="shared" si="26"/>
        <v>463.38968137800003</v>
      </c>
      <c r="N40" s="14">
        <f t="shared" si="16"/>
        <v>1.8608796296296297</v>
      </c>
      <c r="O40" s="131"/>
    </row>
    <row r="41" spans="1:15" s="19" customFormat="1" ht="17.100000000000001" customHeight="1" x14ac:dyDescent="0.2">
      <c r="A41" s="18" t="s">
        <v>87</v>
      </c>
      <c r="B41" s="18" t="s">
        <v>53</v>
      </c>
      <c r="C41" s="18">
        <v>367</v>
      </c>
      <c r="D41" s="18" t="s">
        <v>34</v>
      </c>
      <c r="E41" s="44" t="s">
        <v>167</v>
      </c>
      <c r="F41" s="18" t="s">
        <v>166</v>
      </c>
      <c r="G41" s="18">
        <v>5</v>
      </c>
      <c r="H41" s="64">
        <v>60.78</v>
      </c>
      <c r="I41" s="14">
        <f t="shared" si="22"/>
        <v>9.311496</v>
      </c>
      <c r="J41" s="14">
        <f t="shared" si="23"/>
        <v>70.091496000000006</v>
      </c>
      <c r="K41" s="14">
        <f t="shared" si="24"/>
        <v>2.1027448800000001E-2</v>
      </c>
      <c r="L41" s="14">
        <f t="shared" si="25"/>
        <v>70.070468551200008</v>
      </c>
      <c r="M41" s="14">
        <f t="shared" si="26"/>
        <v>350.35234275600004</v>
      </c>
      <c r="N41" s="14">
        <f t="shared" si="16"/>
        <v>0.75606418708794632</v>
      </c>
      <c r="O41" s="131"/>
    </row>
    <row r="42" spans="1:15" s="19" customFormat="1" ht="17.100000000000001" customHeight="1" x14ac:dyDescent="0.2">
      <c r="A42" s="18" t="s">
        <v>88</v>
      </c>
      <c r="B42" s="18" t="s">
        <v>53</v>
      </c>
      <c r="C42" s="18">
        <v>20269</v>
      </c>
      <c r="D42" s="18" t="s">
        <v>34</v>
      </c>
      <c r="E42" s="28" t="s">
        <v>168</v>
      </c>
      <c r="F42" s="18" t="s">
        <v>21</v>
      </c>
      <c r="G42" s="18">
        <v>2</v>
      </c>
      <c r="H42" s="62">
        <v>91.3</v>
      </c>
      <c r="I42" s="14">
        <f t="shared" ref="I42:I65" si="27">H42*0.1532</f>
        <v>13.987159999999999</v>
      </c>
      <c r="J42" s="14">
        <f t="shared" ref="J42:J65" si="28">H42+I42</f>
        <v>105.28716</v>
      </c>
      <c r="K42" s="14">
        <f t="shared" ref="K42:K65" si="29">J42*(0.03%)</f>
        <v>3.1586147999999994E-2</v>
      </c>
      <c r="L42" s="14">
        <f t="shared" ref="L42:L65" si="30">J42-K42</f>
        <v>105.255573852</v>
      </c>
      <c r="M42" s="14">
        <f t="shared" ref="M42:M65" si="31">L42*G42</f>
        <v>210.511147704</v>
      </c>
      <c r="N42" s="14">
        <f t="shared" si="16"/>
        <v>0.60085554458703516</v>
      </c>
      <c r="O42" s="131"/>
    </row>
    <row r="43" spans="1:15" s="19" customFormat="1" ht="17.100000000000001" customHeight="1" x14ac:dyDescent="0.2">
      <c r="A43" s="18" t="s">
        <v>89</v>
      </c>
      <c r="B43" s="18" t="s">
        <v>53</v>
      </c>
      <c r="C43" s="18">
        <v>7334</v>
      </c>
      <c r="D43" s="18" t="s">
        <v>34</v>
      </c>
      <c r="E43" s="28" t="s">
        <v>169</v>
      </c>
      <c r="F43" s="18" t="s">
        <v>110</v>
      </c>
      <c r="G43" s="18">
        <v>3.6</v>
      </c>
      <c r="H43" s="62">
        <v>17.3</v>
      </c>
      <c r="I43" s="14">
        <f t="shared" si="27"/>
        <v>2.65036</v>
      </c>
      <c r="J43" s="14">
        <f t="shared" si="28"/>
        <v>19.95036</v>
      </c>
      <c r="K43" s="14">
        <f t="shared" si="29"/>
        <v>5.9851079999999994E-3</v>
      </c>
      <c r="L43" s="14">
        <f t="shared" si="30"/>
        <v>19.944374891999999</v>
      </c>
      <c r="M43" s="14">
        <f t="shared" si="31"/>
        <v>71.799749611199999</v>
      </c>
      <c r="N43" s="14">
        <f t="shared" si="16"/>
        <v>0.3410733844468784</v>
      </c>
      <c r="O43" s="131"/>
    </row>
    <row r="44" spans="1:15" s="19" customFormat="1" ht="17.100000000000001" customHeight="1" x14ac:dyDescent="0.2">
      <c r="A44" s="18" t="s">
        <v>90</v>
      </c>
      <c r="B44" s="18" t="s">
        <v>53</v>
      </c>
      <c r="C44" s="18">
        <v>40547</v>
      </c>
      <c r="D44" s="18" t="s">
        <v>34</v>
      </c>
      <c r="E44" s="28" t="s">
        <v>170</v>
      </c>
      <c r="F44" s="18" t="s">
        <v>171</v>
      </c>
      <c r="G44" s="18">
        <v>2</v>
      </c>
      <c r="H44" s="62">
        <v>29.16</v>
      </c>
      <c r="I44" s="14">
        <f t="shared" si="27"/>
        <v>4.4673119999999997</v>
      </c>
      <c r="J44" s="14">
        <f t="shared" si="28"/>
        <v>33.627312000000003</v>
      </c>
      <c r="K44" s="14">
        <f t="shared" si="29"/>
        <v>1.00881936E-2</v>
      </c>
      <c r="L44" s="14">
        <f t="shared" si="30"/>
        <v>33.617223806400006</v>
      </c>
      <c r="M44" s="14">
        <f t="shared" si="31"/>
        <v>67.234447612800011</v>
      </c>
      <c r="N44" s="14">
        <f t="shared" si="16"/>
        <v>0.93641618497109846</v>
      </c>
      <c r="O44" s="131"/>
    </row>
    <row r="45" spans="1:15" s="19" customFormat="1" ht="17.100000000000001" customHeight="1" x14ac:dyDescent="0.2">
      <c r="A45" s="18" t="s">
        <v>91</v>
      </c>
      <c r="B45" s="18" t="s">
        <v>53</v>
      </c>
      <c r="C45" s="18">
        <v>10406</v>
      </c>
      <c r="D45" s="18" t="s">
        <v>34</v>
      </c>
      <c r="E45" s="28" t="s">
        <v>172</v>
      </c>
      <c r="F45" s="18" t="s">
        <v>21</v>
      </c>
      <c r="G45" s="18">
        <v>1</v>
      </c>
      <c r="H45" s="62">
        <v>710.55</v>
      </c>
      <c r="I45" s="14">
        <f t="shared" si="27"/>
        <v>108.85625999999999</v>
      </c>
      <c r="J45" s="14">
        <f t="shared" si="28"/>
        <v>819.40625999999997</v>
      </c>
      <c r="K45" s="14">
        <f t="shared" si="29"/>
        <v>0.24582187799999997</v>
      </c>
      <c r="L45" s="14">
        <f t="shared" si="30"/>
        <v>819.16043812199996</v>
      </c>
      <c r="M45" s="14">
        <f t="shared" si="31"/>
        <v>819.16043812199996</v>
      </c>
      <c r="N45" s="14">
        <f t="shared" si="16"/>
        <v>12.183641975308639</v>
      </c>
      <c r="O45" s="131"/>
    </row>
    <row r="46" spans="1:15" s="19" customFormat="1" ht="17.100000000000001" customHeight="1" x14ac:dyDescent="0.2">
      <c r="A46" s="18" t="s">
        <v>92</v>
      </c>
      <c r="B46" s="18" t="s">
        <v>53</v>
      </c>
      <c r="C46" s="18">
        <v>4177</v>
      </c>
      <c r="D46" s="18" t="s">
        <v>34</v>
      </c>
      <c r="E46" s="28" t="s">
        <v>173</v>
      </c>
      <c r="F46" s="18" t="s">
        <v>21</v>
      </c>
      <c r="G46" s="18">
        <v>10</v>
      </c>
      <c r="H46" s="62">
        <v>5.87</v>
      </c>
      <c r="I46" s="14">
        <f t="shared" si="27"/>
        <v>0.89928400000000008</v>
      </c>
      <c r="J46" s="14">
        <f t="shared" si="28"/>
        <v>6.7692839999999999</v>
      </c>
      <c r="K46" s="14">
        <f t="shared" si="29"/>
        <v>2.0307851999999999E-3</v>
      </c>
      <c r="L46" s="14">
        <f t="shared" si="30"/>
        <v>6.7672532148000002</v>
      </c>
      <c r="M46" s="14">
        <f t="shared" si="31"/>
        <v>67.672532148000002</v>
      </c>
      <c r="N46" s="14">
        <f t="shared" si="16"/>
        <v>8.2612061079445506E-2</v>
      </c>
      <c r="O46" s="131"/>
    </row>
    <row r="47" spans="1:15" s="19" customFormat="1" ht="17.100000000000001" customHeight="1" x14ac:dyDescent="0.2">
      <c r="A47" s="18" t="s">
        <v>93</v>
      </c>
      <c r="B47" s="18" t="s">
        <v>53</v>
      </c>
      <c r="C47" s="18">
        <v>6138</v>
      </c>
      <c r="D47" s="18" t="s">
        <v>34</v>
      </c>
      <c r="E47" s="29" t="s">
        <v>174</v>
      </c>
      <c r="F47" s="18" t="s">
        <v>21</v>
      </c>
      <c r="G47" s="18">
        <v>10</v>
      </c>
      <c r="H47" s="63">
        <v>12.57</v>
      </c>
      <c r="I47" s="14">
        <f t="shared" si="27"/>
        <v>1.925724</v>
      </c>
      <c r="J47" s="14">
        <f t="shared" si="28"/>
        <v>14.495724000000001</v>
      </c>
      <c r="K47" s="14">
        <f t="shared" si="29"/>
        <v>4.3487172000000003E-3</v>
      </c>
      <c r="L47" s="14">
        <f t="shared" si="30"/>
        <v>14.491375282800002</v>
      </c>
      <c r="M47" s="14">
        <f t="shared" si="31"/>
        <v>144.91375282800001</v>
      </c>
      <c r="N47" s="14">
        <f t="shared" si="16"/>
        <v>2.1413969335604772</v>
      </c>
      <c r="O47" s="131"/>
    </row>
    <row r="48" spans="1:15" s="19" customFormat="1" ht="17.100000000000001" customHeight="1" x14ac:dyDescent="0.2">
      <c r="A48" s="18" t="s">
        <v>94</v>
      </c>
      <c r="B48" s="18" t="s">
        <v>53</v>
      </c>
      <c r="C48" s="18">
        <v>11830</v>
      </c>
      <c r="D48" s="18" t="s">
        <v>34</v>
      </c>
      <c r="E48" s="44" t="s">
        <v>175</v>
      </c>
      <c r="F48" s="18" t="s">
        <v>21</v>
      </c>
      <c r="G48" s="18">
        <v>15</v>
      </c>
      <c r="H48" s="63">
        <v>67.19</v>
      </c>
      <c r="I48" s="14">
        <f t="shared" si="27"/>
        <v>10.293507999999999</v>
      </c>
      <c r="J48" s="14">
        <f t="shared" si="28"/>
        <v>77.483508</v>
      </c>
      <c r="K48" s="14">
        <f t="shared" si="29"/>
        <v>2.3245052399999997E-2</v>
      </c>
      <c r="L48" s="14">
        <f t="shared" si="30"/>
        <v>77.4602629476</v>
      </c>
      <c r="M48" s="14">
        <f t="shared" si="31"/>
        <v>1161.9039442139999</v>
      </c>
      <c r="N48" s="14">
        <f t="shared" si="16"/>
        <v>8.0178997613365137</v>
      </c>
      <c r="O48" s="131"/>
    </row>
    <row r="49" spans="1:15" s="19" customFormat="1" ht="17.100000000000001" customHeight="1" x14ac:dyDescent="0.2">
      <c r="A49" s="18" t="s">
        <v>95</v>
      </c>
      <c r="B49" s="18" t="s">
        <v>53</v>
      </c>
      <c r="C49" s="18">
        <v>10228</v>
      </c>
      <c r="D49" s="18" t="s">
        <v>34</v>
      </c>
      <c r="E49" s="60" t="s">
        <v>176</v>
      </c>
      <c r="F49" s="18" t="s">
        <v>21</v>
      </c>
      <c r="G49" s="18">
        <v>10</v>
      </c>
      <c r="H49" s="63">
        <v>309.89999999999998</v>
      </c>
      <c r="I49" s="14">
        <f t="shared" si="27"/>
        <v>47.476679999999995</v>
      </c>
      <c r="J49" s="14">
        <f t="shared" si="28"/>
        <v>357.37667999999996</v>
      </c>
      <c r="K49" s="14">
        <f t="shared" si="29"/>
        <v>0.10721300399999999</v>
      </c>
      <c r="L49" s="14">
        <f t="shared" si="30"/>
        <v>357.26946699599995</v>
      </c>
      <c r="M49" s="14">
        <f t="shared" si="31"/>
        <v>3572.6946699599994</v>
      </c>
      <c r="N49" s="14">
        <f t="shared" si="16"/>
        <v>3.0748623307039735</v>
      </c>
      <c r="O49" s="131"/>
    </row>
    <row r="50" spans="1:15" s="19" customFormat="1" ht="17.100000000000001" customHeight="1" x14ac:dyDescent="0.2">
      <c r="A50" s="18" t="s">
        <v>96</v>
      </c>
      <c r="B50" s="18" t="s">
        <v>53</v>
      </c>
      <c r="C50" s="18">
        <v>4376</v>
      </c>
      <c r="D50" s="18" t="s">
        <v>34</v>
      </c>
      <c r="E50" s="43" t="s">
        <v>177</v>
      </c>
      <c r="F50" s="18" t="s">
        <v>21</v>
      </c>
      <c r="G50" s="18">
        <v>100</v>
      </c>
      <c r="H50" s="63">
        <v>0.17</v>
      </c>
      <c r="I50" s="14">
        <f t="shared" si="27"/>
        <v>2.6044000000000001E-2</v>
      </c>
      <c r="J50" s="14">
        <f t="shared" si="28"/>
        <v>0.19604400000000002</v>
      </c>
      <c r="K50" s="14">
        <f t="shared" si="29"/>
        <v>5.8813200000000001E-5</v>
      </c>
      <c r="L50" s="14">
        <f t="shared" si="30"/>
        <v>0.19598518680000002</v>
      </c>
      <c r="M50" s="14">
        <f t="shared" si="31"/>
        <v>19.598518680000002</v>
      </c>
      <c r="N50" s="14">
        <f t="shared" si="16"/>
        <v>5.4856405292029705E-3</v>
      </c>
      <c r="O50" s="131"/>
    </row>
    <row r="51" spans="1:15" s="19" customFormat="1" ht="17.100000000000001" customHeight="1" x14ac:dyDescent="0.2">
      <c r="A51" s="18" t="s">
        <v>97</v>
      </c>
      <c r="B51" s="18" t="s">
        <v>53</v>
      </c>
      <c r="C51" s="18">
        <v>11681</v>
      </c>
      <c r="D51" s="18" t="s">
        <v>34</v>
      </c>
      <c r="E51" s="44" t="s">
        <v>178</v>
      </c>
      <c r="F51" s="18" t="s">
        <v>21</v>
      </c>
      <c r="G51" s="18">
        <v>15</v>
      </c>
      <c r="H51" s="63">
        <v>8.24</v>
      </c>
      <c r="I51" s="14">
        <f t="shared" si="27"/>
        <v>1.2623680000000002</v>
      </c>
      <c r="J51" s="14">
        <f t="shared" si="28"/>
        <v>9.5023680000000006</v>
      </c>
      <c r="K51" s="14">
        <f t="shared" si="29"/>
        <v>2.8507103999999999E-3</v>
      </c>
      <c r="L51" s="14">
        <f t="shared" si="30"/>
        <v>9.4995172896</v>
      </c>
      <c r="M51" s="14">
        <f t="shared" si="31"/>
        <v>142.49275934400001</v>
      </c>
      <c r="N51" s="14">
        <f t="shared" si="16"/>
        <v>7.2705882352941176</v>
      </c>
      <c r="O51" s="131"/>
    </row>
    <row r="52" spans="1:15" s="19" customFormat="1" ht="17.100000000000001" customHeight="1" x14ac:dyDescent="0.2">
      <c r="A52" s="18" t="s">
        <v>111</v>
      </c>
      <c r="B52" s="18" t="s">
        <v>53</v>
      </c>
      <c r="C52" s="18">
        <v>3148</v>
      </c>
      <c r="D52" s="18" t="s">
        <v>34</v>
      </c>
      <c r="E52" s="43" t="s">
        <v>179</v>
      </c>
      <c r="F52" s="18" t="s">
        <v>21</v>
      </c>
      <c r="G52" s="18">
        <v>10</v>
      </c>
      <c r="H52" s="63">
        <v>8.77</v>
      </c>
      <c r="I52" s="14">
        <f t="shared" si="27"/>
        <v>1.343564</v>
      </c>
      <c r="J52" s="14">
        <f t="shared" si="28"/>
        <v>10.113564</v>
      </c>
      <c r="K52" s="14">
        <f t="shared" si="29"/>
        <v>3.0340692E-3</v>
      </c>
      <c r="L52" s="14">
        <f t="shared" si="30"/>
        <v>10.1105299308</v>
      </c>
      <c r="M52" s="14">
        <f t="shared" si="31"/>
        <v>101.105299308</v>
      </c>
      <c r="N52" s="14">
        <f t="shared" si="16"/>
        <v>0.70954692556634302</v>
      </c>
      <c r="O52" s="131"/>
    </row>
    <row r="53" spans="1:15" s="19" customFormat="1" ht="17.100000000000001" customHeight="1" x14ac:dyDescent="0.2">
      <c r="A53" s="18" t="s">
        <v>112</v>
      </c>
      <c r="B53" s="18" t="s">
        <v>53</v>
      </c>
      <c r="C53" s="18">
        <v>36791</v>
      </c>
      <c r="D53" s="18" t="s">
        <v>34</v>
      </c>
      <c r="E53" s="31" t="s">
        <v>145</v>
      </c>
      <c r="F53" s="18" t="s">
        <v>21</v>
      </c>
      <c r="G53" s="18">
        <v>15</v>
      </c>
      <c r="H53" s="64">
        <v>134.44</v>
      </c>
      <c r="I53" s="14">
        <f t="shared" si="27"/>
        <v>20.596208000000001</v>
      </c>
      <c r="J53" s="14">
        <f t="shared" si="28"/>
        <v>155.03620799999999</v>
      </c>
      <c r="K53" s="14">
        <f t="shared" si="29"/>
        <v>4.6510862399999992E-2</v>
      </c>
      <c r="L53" s="14">
        <f t="shared" si="30"/>
        <v>154.98969713759999</v>
      </c>
      <c r="M53" s="14">
        <f t="shared" si="31"/>
        <v>2324.8454570639997</v>
      </c>
      <c r="N53" s="14">
        <f t="shared" si="16"/>
        <v>22.994298745724056</v>
      </c>
      <c r="O53" s="131"/>
    </row>
    <row r="54" spans="1:15" s="19" customFormat="1" ht="17.100000000000001" customHeight="1" x14ac:dyDescent="0.2">
      <c r="A54" s="18" t="s">
        <v>113</v>
      </c>
      <c r="B54" s="18" t="s">
        <v>53</v>
      </c>
      <c r="C54" s="18">
        <v>65</v>
      </c>
      <c r="D54" s="18" t="s">
        <v>34</v>
      </c>
      <c r="E54" s="43" t="s">
        <v>146</v>
      </c>
      <c r="F54" s="18" t="s">
        <v>21</v>
      </c>
      <c r="G54" s="18">
        <v>10</v>
      </c>
      <c r="H54" s="63">
        <v>0.93</v>
      </c>
      <c r="I54" s="14">
        <f t="shared" si="27"/>
        <v>0.14247600000000002</v>
      </c>
      <c r="J54" s="14">
        <f t="shared" si="28"/>
        <v>1.072476</v>
      </c>
      <c r="K54" s="14">
        <f t="shared" si="29"/>
        <v>3.2174279999999997E-4</v>
      </c>
      <c r="L54" s="14">
        <f t="shared" si="30"/>
        <v>1.0721542572</v>
      </c>
      <c r="M54" s="14">
        <f t="shared" si="31"/>
        <v>10.721542572000001</v>
      </c>
      <c r="N54" s="14">
        <f t="shared" si="16"/>
        <v>4.6117227015769124E-3</v>
      </c>
      <c r="O54" s="131"/>
    </row>
    <row r="55" spans="1:15" s="19" customFormat="1" ht="17.100000000000001" customHeight="1" x14ac:dyDescent="0.2">
      <c r="A55" s="18" t="s">
        <v>115</v>
      </c>
      <c r="B55" s="18" t="s">
        <v>53</v>
      </c>
      <c r="C55" s="18">
        <v>108</v>
      </c>
      <c r="D55" s="18" t="s">
        <v>34</v>
      </c>
      <c r="E55" s="44" t="s">
        <v>180</v>
      </c>
      <c r="F55" s="18" t="s">
        <v>21</v>
      </c>
      <c r="G55" s="18">
        <v>10</v>
      </c>
      <c r="H55" s="63">
        <v>1.88</v>
      </c>
      <c r="I55" s="14">
        <f t="shared" si="27"/>
        <v>0.28801599999999999</v>
      </c>
      <c r="J55" s="14">
        <f t="shared" si="28"/>
        <v>2.1680159999999997</v>
      </c>
      <c r="K55" s="14">
        <f t="shared" si="29"/>
        <v>6.5040479999999988E-4</v>
      </c>
      <c r="L55" s="14">
        <f t="shared" si="30"/>
        <v>2.1673655951999997</v>
      </c>
      <c r="M55" s="14">
        <f t="shared" si="31"/>
        <v>21.673655951999997</v>
      </c>
      <c r="N55" s="14">
        <f t="shared" si="16"/>
        <v>2.0215053763440856</v>
      </c>
      <c r="O55" s="131"/>
    </row>
    <row r="56" spans="1:15" s="19" customFormat="1" ht="17.100000000000001" customHeight="1" x14ac:dyDescent="0.2">
      <c r="A56" s="18" t="s">
        <v>116</v>
      </c>
      <c r="B56" s="18" t="s">
        <v>53</v>
      </c>
      <c r="C56" s="18">
        <v>3522</v>
      </c>
      <c r="D56" s="18" t="s">
        <v>34</v>
      </c>
      <c r="E56" s="44" t="s">
        <v>181</v>
      </c>
      <c r="F56" s="18" t="s">
        <v>21</v>
      </c>
      <c r="G56" s="18">
        <v>10</v>
      </c>
      <c r="H56" s="63">
        <v>2.5499999999999998</v>
      </c>
      <c r="I56" s="14">
        <f t="shared" si="27"/>
        <v>0.39066000000000001</v>
      </c>
      <c r="J56" s="14">
        <f t="shared" si="28"/>
        <v>2.9406599999999998</v>
      </c>
      <c r="K56" s="14">
        <f t="shared" si="29"/>
        <v>8.8219799999999984E-4</v>
      </c>
      <c r="L56" s="14">
        <f t="shared" si="30"/>
        <v>2.9397778020000001</v>
      </c>
      <c r="M56" s="14">
        <f t="shared" si="31"/>
        <v>29.397778020000001</v>
      </c>
      <c r="N56" s="14">
        <f t="shared" si="16"/>
        <v>1.3563829787234045</v>
      </c>
      <c r="O56" s="131"/>
    </row>
    <row r="57" spans="1:15" s="19" customFormat="1" ht="17.100000000000001" customHeight="1" x14ac:dyDescent="0.2">
      <c r="A57" s="18" t="s">
        <v>117</v>
      </c>
      <c r="B57" s="18" t="s">
        <v>53</v>
      </c>
      <c r="C57" s="18">
        <v>3529</v>
      </c>
      <c r="D57" s="18" t="s">
        <v>34</v>
      </c>
      <c r="E57" s="44" t="s">
        <v>182</v>
      </c>
      <c r="F57" s="18" t="s">
        <v>21</v>
      </c>
      <c r="G57" s="18">
        <v>15</v>
      </c>
      <c r="H57" s="63">
        <v>0.76</v>
      </c>
      <c r="I57" s="14">
        <f t="shared" si="27"/>
        <v>0.11643200000000001</v>
      </c>
      <c r="J57" s="14">
        <f t="shared" si="28"/>
        <v>0.87643199999999999</v>
      </c>
      <c r="K57" s="14">
        <f t="shared" si="29"/>
        <v>2.6292959999999995E-4</v>
      </c>
      <c r="L57" s="14">
        <f t="shared" si="30"/>
        <v>0.87616907040000003</v>
      </c>
      <c r="M57" s="14">
        <f t="shared" si="31"/>
        <v>13.142536056000001</v>
      </c>
      <c r="N57" s="14">
        <f t="shared" si="16"/>
        <v>0.44705882352941179</v>
      </c>
      <c r="O57" s="131"/>
    </row>
    <row r="58" spans="1:15" s="19" customFormat="1" ht="17.100000000000001" customHeight="1" x14ac:dyDescent="0.2">
      <c r="A58" s="18" t="s">
        <v>118</v>
      </c>
      <c r="B58" s="18" t="s">
        <v>53</v>
      </c>
      <c r="C58" s="18">
        <v>3904</v>
      </c>
      <c r="D58" s="18" t="s">
        <v>34</v>
      </c>
      <c r="E58" s="44" t="s">
        <v>107</v>
      </c>
      <c r="F58" s="18" t="s">
        <v>21</v>
      </c>
      <c r="G58" s="18">
        <v>10</v>
      </c>
      <c r="H58" s="63">
        <v>0.86</v>
      </c>
      <c r="I58" s="14">
        <f t="shared" si="27"/>
        <v>0.13175200000000001</v>
      </c>
      <c r="J58" s="14">
        <f t="shared" si="28"/>
        <v>0.99175199999999997</v>
      </c>
      <c r="K58" s="14">
        <f t="shared" si="29"/>
        <v>2.9752559999999997E-4</v>
      </c>
      <c r="L58" s="14">
        <f t="shared" si="30"/>
        <v>0.99145447440000001</v>
      </c>
      <c r="M58" s="14">
        <f t="shared" si="31"/>
        <v>9.9145447440000005</v>
      </c>
      <c r="N58" s="14">
        <f t="shared" si="16"/>
        <v>0.75438596491228072</v>
      </c>
      <c r="O58" s="131"/>
    </row>
    <row r="59" spans="1:15" s="19" customFormat="1" ht="17.100000000000001" customHeight="1" x14ac:dyDescent="0.2">
      <c r="A59" s="18" t="s">
        <v>119</v>
      </c>
      <c r="B59" s="18" t="s">
        <v>53</v>
      </c>
      <c r="C59" s="18">
        <v>3870</v>
      </c>
      <c r="D59" s="18" t="s">
        <v>34</v>
      </c>
      <c r="E59" s="44" t="s">
        <v>183</v>
      </c>
      <c r="F59" s="18" t="s">
        <v>21</v>
      </c>
      <c r="G59" s="18">
        <v>10</v>
      </c>
      <c r="H59" s="63">
        <v>6.89</v>
      </c>
      <c r="I59" s="14">
        <f t="shared" si="27"/>
        <v>1.0555479999999999</v>
      </c>
      <c r="J59" s="14">
        <f t="shared" si="28"/>
        <v>7.9455479999999996</v>
      </c>
      <c r="K59" s="14">
        <f t="shared" si="29"/>
        <v>2.3836643999999999E-3</v>
      </c>
      <c r="L59" s="14">
        <f t="shared" si="30"/>
        <v>7.9431643355999997</v>
      </c>
      <c r="M59" s="14">
        <f t="shared" si="31"/>
        <v>79.431643355999995</v>
      </c>
      <c r="N59" s="14">
        <f t="shared" si="16"/>
        <v>8.0116279069767433</v>
      </c>
      <c r="O59" s="131"/>
    </row>
    <row r="60" spans="1:15" s="19" customFormat="1" ht="17.100000000000001" customHeight="1" x14ac:dyDescent="0.2">
      <c r="A60" s="18" t="s">
        <v>120</v>
      </c>
      <c r="B60" s="18" t="s">
        <v>53</v>
      </c>
      <c r="C60" s="18">
        <v>38678</v>
      </c>
      <c r="D60" s="18" t="s">
        <v>34</v>
      </c>
      <c r="E60" s="44" t="s">
        <v>184</v>
      </c>
      <c r="F60" s="18" t="s">
        <v>21</v>
      </c>
      <c r="G60" s="18">
        <v>10</v>
      </c>
      <c r="H60" s="63">
        <v>18.239999999999998</v>
      </c>
      <c r="I60" s="14">
        <f t="shared" si="27"/>
        <v>2.794368</v>
      </c>
      <c r="J60" s="14">
        <f t="shared" si="28"/>
        <v>21.034367999999997</v>
      </c>
      <c r="K60" s="14">
        <f t="shared" si="29"/>
        <v>6.3103103999999988E-3</v>
      </c>
      <c r="L60" s="14">
        <f t="shared" si="30"/>
        <v>21.028057689599997</v>
      </c>
      <c r="M60" s="14">
        <f t="shared" si="31"/>
        <v>210.28057689599996</v>
      </c>
      <c r="N60" s="14">
        <f t="shared" si="16"/>
        <v>2.6473149492017414</v>
      </c>
      <c r="O60" s="131"/>
    </row>
    <row r="61" spans="1:15" s="19" customFormat="1" ht="17.100000000000001" customHeight="1" x14ac:dyDescent="0.2">
      <c r="A61" s="18" t="s">
        <v>121</v>
      </c>
      <c r="B61" s="18" t="s">
        <v>53</v>
      </c>
      <c r="C61" s="18">
        <v>3869</v>
      </c>
      <c r="D61" s="18" t="s">
        <v>34</v>
      </c>
      <c r="E61" s="44" t="s">
        <v>185</v>
      </c>
      <c r="F61" s="18" t="s">
        <v>21</v>
      </c>
      <c r="G61" s="18">
        <v>3</v>
      </c>
      <c r="H61" s="63">
        <v>3.26</v>
      </c>
      <c r="I61" s="14">
        <f t="shared" si="27"/>
        <v>0.49943199999999999</v>
      </c>
      <c r="J61" s="14">
        <f t="shared" si="28"/>
        <v>3.7594319999999999</v>
      </c>
      <c r="K61" s="14">
        <f t="shared" si="29"/>
        <v>1.1278295999999999E-3</v>
      </c>
      <c r="L61" s="14">
        <f t="shared" si="30"/>
        <v>3.7583041703999998</v>
      </c>
      <c r="M61" s="14">
        <f t="shared" si="31"/>
        <v>11.2749125112</v>
      </c>
      <c r="N61" s="14">
        <f t="shared" si="16"/>
        <v>5.3618421052631593E-2</v>
      </c>
      <c r="O61" s="131"/>
    </row>
    <row r="62" spans="1:15" s="19" customFormat="1" ht="17.100000000000001" customHeight="1" x14ac:dyDescent="0.2">
      <c r="A62" s="18" t="s">
        <v>122</v>
      </c>
      <c r="B62" s="18" t="s">
        <v>53</v>
      </c>
      <c r="C62" s="18">
        <v>7139</v>
      </c>
      <c r="D62" s="18" t="s">
        <v>34</v>
      </c>
      <c r="E62" s="44" t="s">
        <v>186</v>
      </c>
      <c r="F62" s="18" t="s">
        <v>21</v>
      </c>
      <c r="G62" s="18">
        <v>10</v>
      </c>
      <c r="H62" s="63">
        <v>1.26</v>
      </c>
      <c r="I62" s="14">
        <f t="shared" si="27"/>
        <v>0.19303200000000001</v>
      </c>
      <c r="J62" s="14">
        <f t="shared" si="28"/>
        <v>1.4530320000000001</v>
      </c>
      <c r="K62" s="14">
        <f t="shared" si="29"/>
        <v>4.3590959999999999E-4</v>
      </c>
      <c r="L62" s="14">
        <f t="shared" si="30"/>
        <v>1.4525960904000002</v>
      </c>
      <c r="M62" s="14">
        <f t="shared" si="31"/>
        <v>14.525960904000002</v>
      </c>
      <c r="N62" s="14">
        <f t="shared" si="16"/>
        <v>1.2883435582822087</v>
      </c>
      <c r="O62" s="131"/>
    </row>
    <row r="63" spans="1:15" s="19" customFormat="1" ht="17.100000000000001" customHeight="1" x14ac:dyDescent="0.2">
      <c r="A63" s="18" t="s">
        <v>123</v>
      </c>
      <c r="B63" s="18" t="s">
        <v>53</v>
      </c>
      <c r="C63" s="18">
        <v>3826</v>
      </c>
      <c r="D63" s="18" t="s">
        <v>34</v>
      </c>
      <c r="E63" s="44" t="s">
        <v>187</v>
      </c>
      <c r="F63" s="18" t="s">
        <v>21</v>
      </c>
      <c r="G63" s="18">
        <v>5</v>
      </c>
      <c r="H63" s="63">
        <v>60.3</v>
      </c>
      <c r="I63" s="14">
        <f t="shared" si="27"/>
        <v>9.2379599999999993</v>
      </c>
      <c r="J63" s="14">
        <f t="shared" si="28"/>
        <v>69.537959999999998</v>
      </c>
      <c r="K63" s="14">
        <f t="shared" si="29"/>
        <v>2.0861387999999998E-2</v>
      </c>
      <c r="L63" s="14">
        <f t="shared" si="30"/>
        <v>69.517098611999998</v>
      </c>
      <c r="M63" s="14">
        <f t="shared" si="31"/>
        <v>347.58549305999998</v>
      </c>
      <c r="N63" s="14">
        <f t="shared" si="16"/>
        <v>23.928571428571423</v>
      </c>
      <c r="O63" s="131"/>
    </row>
    <row r="64" spans="1:15" s="19" customFormat="1" ht="17.100000000000001" customHeight="1" x14ac:dyDescent="0.2">
      <c r="A64" s="18" t="s">
        <v>124</v>
      </c>
      <c r="B64" s="18" t="s">
        <v>53</v>
      </c>
      <c r="C64" s="18">
        <v>1345</v>
      </c>
      <c r="D64" s="18" t="s">
        <v>34</v>
      </c>
      <c r="E64" s="44" t="s">
        <v>188</v>
      </c>
      <c r="F64" s="18" t="s">
        <v>21</v>
      </c>
      <c r="G64" s="18">
        <v>15</v>
      </c>
      <c r="H64" s="63">
        <v>73.19</v>
      </c>
      <c r="I64" s="14">
        <f t="shared" si="27"/>
        <v>11.212707999999999</v>
      </c>
      <c r="J64" s="14">
        <f t="shared" si="28"/>
        <v>84.40270799999999</v>
      </c>
      <c r="K64" s="14">
        <f t="shared" si="29"/>
        <v>2.5320812399999993E-2</v>
      </c>
      <c r="L64" s="14">
        <f t="shared" si="30"/>
        <v>84.377387187599993</v>
      </c>
      <c r="M64" s="14">
        <f t="shared" si="31"/>
        <v>1265.6608078139998</v>
      </c>
      <c r="N64" s="14">
        <f t="shared" si="16"/>
        <v>3.6412935323383082</v>
      </c>
      <c r="O64" s="131"/>
    </row>
    <row r="65" spans="1:15" s="19" customFormat="1" ht="17.100000000000001" customHeight="1" x14ac:dyDescent="0.2">
      <c r="A65" s="18" t="s">
        <v>147</v>
      </c>
      <c r="B65" s="18" t="s">
        <v>53</v>
      </c>
      <c r="C65" s="18">
        <v>7343</v>
      </c>
      <c r="D65" s="18" t="s">
        <v>34</v>
      </c>
      <c r="E65" s="44" t="s">
        <v>189</v>
      </c>
      <c r="F65" s="18" t="s">
        <v>110</v>
      </c>
      <c r="G65" s="18">
        <v>72</v>
      </c>
      <c r="H65" s="63">
        <v>17.93</v>
      </c>
      <c r="I65" s="14">
        <f t="shared" si="27"/>
        <v>2.7468759999999999</v>
      </c>
      <c r="J65" s="14">
        <f t="shared" si="28"/>
        <v>20.676876</v>
      </c>
      <c r="K65" s="14">
        <f t="shared" si="29"/>
        <v>6.203062799999999E-3</v>
      </c>
      <c r="L65" s="14">
        <f t="shared" si="30"/>
        <v>20.670672937199999</v>
      </c>
      <c r="M65" s="14">
        <f t="shared" si="31"/>
        <v>1488.2884514784</v>
      </c>
      <c r="N65" s="14">
        <f t="shared" si="16"/>
        <v>1.1758983467686845</v>
      </c>
      <c r="O65" s="131"/>
    </row>
    <row r="66" spans="1:15" s="19" customFormat="1" ht="17.100000000000001" customHeight="1" x14ac:dyDescent="0.2">
      <c r="A66" s="18" t="s">
        <v>125</v>
      </c>
      <c r="B66" s="18" t="s">
        <v>53</v>
      </c>
      <c r="C66" s="18">
        <v>1379</v>
      </c>
      <c r="D66" s="18" t="s">
        <v>34</v>
      </c>
      <c r="E66" s="29" t="s">
        <v>100</v>
      </c>
      <c r="F66" s="18" t="s">
        <v>21</v>
      </c>
      <c r="G66" s="18">
        <v>2000</v>
      </c>
      <c r="H66" s="63">
        <v>0.57999999999999996</v>
      </c>
      <c r="I66" s="14">
        <f t="shared" si="22"/>
        <v>8.8855999999999991E-2</v>
      </c>
      <c r="J66" s="14">
        <f t="shared" si="23"/>
        <v>0.6688559999999999</v>
      </c>
      <c r="K66" s="14">
        <f t="shared" si="24"/>
        <v>2.0065679999999996E-4</v>
      </c>
      <c r="L66" s="14">
        <f t="shared" si="25"/>
        <v>0.66865534319999986</v>
      </c>
      <c r="M66" s="14">
        <f t="shared" ref="M66:M67" si="32">L66*G66</f>
        <v>1337.3106863999997</v>
      </c>
      <c r="N66" s="14">
        <f t="shared" si="16"/>
        <v>0.89855611328003937</v>
      </c>
      <c r="O66" s="131"/>
    </row>
    <row r="67" spans="1:15" s="41" customFormat="1" ht="16.5" customHeight="1" x14ac:dyDescent="0.2">
      <c r="A67" s="18" t="s">
        <v>126</v>
      </c>
      <c r="B67" s="18" t="s">
        <v>53</v>
      </c>
      <c r="C67" s="39" t="s">
        <v>137</v>
      </c>
      <c r="D67" s="39" t="s">
        <v>138</v>
      </c>
      <c r="E67" s="40" t="s">
        <v>139</v>
      </c>
      <c r="F67" s="39" t="s">
        <v>136</v>
      </c>
      <c r="G67" s="39">
        <v>4</v>
      </c>
      <c r="H67" s="65">
        <v>406.4</v>
      </c>
      <c r="I67" s="20">
        <f t="shared" ref="I67" si="33">H67*0.2232</f>
        <v>90.708479999999994</v>
      </c>
      <c r="J67" s="20">
        <f t="shared" si="23"/>
        <v>497.10847999999999</v>
      </c>
      <c r="K67" s="20">
        <f t="shared" si="24"/>
        <v>0.14913254399999998</v>
      </c>
      <c r="L67" s="20">
        <f t="shared" si="25"/>
        <v>496.95934745599999</v>
      </c>
      <c r="M67" s="20">
        <f t="shared" si="32"/>
        <v>1987.837389824</v>
      </c>
      <c r="N67" s="14">
        <f t="shared" si="16"/>
        <v>1.4864439580417912</v>
      </c>
      <c r="O67" s="131"/>
    </row>
    <row r="68" spans="1:15" s="48" customFormat="1" ht="16.5" customHeight="1" x14ac:dyDescent="0.2">
      <c r="A68" s="45"/>
      <c r="B68" s="45"/>
      <c r="C68" s="45"/>
      <c r="D68" s="45"/>
      <c r="E68" s="49"/>
      <c r="F68" s="45"/>
      <c r="G68" s="45"/>
      <c r="H68" s="46"/>
      <c r="I68" s="47"/>
      <c r="J68" s="47"/>
      <c r="K68" s="47"/>
      <c r="L68" s="47"/>
      <c r="M68" s="47"/>
      <c r="N68" s="47"/>
      <c r="O68" s="131"/>
    </row>
    <row r="69" spans="1:15" s="19" customFormat="1" ht="17.100000000000001" customHeight="1" x14ac:dyDescent="0.2">
      <c r="A69" s="18"/>
      <c r="B69" s="18"/>
      <c r="C69" s="27"/>
      <c r="D69" s="18"/>
      <c r="E69" s="28"/>
      <c r="F69" s="18"/>
      <c r="G69" s="18"/>
      <c r="H69" s="33"/>
      <c r="I69" s="14"/>
      <c r="J69" s="14"/>
      <c r="K69" s="14"/>
      <c r="L69" s="14"/>
      <c r="M69" s="14"/>
      <c r="N69" s="14"/>
      <c r="O69" s="131"/>
    </row>
    <row r="70" spans="1:15" s="34" customFormat="1" ht="17.100000000000001" customHeight="1" x14ac:dyDescent="0.25">
      <c r="A70" s="140" t="s">
        <v>16</v>
      </c>
      <c r="B70" s="116" t="s">
        <v>17</v>
      </c>
      <c r="C70" s="116" t="s">
        <v>18</v>
      </c>
      <c r="D70" s="116" t="s">
        <v>19</v>
      </c>
      <c r="E70" s="116" t="s">
        <v>20</v>
      </c>
      <c r="F70" s="116" t="s">
        <v>21</v>
      </c>
      <c r="G70" s="116" t="s">
        <v>22</v>
      </c>
      <c r="H70" s="126" t="s">
        <v>23</v>
      </c>
      <c r="I70" s="126"/>
      <c r="J70" s="126"/>
      <c r="K70" s="126"/>
      <c r="L70" s="127"/>
      <c r="M70" s="116" t="s">
        <v>24</v>
      </c>
      <c r="N70" s="116" t="s">
        <v>25</v>
      </c>
      <c r="O70" s="82"/>
    </row>
    <row r="71" spans="1:15" s="34" customFormat="1" ht="17.100000000000001" customHeight="1" x14ac:dyDescent="0.25">
      <c r="A71" s="141"/>
      <c r="B71" s="117"/>
      <c r="C71" s="117"/>
      <c r="D71" s="117"/>
      <c r="E71" s="117"/>
      <c r="F71" s="117"/>
      <c r="G71" s="117"/>
      <c r="H71" s="4" t="s">
        <v>27</v>
      </c>
      <c r="I71" s="4" t="s">
        <v>28</v>
      </c>
      <c r="J71" s="4" t="s">
        <v>29</v>
      </c>
      <c r="K71" s="4" t="s">
        <v>57</v>
      </c>
      <c r="L71" s="4" t="s">
        <v>30</v>
      </c>
      <c r="M71" s="117"/>
      <c r="N71" s="117"/>
      <c r="O71" s="82"/>
    </row>
    <row r="72" spans="1:15" s="34" customFormat="1" ht="17.100000000000001" customHeight="1" x14ac:dyDescent="0.25">
      <c r="A72" s="35">
        <v>3</v>
      </c>
      <c r="B72" s="118" t="s">
        <v>38</v>
      </c>
      <c r="C72" s="119"/>
      <c r="D72" s="119"/>
      <c r="E72" s="119"/>
      <c r="F72" s="120"/>
      <c r="G72" s="36"/>
      <c r="H72" s="36"/>
      <c r="I72" s="36"/>
      <c r="J72" s="36"/>
      <c r="K72" s="36"/>
      <c r="L72" s="36"/>
      <c r="M72" s="37">
        <f>SUM(M73:M96)</f>
        <v>53235.154733778174</v>
      </c>
      <c r="N72" s="36"/>
      <c r="O72" s="82"/>
    </row>
    <row r="73" spans="1:15" s="34" customFormat="1" ht="26.25" customHeight="1" x14ac:dyDescent="0.25">
      <c r="A73" s="11" t="s">
        <v>101</v>
      </c>
      <c r="B73" s="11" t="s">
        <v>33</v>
      </c>
      <c r="C73" s="11" t="s">
        <v>62</v>
      </c>
      <c r="D73" s="11" t="s">
        <v>34</v>
      </c>
      <c r="E73" s="24" t="s">
        <v>63</v>
      </c>
      <c r="F73" s="13" t="s">
        <v>35</v>
      </c>
      <c r="G73" s="11">
        <v>180</v>
      </c>
      <c r="H73" s="62">
        <v>31.59</v>
      </c>
      <c r="I73" s="14">
        <f>H73*0.2232</f>
        <v>7.0508880000000005</v>
      </c>
      <c r="J73" s="14">
        <f>H73+I73</f>
        <v>38.640888000000004</v>
      </c>
      <c r="K73" s="14">
        <f>J73*(0.03%)</f>
        <v>1.1592266400000001E-2</v>
      </c>
      <c r="L73" s="14">
        <f>J73-K73</f>
        <v>38.629295733600003</v>
      </c>
      <c r="M73" s="14">
        <f>L73*G73</f>
        <v>6953.2732320480009</v>
      </c>
      <c r="N73" s="14">
        <f>M73/M$16</f>
        <v>8.4186395092428576E-2</v>
      </c>
      <c r="O73" s="131"/>
    </row>
    <row r="74" spans="1:15" s="38" customFormat="1" ht="23.25" customHeight="1" x14ac:dyDescent="0.2">
      <c r="A74" s="11" t="s">
        <v>141</v>
      </c>
      <c r="B74" s="11" t="s">
        <v>33</v>
      </c>
      <c r="C74" s="11" t="s">
        <v>64</v>
      </c>
      <c r="D74" s="11" t="s">
        <v>34</v>
      </c>
      <c r="E74" s="24" t="s">
        <v>65</v>
      </c>
      <c r="F74" s="13" t="s">
        <v>35</v>
      </c>
      <c r="G74" s="11">
        <v>180</v>
      </c>
      <c r="H74" s="62">
        <v>27.2</v>
      </c>
      <c r="I74" s="14">
        <f t="shared" ref="I74" si="34">H74*0.2232</f>
        <v>6.07104</v>
      </c>
      <c r="J74" s="14">
        <f t="shared" ref="J74" si="35">H74+I74</f>
        <v>33.271039999999999</v>
      </c>
      <c r="K74" s="14">
        <f t="shared" ref="K74" si="36">J74*(0.03%)</f>
        <v>9.9813119999999991E-3</v>
      </c>
      <c r="L74" s="14">
        <f t="shared" ref="L74" si="37">J74-K74</f>
        <v>33.261058687999999</v>
      </c>
      <c r="M74" s="14">
        <f t="shared" ref="M74" si="38">L74*G74</f>
        <v>5986.9905638399996</v>
      </c>
      <c r="N74" s="14"/>
      <c r="O74" s="131"/>
    </row>
    <row r="75" spans="1:15" s="34" customFormat="1" ht="26.25" customHeight="1" x14ac:dyDescent="0.25">
      <c r="A75" s="11" t="s">
        <v>102</v>
      </c>
      <c r="B75" s="11" t="s">
        <v>33</v>
      </c>
      <c r="C75" s="11">
        <v>88310</v>
      </c>
      <c r="D75" s="11" t="s">
        <v>34</v>
      </c>
      <c r="E75" s="24" t="s">
        <v>104</v>
      </c>
      <c r="F75" s="13" t="s">
        <v>35</v>
      </c>
      <c r="G75" s="11">
        <v>172</v>
      </c>
      <c r="H75" s="62">
        <v>36.42</v>
      </c>
      <c r="I75" s="14">
        <f>H75*0.2232</f>
        <v>8.1289440000000006</v>
      </c>
      <c r="J75" s="14">
        <f>H75+I75</f>
        <v>44.548944000000006</v>
      </c>
      <c r="K75" s="14">
        <f>J75*(0.03%)</f>
        <v>1.3364683200000001E-2</v>
      </c>
      <c r="L75" s="14">
        <f>J75-K75</f>
        <v>44.535579316800003</v>
      </c>
      <c r="M75" s="14">
        <f>L75*G75</f>
        <v>7660.1196424896007</v>
      </c>
      <c r="N75" s="14">
        <f>M75/M$16</f>
        <v>9.274450135306439E-2</v>
      </c>
      <c r="O75" s="131"/>
    </row>
    <row r="76" spans="1:15" s="38" customFormat="1" ht="23.25" customHeight="1" x14ac:dyDescent="0.2">
      <c r="A76" s="11" t="s">
        <v>103</v>
      </c>
      <c r="B76" s="11" t="s">
        <v>33</v>
      </c>
      <c r="C76" s="39">
        <v>93588</v>
      </c>
      <c r="D76" s="39" t="s">
        <v>34</v>
      </c>
      <c r="E76" s="61" t="s">
        <v>190</v>
      </c>
      <c r="F76" s="39" t="s">
        <v>191</v>
      </c>
      <c r="G76" s="39">
        <f>10*34</f>
        <v>340</v>
      </c>
      <c r="H76" s="65">
        <v>2.97</v>
      </c>
      <c r="I76" s="20">
        <f>H76*0.2232</f>
        <v>0.66290400000000005</v>
      </c>
      <c r="J76" s="20">
        <f>H76+I76</f>
        <v>3.6329040000000004</v>
      </c>
      <c r="K76" s="20">
        <f>J76*(0.03%)</f>
        <v>1.0898711999999999E-3</v>
      </c>
      <c r="L76" s="20">
        <f>J76-K76</f>
        <v>3.6318141288000003</v>
      </c>
      <c r="M76" s="20">
        <f>L76*G76</f>
        <v>1234.8168037920002</v>
      </c>
      <c r="N76" s="14">
        <f>M76/M$16</f>
        <v>1.4950480420022928E-2</v>
      </c>
      <c r="O76" s="131"/>
    </row>
    <row r="77" spans="1:15" s="38" customFormat="1" ht="23.25" customHeight="1" x14ac:dyDescent="0.2">
      <c r="A77" s="128" t="s">
        <v>194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30"/>
      <c r="O77" s="131"/>
    </row>
    <row r="78" spans="1:15" s="38" customFormat="1" ht="33" customHeight="1" x14ac:dyDescent="0.2">
      <c r="A78" s="11" t="s">
        <v>127</v>
      </c>
      <c r="B78" s="11" t="s">
        <v>33</v>
      </c>
      <c r="C78" s="39">
        <v>92106</v>
      </c>
      <c r="D78" s="39" t="s">
        <v>34</v>
      </c>
      <c r="E78" s="40" t="s">
        <v>192</v>
      </c>
      <c r="F78" s="39" t="s">
        <v>193</v>
      </c>
      <c r="G78" s="39">
        <v>2.5</v>
      </c>
      <c r="H78" s="66">
        <v>309.27</v>
      </c>
      <c r="I78" s="20">
        <f t="shared" ref="I78" si="39">H78*0.2232</f>
        <v>69.029064000000005</v>
      </c>
      <c r="J78" s="20">
        <f t="shared" ref="J78" si="40">H78+I78</f>
        <v>378.29906399999999</v>
      </c>
      <c r="K78" s="20">
        <f t="shared" ref="K78" si="41">J78*(0.03%)</f>
        <v>0.11348971919999999</v>
      </c>
      <c r="L78" s="20">
        <f t="shared" ref="L78" si="42">J78-K78</f>
        <v>378.18557428079998</v>
      </c>
      <c r="M78" s="20">
        <f t="shared" ref="M78" si="43">L78*G78</f>
        <v>945.46393570199996</v>
      </c>
      <c r="N78" s="20">
        <f>M78/M56</f>
        <v>32.161067923527369</v>
      </c>
      <c r="O78" s="131"/>
    </row>
    <row r="79" spans="1:15" s="38" customFormat="1" ht="23.25" customHeight="1" x14ac:dyDescent="0.2">
      <c r="A79" s="128" t="s">
        <v>195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30"/>
      <c r="O79" s="131"/>
    </row>
    <row r="80" spans="1:15" s="38" customFormat="1" ht="23.25" customHeight="1" x14ac:dyDescent="0.2">
      <c r="A80" s="50" t="s">
        <v>129</v>
      </c>
      <c r="B80" s="11" t="s">
        <v>33</v>
      </c>
      <c r="C80" s="51">
        <v>88488</v>
      </c>
      <c r="D80" s="51" t="s">
        <v>34</v>
      </c>
      <c r="E80" s="52" t="s">
        <v>148</v>
      </c>
      <c r="F80" s="51" t="s">
        <v>128</v>
      </c>
      <c r="G80" s="51">
        <v>42</v>
      </c>
      <c r="H80" s="67">
        <v>16.93</v>
      </c>
      <c r="I80" s="20">
        <f t="shared" ref="I80:I84" si="44">H80*0.2232</f>
        <v>3.7787760000000001</v>
      </c>
      <c r="J80" s="20">
        <f t="shared" ref="J80:J84" si="45">H80+I80</f>
        <v>20.708776</v>
      </c>
      <c r="K80" s="20">
        <f t="shared" ref="K80:K84" si="46">J80*(0.03%)</f>
        <v>6.2126327999999995E-3</v>
      </c>
      <c r="L80" s="20">
        <f t="shared" ref="L80:L84" si="47">J80-K80</f>
        <v>20.7025633672</v>
      </c>
      <c r="M80" s="20">
        <f t="shared" ref="M80:M84" si="48">L80*G80</f>
        <v>869.50766142240002</v>
      </c>
      <c r="N80" s="14">
        <f t="shared" ref="N80:N84" si="49">M80/M$16</f>
        <v>1.052751892202565E-2</v>
      </c>
      <c r="O80" s="131"/>
    </row>
    <row r="81" spans="1:15" s="38" customFormat="1" ht="23.25" customHeight="1" x14ac:dyDescent="0.2">
      <c r="A81" s="50" t="s">
        <v>130</v>
      </c>
      <c r="B81" s="11" t="s">
        <v>33</v>
      </c>
      <c r="C81" s="51" t="s">
        <v>149</v>
      </c>
      <c r="D81" s="51" t="s">
        <v>34</v>
      </c>
      <c r="E81" s="52" t="s">
        <v>150</v>
      </c>
      <c r="F81" s="51" t="s">
        <v>128</v>
      </c>
      <c r="G81" s="51">
        <v>152</v>
      </c>
      <c r="H81" s="67">
        <v>14.03</v>
      </c>
      <c r="I81" s="20">
        <f t="shared" si="44"/>
        <v>3.1314959999999998</v>
      </c>
      <c r="J81" s="20">
        <f t="shared" si="45"/>
        <v>17.161496</v>
      </c>
      <c r="K81" s="20">
        <f t="shared" si="46"/>
        <v>5.1484487999999993E-3</v>
      </c>
      <c r="L81" s="20">
        <f t="shared" si="47"/>
        <v>17.1563475512</v>
      </c>
      <c r="M81" s="20">
        <f t="shared" si="48"/>
        <v>2607.7648277824001</v>
      </c>
      <c r="N81" s="14">
        <f t="shared" si="49"/>
        <v>3.1573377425751725E-2</v>
      </c>
      <c r="O81" s="131"/>
    </row>
    <row r="82" spans="1:15" s="38" customFormat="1" ht="23.25" customHeight="1" x14ac:dyDescent="0.2">
      <c r="A82" s="50" t="s">
        <v>132</v>
      </c>
      <c r="B82" s="11" t="s">
        <v>33</v>
      </c>
      <c r="C82" s="51">
        <v>100746</v>
      </c>
      <c r="D82" s="51" t="s">
        <v>34</v>
      </c>
      <c r="E82" s="52" t="s">
        <v>131</v>
      </c>
      <c r="F82" s="51" t="s">
        <v>128</v>
      </c>
      <c r="G82" s="51">
        <v>26</v>
      </c>
      <c r="H82" s="67">
        <v>30.1</v>
      </c>
      <c r="I82" s="20">
        <f t="shared" si="44"/>
        <v>6.7183200000000003</v>
      </c>
      <c r="J82" s="20">
        <f t="shared" si="45"/>
        <v>36.81832</v>
      </c>
      <c r="K82" s="20">
        <f t="shared" si="46"/>
        <v>1.1045495999999998E-2</v>
      </c>
      <c r="L82" s="20">
        <f t="shared" si="47"/>
        <v>36.807274503999999</v>
      </c>
      <c r="M82" s="20">
        <f t="shared" si="48"/>
        <v>956.98913710399995</v>
      </c>
      <c r="N82" s="14">
        <f t="shared" si="49"/>
        <v>1.1586696352455874E-2</v>
      </c>
      <c r="O82" s="131"/>
    </row>
    <row r="83" spans="1:15" s="38" customFormat="1" ht="23.25" customHeight="1" x14ac:dyDescent="0.2">
      <c r="A83" s="50" t="s">
        <v>153</v>
      </c>
      <c r="B83" s="11" t="s">
        <v>33</v>
      </c>
      <c r="C83" s="51">
        <v>95305</v>
      </c>
      <c r="D83" s="51" t="s">
        <v>34</v>
      </c>
      <c r="E83" s="52" t="s">
        <v>196</v>
      </c>
      <c r="F83" s="51" t="s">
        <v>128</v>
      </c>
      <c r="G83" s="51">
        <v>106</v>
      </c>
      <c r="H83" s="67">
        <v>14.66</v>
      </c>
      <c r="I83" s="20">
        <f t="shared" ref="I83" si="50">H83*0.2232</f>
        <v>3.2721120000000004</v>
      </c>
      <c r="J83" s="20">
        <f t="shared" ref="J83" si="51">H83+I83</f>
        <v>17.932112</v>
      </c>
      <c r="K83" s="20">
        <f t="shared" ref="K83" si="52">J83*(0.03%)</f>
        <v>5.3796335999999993E-3</v>
      </c>
      <c r="L83" s="20">
        <f t="shared" ref="L83" si="53">J83-K83</f>
        <v>17.9267323664</v>
      </c>
      <c r="M83" s="20">
        <f t="shared" ref="M83" si="54">L83*G83</f>
        <v>1900.2336308383999</v>
      </c>
      <c r="N83" s="14">
        <f t="shared" ref="N83" si="55">M83/M$16</f>
        <v>2.3006980148047956E-2</v>
      </c>
      <c r="O83" s="131"/>
    </row>
    <row r="84" spans="1:15" s="38" customFormat="1" ht="23.25" customHeight="1" x14ac:dyDescent="0.2">
      <c r="A84" s="50" t="s">
        <v>154</v>
      </c>
      <c r="B84" s="11" t="s">
        <v>33</v>
      </c>
      <c r="C84" s="51">
        <v>88485</v>
      </c>
      <c r="D84" s="53" t="s">
        <v>34</v>
      </c>
      <c r="E84" s="52" t="s">
        <v>151</v>
      </c>
      <c r="F84" s="51" t="s">
        <v>128</v>
      </c>
      <c r="G84" s="51">
        <v>106</v>
      </c>
      <c r="H84" s="67">
        <v>4.84</v>
      </c>
      <c r="I84" s="20">
        <f t="shared" si="44"/>
        <v>1.0802879999999999</v>
      </c>
      <c r="J84" s="20">
        <f t="shared" si="45"/>
        <v>5.9202879999999993</v>
      </c>
      <c r="K84" s="20">
        <f t="shared" si="46"/>
        <v>1.7760863999999996E-3</v>
      </c>
      <c r="L84" s="20">
        <f t="shared" si="47"/>
        <v>5.9185119135999997</v>
      </c>
      <c r="M84" s="20">
        <f t="shared" si="48"/>
        <v>627.3622628416</v>
      </c>
      <c r="N84" s="14">
        <f t="shared" si="49"/>
        <v>7.5957560652491207E-3</v>
      </c>
      <c r="O84" s="131"/>
    </row>
    <row r="85" spans="1:15" s="38" customFormat="1" ht="23.25" customHeight="1" x14ac:dyDescent="0.2">
      <c r="A85" s="50" t="s">
        <v>155</v>
      </c>
      <c r="B85" s="11" t="s">
        <v>33</v>
      </c>
      <c r="C85" s="51">
        <v>99814</v>
      </c>
      <c r="D85" s="53" t="s">
        <v>34</v>
      </c>
      <c r="E85" s="52" t="s">
        <v>152</v>
      </c>
      <c r="F85" s="51" t="s">
        <v>128</v>
      </c>
      <c r="G85" s="51">
        <v>106</v>
      </c>
      <c r="H85" s="67">
        <v>2.4300000000000002</v>
      </c>
      <c r="I85" s="20">
        <f>H85*0.2232</f>
        <v>0.54237600000000008</v>
      </c>
      <c r="J85" s="20">
        <f>H85+I85</f>
        <v>2.9723760000000001</v>
      </c>
      <c r="K85" s="20">
        <f>J85*(0.03%)</f>
        <v>8.9171279999999996E-4</v>
      </c>
      <c r="L85" s="20">
        <f>J85-K85</f>
        <v>2.9714842872</v>
      </c>
      <c r="M85" s="20">
        <f>L85*G85</f>
        <v>314.97733444319999</v>
      </c>
      <c r="N85" s="14">
        <f t="shared" ref="N85" si="56">M85/M$16</f>
        <v>3.8135717435031739E-3</v>
      </c>
      <c r="O85" s="131"/>
    </row>
    <row r="86" spans="1:15" s="38" customFormat="1" ht="23.25" customHeight="1" x14ac:dyDescent="0.2">
      <c r="A86" s="128" t="s">
        <v>197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30"/>
      <c r="O86" s="131"/>
    </row>
    <row r="87" spans="1:15" s="38" customFormat="1" ht="23.25" customHeight="1" x14ac:dyDescent="0.2">
      <c r="A87" s="50" t="s">
        <v>160</v>
      </c>
      <c r="B87" s="11" t="s">
        <v>33</v>
      </c>
      <c r="C87" s="54">
        <v>100327</v>
      </c>
      <c r="D87" s="55" t="s">
        <v>34</v>
      </c>
      <c r="E87" s="56" t="s">
        <v>156</v>
      </c>
      <c r="F87" s="55" t="s">
        <v>136</v>
      </c>
      <c r="G87" s="55">
        <v>26.4</v>
      </c>
      <c r="H87" s="68">
        <v>58.86</v>
      </c>
      <c r="I87" s="20">
        <f t="shared" ref="I87:I88" si="57">H87*0.2232</f>
        <v>13.137552000000001</v>
      </c>
      <c r="J87" s="20">
        <f t="shared" ref="J87:J88" si="58">H87+I87</f>
        <v>71.997551999999999</v>
      </c>
      <c r="K87" s="20">
        <f t="shared" ref="K87:K88" si="59">J87*(0.03%)</f>
        <v>2.1599265599999997E-2</v>
      </c>
      <c r="L87" s="20">
        <f t="shared" ref="L87:L88" si="60">J87-K87</f>
        <v>71.975952734399996</v>
      </c>
      <c r="M87" s="20">
        <f t="shared" ref="M87:M88" si="61">L87*G87</f>
        <v>1900.1651521881597</v>
      </c>
      <c r="N87" s="14">
        <f t="shared" ref="N87:N88" si="62">M87/M$16</f>
        <v>2.3006151046341156E-2</v>
      </c>
      <c r="O87" s="131"/>
    </row>
    <row r="88" spans="1:15" s="38" customFormat="1" ht="23.25" customHeight="1" x14ac:dyDescent="0.2">
      <c r="A88" s="50" t="s">
        <v>161</v>
      </c>
      <c r="B88" s="11" t="s">
        <v>33</v>
      </c>
      <c r="C88" s="55">
        <v>94228</v>
      </c>
      <c r="D88" s="55" t="s">
        <v>34</v>
      </c>
      <c r="E88" s="58" t="s">
        <v>157</v>
      </c>
      <c r="F88" s="55" t="s">
        <v>136</v>
      </c>
      <c r="G88" s="55">
        <v>21.2</v>
      </c>
      <c r="H88" s="68">
        <v>87.42</v>
      </c>
      <c r="I88" s="20">
        <f t="shared" si="57"/>
        <v>19.512144000000003</v>
      </c>
      <c r="J88" s="20">
        <f t="shared" si="58"/>
        <v>106.93214400000001</v>
      </c>
      <c r="K88" s="20">
        <f t="shared" si="59"/>
        <v>3.2079643200000001E-2</v>
      </c>
      <c r="L88" s="20">
        <f t="shared" si="60"/>
        <v>106.9000643568</v>
      </c>
      <c r="M88" s="20">
        <f t="shared" si="61"/>
        <v>2266.2813643641598</v>
      </c>
      <c r="N88" s="14">
        <f t="shared" si="62"/>
        <v>2.7438884100168513E-2</v>
      </c>
      <c r="O88" s="131"/>
    </row>
    <row r="89" spans="1:15" s="38" customFormat="1" ht="23.25" customHeight="1" x14ac:dyDescent="0.2">
      <c r="A89" s="128" t="s">
        <v>198</v>
      </c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30"/>
      <c r="O89" s="131"/>
    </row>
    <row r="90" spans="1:15" s="38" customFormat="1" ht="23.25" customHeight="1" x14ac:dyDescent="0.2">
      <c r="A90" s="50" t="s">
        <v>160</v>
      </c>
      <c r="B90" s="11" t="s">
        <v>33</v>
      </c>
      <c r="C90" s="54">
        <v>100327</v>
      </c>
      <c r="D90" s="55" t="s">
        <v>34</v>
      </c>
      <c r="E90" s="56" t="s">
        <v>156</v>
      </c>
      <c r="F90" s="55" t="s">
        <v>136</v>
      </c>
      <c r="G90" s="55">
        <v>10</v>
      </c>
      <c r="H90" s="68">
        <v>58.86</v>
      </c>
      <c r="I90" s="20">
        <f t="shared" ref="I90:I91" si="63">H90*0.2232</f>
        <v>13.137552000000001</v>
      </c>
      <c r="J90" s="20">
        <f t="shared" ref="J90:J91" si="64">H90+I90</f>
        <v>71.997551999999999</v>
      </c>
      <c r="K90" s="20">
        <f t="shared" ref="K90:K91" si="65">J90*(0.03%)</f>
        <v>2.1599265599999997E-2</v>
      </c>
      <c r="L90" s="20">
        <f t="shared" ref="L90:L91" si="66">J90-K90</f>
        <v>71.975952734399996</v>
      </c>
      <c r="M90" s="20">
        <f t="shared" ref="M90:M91" si="67">L90*G90</f>
        <v>719.75952734399993</v>
      </c>
      <c r="N90" s="14">
        <f t="shared" ref="N90:N92" si="68">M90/M$16</f>
        <v>8.7144511539171063E-3</v>
      </c>
      <c r="O90" s="131"/>
    </row>
    <row r="91" spans="1:15" s="38" customFormat="1" ht="23.25" customHeight="1" x14ac:dyDescent="0.2">
      <c r="A91" s="50" t="s">
        <v>162</v>
      </c>
      <c r="B91" s="11" t="s">
        <v>33</v>
      </c>
      <c r="C91" s="55">
        <v>94228</v>
      </c>
      <c r="D91" s="55" t="s">
        <v>34</v>
      </c>
      <c r="E91" s="58" t="s">
        <v>157</v>
      </c>
      <c r="F91" s="55" t="s">
        <v>136</v>
      </c>
      <c r="G91" s="55">
        <v>124.8</v>
      </c>
      <c r="H91" s="68">
        <v>87.42</v>
      </c>
      <c r="I91" s="20">
        <f t="shared" si="63"/>
        <v>19.512144000000003</v>
      </c>
      <c r="J91" s="20">
        <f t="shared" si="64"/>
        <v>106.93214400000001</v>
      </c>
      <c r="K91" s="20">
        <f t="shared" si="65"/>
        <v>3.2079643200000001E-2</v>
      </c>
      <c r="L91" s="20">
        <f t="shared" si="66"/>
        <v>106.9000643568</v>
      </c>
      <c r="M91" s="20">
        <f t="shared" si="67"/>
        <v>13341.12803172864</v>
      </c>
      <c r="N91" s="14">
        <f t="shared" si="68"/>
        <v>0.1615270158349543</v>
      </c>
      <c r="O91" s="131"/>
    </row>
    <row r="92" spans="1:15" s="38" customFormat="1" ht="23.25" customHeight="1" x14ac:dyDescent="0.2">
      <c r="A92" s="11" t="s">
        <v>163</v>
      </c>
      <c r="B92" s="11" t="s">
        <v>33</v>
      </c>
      <c r="C92" s="55">
        <v>88323</v>
      </c>
      <c r="D92" s="55" t="s">
        <v>34</v>
      </c>
      <c r="E92" s="59" t="s">
        <v>158</v>
      </c>
      <c r="F92" s="57" t="s">
        <v>159</v>
      </c>
      <c r="G92" s="57">
        <v>16</v>
      </c>
      <c r="H92" s="69">
        <v>31.18</v>
      </c>
      <c r="I92" s="20">
        <f>H92*0.2232</f>
        <v>6.9593760000000007</v>
      </c>
      <c r="J92" s="20">
        <f>H92+I92</f>
        <v>38.139375999999999</v>
      </c>
      <c r="K92" s="20">
        <f>J92*(0.03%)</f>
        <v>1.1441812799999999E-2</v>
      </c>
      <c r="L92" s="20">
        <f>J92-K92</f>
        <v>38.127934187199997</v>
      </c>
      <c r="M92" s="20">
        <f>L92*G92</f>
        <v>610.04694699519996</v>
      </c>
      <c r="N92" s="14">
        <f t="shared" si="68"/>
        <v>7.3861117765310321E-3</v>
      </c>
      <c r="O92" s="131"/>
    </row>
    <row r="93" spans="1:15" s="38" customFormat="1" ht="23.25" customHeight="1" x14ac:dyDescent="0.2">
      <c r="A93" s="128" t="s">
        <v>199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30"/>
      <c r="O93" s="131"/>
    </row>
    <row r="94" spans="1:15" s="38" customFormat="1" ht="23.25" customHeight="1" x14ac:dyDescent="0.2">
      <c r="A94" s="50" t="s">
        <v>153</v>
      </c>
      <c r="B94" s="11" t="s">
        <v>33</v>
      </c>
      <c r="C94" s="51">
        <v>88488</v>
      </c>
      <c r="D94" s="51" t="s">
        <v>34</v>
      </c>
      <c r="E94" s="52" t="s">
        <v>148</v>
      </c>
      <c r="F94" s="51" t="s">
        <v>128</v>
      </c>
      <c r="G94" s="51">
        <v>60</v>
      </c>
      <c r="H94" s="67">
        <v>16.93</v>
      </c>
      <c r="I94" s="20">
        <f t="shared" ref="I94:I95" si="69">H94*0.2232</f>
        <v>3.7787760000000001</v>
      </c>
      <c r="J94" s="20">
        <f t="shared" ref="J94:J95" si="70">H94+I94</f>
        <v>20.708776</v>
      </c>
      <c r="K94" s="20">
        <f t="shared" ref="K94:K95" si="71">J94*(0.03%)</f>
        <v>6.2126327999999995E-3</v>
      </c>
      <c r="L94" s="20">
        <f t="shared" ref="L94:L95" si="72">J94-K94</f>
        <v>20.7025633672</v>
      </c>
      <c r="M94" s="20">
        <f t="shared" ref="M94:M95" si="73">L94*G94</f>
        <v>1242.1538020319999</v>
      </c>
      <c r="N94" s="14">
        <f t="shared" ref="N94:N95" si="74">M94/M$16</f>
        <v>1.5039312745750927E-2</v>
      </c>
      <c r="O94" s="131"/>
    </row>
    <row r="95" spans="1:15" s="38" customFormat="1" ht="23.25" customHeight="1" x14ac:dyDescent="0.2">
      <c r="A95" s="50" t="s">
        <v>154</v>
      </c>
      <c r="B95" s="11" t="s">
        <v>33</v>
      </c>
      <c r="C95" s="51" t="s">
        <v>149</v>
      </c>
      <c r="D95" s="51" t="s">
        <v>34</v>
      </c>
      <c r="E95" s="52" t="s">
        <v>150</v>
      </c>
      <c r="F95" s="51" t="s">
        <v>128</v>
      </c>
      <c r="G95" s="51">
        <v>172</v>
      </c>
      <c r="H95" s="67">
        <v>14.03</v>
      </c>
      <c r="I95" s="20">
        <f t="shared" si="69"/>
        <v>3.1314959999999998</v>
      </c>
      <c r="J95" s="20">
        <f t="shared" si="70"/>
        <v>17.161496</v>
      </c>
      <c r="K95" s="20">
        <f t="shared" si="71"/>
        <v>5.1484487999999993E-3</v>
      </c>
      <c r="L95" s="20">
        <f t="shared" si="72"/>
        <v>17.1563475512</v>
      </c>
      <c r="M95" s="20">
        <f t="shared" si="73"/>
        <v>2950.8917788064</v>
      </c>
      <c r="N95" s="14">
        <f t="shared" si="74"/>
        <v>3.5727769192298003E-2</v>
      </c>
      <c r="O95" s="131"/>
    </row>
    <row r="96" spans="1:15" s="38" customFormat="1" ht="23.25" customHeight="1" x14ac:dyDescent="0.2">
      <c r="A96" s="11" t="s">
        <v>155</v>
      </c>
      <c r="B96" s="11" t="s">
        <v>33</v>
      </c>
      <c r="C96" s="51">
        <v>100746</v>
      </c>
      <c r="D96" s="51" t="s">
        <v>34</v>
      </c>
      <c r="E96" s="52" t="s">
        <v>131</v>
      </c>
      <c r="F96" s="51" t="s">
        <v>128</v>
      </c>
      <c r="G96" s="51">
        <v>4</v>
      </c>
      <c r="H96" s="67">
        <v>30.1</v>
      </c>
      <c r="I96" s="20">
        <f>H96*0.2232</f>
        <v>6.7183200000000003</v>
      </c>
      <c r="J96" s="20">
        <f>H96+I96</f>
        <v>36.81832</v>
      </c>
      <c r="K96" s="20">
        <f>J96*(0.03%)</f>
        <v>1.1045495999999998E-2</v>
      </c>
      <c r="L96" s="20">
        <f>J96-K96</f>
        <v>36.807274503999999</v>
      </c>
      <c r="M96" s="20">
        <f>L96*G96</f>
        <v>147.22909801599999</v>
      </c>
      <c r="N96" s="14">
        <f t="shared" ref="N96" si="75">M96/M$16</f>
        <v>1.782568669608596E-3</v>
      </c>
      <c r="O96" s="131"/>
    </row>
    <row r="97" spans="1:15" ht="17.100000000000001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131"/>
    </row>
    <row r="98" spans="1:15" ht="17.100000000000001" customHeight="1" x14ac:dyDescent="0.25">
      <c r="A98" s="121"/>
      <c r="B98" s="71"/>
      <c r="C98" s="71"/>
      <c r="D98" s="71"/>
      <c r="E98" s="71"/>
      <c r="F98" s="71"/>
      <c r="G98" s="71"/>
      <c r="H98" s="21" t="s">
        <v>39</v>
      </c>
      <c r="I98" s="22"/>
      <c r="J98" s="122">
        <f>M16+M31+M72</f>
        <v>160430.06471354721</v>
      </c>
      <c r="K98" s="123"/>
      <c r="L98" s="123"/>
      <c r="M98" s="123"/>
      <c r="N98" s="124"/>
      <c r="O98" s="82"/>
    </row>
    <row r="99" spans="1:15" ht="17.100000000000001" customHeight="1" x14ac:dyDescent="0.25">
      <c r="A99" s="96" t="s">
        <v>133</v>
      </c>
      <c r="B99" s="97"/>
      <c r="C99" s="97"/>
      <c r="D99" s="97"/>
      <c r="E99" s="97"/>
      <c r="F99" s="97"/>
      <c r="G99" s="97"/>
      <c r="H99" s="112"/>
      <c r="I99" s="112"/>
      <c r="J99" s="112"/>
      <c r="K99" s="112"/>
      <c r="L99" s="112"/>
      <c r="M99" s="112"/>
      <c r="N99" s="125"/>
      <c r="O99" s="82"/>
    </row>
    <row r="100" spans="1:15" ht="17.100000000000001" customHeight="1" x14ac:dyDescent="0.25">
      <c r="A100" s="113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8"/>
      <c r="O100" s="82"/>
    </row>
    <row r="101" spans="1:15" ht="17.100000000000001" customHeight="1" x14ac:dyDescent="0.25">
      <c r="A101" s="113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8"/>
      <c r="O101" s="82"/>
    </row>
    <row r="102" spans="1:15" ht="17.100000000000001" customHeight="1" x14ac:dyDescent="0.25">
      <c r="A102" s="113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8"/>
      <c r="O102" s="82"/>
    </row>
    <row r="103" spans="1:15" ht="17.100000000000001" customHeight="1" x14ac:dyDescent="0.25">
      <c r="A103" s="113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8"/>
      <c r="O103" s="82"/>
    </row>
    <row r="104" spans="1:15" ht="17.100000000000001" customHeight="1" x14ac:dyDescent="0.25">
      <c r="A104" s="113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8"/>
      <c r="O104" s="82"/>
    </row>
    <row r="105" spans="1:15" ht="17.100000000000001" customHeight="1" x14ac:dyDescent="0.25">
      <c r="A105" s="99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1"/>
      <c r="O105" s="82"/>
    </row>
    <row r="106" spans="1:15" ht="17.100000000000001" customHeight="1" x14ac:dyDescent="0.25">
      <c r="A106" s="70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2"/>
    </row>
    <row r="107" spans="1:15" ht="17.100000000000001" customHeight="1" x14ac:dyDescent="0.25">
      <c r="A107" s="73" t="s">
        <v>40</v>
      </c>
      <c r="B107" s="74"/>
      <c r="C107" s="74"/>
      <c r="D107" s="74"/>
      <c r="E107" s="74"/>
      <c r="F107" s="74"/>
      <c r="G107" s="75" t="s">
        <v>41</v>
      </c>
      <c r="H107" s="75"/>
      <c r="I107" s="75"/>
      <c r="J107" s="75"/>
      <c r="K107" s="76"/>
      <c r="L107" s="77"/>
      <c r="M107" s="77"/>
      <c r="N107" s="78"/>
      <c r="O107" s="82" t="s">
        <v>42</v>
      </c>
    </row>
    <row r="108" spans="1:15" ht="17.100000000000001" customHeight="1" x14ac:dyDescent="0.25">
      <c r="A108" s="84" t="s">
        <v>43</v>
      </c>
      <c r="B108" s="85"/>
      <c r="C108" s="85"/>
      <c r="D108" s="85"/>
      <c r="E108" s="85"/>
      <c r="F108" s="86"/>
      <c r="G108" s="90" t="s">
        <v>44</v>
      </c>
      <c r="H108" s="85"/>
      <c r="I108" s="85"/>
      <c r="J108" s="86"/>
      <c r="K108" s="79"/>
      <c r="L108" s="80"/>
      <c r="M108" s="80"/>
      <c r="N108" s="81"/>
      <c r="O108" s="82"/>
    </row>
    <row r="109" spans="1:15" ht="17.100000000000001" customHeight="1" x14ac:dyDescent="0.25">
      <c r="A109" s="87"/>
      <c r="B109" s="88"/>
      <c r="C109" s="88"/>
      <c r="D109" s="88"/>
      <c r="E109" s="88"/>
      <c r="F109" s="89"/>
      <c r="G109" s="91"/>
      <c r="H109" s="88"/>
      <c r="I109" s="88"/>
      <c r="J109" s="89"/>
      <c r="K109" s="79"/>
      <c r="L109" s="80"/>
      <c r="M109" s="80"/>
      <c r="N109" s="81"/>
      <c r="O109" s="82"/>
    </row>
    <row r="110" spans="1:15" ht="17.100000000000001" customHeight="1" x14ac:dyDescent="0.25">
      <c r="A110" s="87"/>
      <c r="B110" s="88"/>
      <c r="C110" s="88"/>
      <c r="D110" s="88"/>
      <c r="E110" s="88"/>
      <c r="F110" s="89"/>
      <c r="G110" s="91"/>
      <c r="H110" s="88"/>
      <c r="I110" s="88"/>
      <c r="J110" s="89"/>
      <c r="K110" s="79"/>
      <c r="L110" s="80"/>
      <c r="M110" s="80"/>
      <c r="N110" s="81"/>
      <c r="O110" s="82"/>
    </row>
    <row r="111" spans="1:15" ht="17.100000000000001" customHeight="1" x14ac:dyDescent="0.25">
      <c r="A111" s="87"/>
      <c r="B111" s="88"/>
      <c r="C111" s="88"/>
      <c r="D111" s="88"/>
      <c r="E111" s="88"/>
      <c r="F111" s="89"/>
      <c r="G111" s="91"/>
      <c r="H111" s="88"/>
      <c r="I111" s="88"/>
      <c r="J111" s="89"/>
      <c r="K111" s="79"/>
      <c r="L111" s="80"/>
      <c r="M111" s="80"/>
      <c r="N111" s="81"/>
      <c r="O111" s="82"/>
    </row>
    <row r="112" spans="1:15" ht="17.100000000000001" customHeight="1" x14ac:dyDescent="0.25">
      <c r="A112" s="87"/>
      <c r="B112" s="88"/>
      <c r="C112" s="88"/>
      <c r="D112" s="88"/>
      <c r="E112" s="88"/>
      <c r="F112" s="89"/>
      <c r="G112" s="91"/>
      <c r="H112" s="88"/>
      <c r="I112" s="88"/>
      <c r="J112" s="89"/>
      <c r="K112" s="79"/>
      <c r="L112" s="80"/>
      <c r="M112" s="80"/>
      <c r="N112" s="81"/>
      <c r="O112" s="82"/>
    </row>
    <row r="113" spans="1:19" ht="17.100000000000001" customHeight="1" x14ac:dyDescent="0.25">
      <c r="A113" s="87"/>
      <c r="B113" s="88"/>
      <c r="C113" s="88"/>
      <c r="D113" s="88"/>
      <c r="E113" s="88"/>
      <c r="F113" s="89"/>
      <c r="G113" s="91"/>
      <c r="H113" s="88"/>
      <c r="I113" s="88"/>
      <c r="J113" s="89"/>
      <c r="K113" s="79"/>
      <c r="L113" s="80"/>
      <c r="M113" s="80"/>
      <c r="N113" s="81"/>
      <c r="O113" s="82"/>
    </row>
    <row r="114" spans="1:19" ht="17.100000000000001" customHeight="1" x14ac:dyDescent="0.25">
      <c r="A114" s="87"/>
      <c r="B114" s="88"/>
      <c r="C114" s="88"/>
      <c r="D114" s="88"/>
      <c r="E114" s="88"/>
      <c r="F114" s="89"/>
      <c r="G114" s="91"/>
      <c r="H114" s="88"/>
      <c r="I114" s="88"/>
      <c r="J114" s="89"/>
      <c r="K114" s="79"/>
      <c r="L114" s="80"/>
      <c r="M114" s="80"/>
      <c r="N114" s="81"/>
      <c r="O114" s="82"/>
    </row>
    <row r="115" spans="1:19" ht="17.100000000000001" customHeight="1" thickBot="1" x14ac:dyDescent="0.3">
      <c r="A115" s="87"/>
      <c r="B115" s="88"/>
      <c r="C115" s="88"/>
      <c r="D115" s="88"/>
      <c r="E115" s="88"/>
      <c r="F115" s="89"/>
      <c r="G115" s="91"/>
      <c r="H115" s="88"/>
      <c r="I115" s="88"/>
      <c r="J115" s="89"/>
      <c r="K115" s="79"/>
      <c r="L115" s="80"/>
      <c r="M115" s="80"/>
      <c r="N115" s="81"/>
      <c r="O115" s="83"/>
    </row>
    <row r="116" spans="1:19" ht="17.100000000000001" customHeight="1" thickBot="1" x14ac:dyDescent="0.3">
      <c r="A116" s="93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5"/>
    </row>
    <row r="117" spans="1:19" ht="17.100000000000001" customHeight="1" x14ac:dyDescent="0.25">
      <c r="A117" s="96" t="s">
        <v>45</v>
      </c>
      <c r="B117" s="97"/>
      <c r="C117" s="97"/>
      <c r="D117" s="98"/>
      <c r="E117" s="102" t="s">
        <v>46</v>
      </c>
      <c r="F117" s="97"/>
      <c r="G117" s="97"/>
      <c r="H117" s="97"/>
      <c r="I117" s="97"/>
      <c r="J117" s="97"/>
      <c r="K117" s="104" t="s">
        <v>47</v>
      </c>
      <c r="L117" s="71"/>
      <c r="M117" s="71"/>
      <c r="N117" s="71"/>
      <c r="O117" s="108" t="s">
        <v>48</v>
      </c>
    </row>
    <row r="118" spans="1:19" ht="17.100000000000001" customHeight="1" x14ac:dyDescent="0.25">
      <c r="A118" s="99"/>
      <c r="B118" s="100"/>
      <c r="C118" s="100"/>
      <c r="D118" s="101"/>
      <c r="E118" s="103"/>
      <c r="F118" s="100"/>
      <c r="G118" s="100"/>
      <c r="H118" s="100"/>
      <c r="I118" s="100"/>
      <c r="J118" s="100"/>
      <c r="K118" s="105"/>
      <c r="L118" s="71"/>
      <c r="M118" s="71"/>
      <c r="N118" s="71"/>
      <c r="O118" s="109"/>
    </row>
    <row r="119" spans="1:19" ht="17.100000000000001" customHeight="1" x14ac:dyDescent="0.25">
      <c r="A119" s="111" t="s">
        <v>49</v>
      </c>
      <c r="B119" s="112"/>
      <c r="C119" s="112"/>
      <c r="D119" s="112"/>
      <c r="E119" s="112"/>
      <c r="F119" s="112"/>
      <c r="G119" s="112"/>
      <c r="H119" s="112"/>
      <c r="I119" s="112"/>
      <c r="J119" s="112"/>
      <c r="K119" s="105"/>
      <c r="L119" s="71"/>
      <c r="M119" s="71"/>
      <c r="N119" s="71"/>
      <c r="O119" s="109"/>
    </row>
    <row r="120" spans="1:19" ht="17.100000000000001" customHeight="1" x14ac:dyDescent="0.25">
      <c r="A120" s="113"/>
      <c r="B120" s="97"/>
      <c r="C120" s="97"/>
      <c r="D120" s="97"/>
      <c r="E120" s="97"/>
      <c r="F120" s="97"/>
      <c r="G120" s="97"/>
      <c r="H120" s="97"/>
      <c r="I120" s="97"/>
      <c r="J120" s="97"/>
      <c r="K120" s="105"/>
      <c r="L120" s="71"/>
      <c r="M120" s="71"/>
      <c r="N120" s="71"/>
      <c r="O120" s="109"/>
    </row>
    <row r="121" spans="1:19" ht="17.100000000000001" customHeight="1" x14ac:dyDescent="0.25">
      <c r="A121" s="113"/>
      <c r="B121" s="97"/>
      <c r="C121" s="97"/>
      <c r="D121" s="97"/>
      <c r="E121" s="97"/>
      <c r="F121" s="97"/>
      <c r="G121" s="97"/>
      <c r="H121" s="97"/>
      <c r="I121" s="97"/>
      <c r="J121" s="97"/>
      <c r="K121" s="105"/>
      <c r="L121" s="71"/>
      <c r="M121" s="71"/>
      <c r="N121" s="71"/>
      <c r="O121" s="109"/>
    </row>
    <row r="122" spans="1:19" ht="17.100000000000001" customHeight="1" x14ac:dyDescent="0.25">
      <c r="A122" s="113"/>
      <c r="B122" s="97"/>
      <c r="C122" s="97"/>
      <c r="D122" s="97"/>
      <c r="E122" s="97"/>
      <c r="F122" s="97"/>
      <c r="G122" s="97"/>
      <c r="H122" s="97"/>
      <c r="I122" s="97"/>
      <c r="J122" s="97"/>
      <c r="K122" s="105"/>
      <c r="L122" s="71"/>
      <c r="M122" s="71"/>
      <c r="N122" s="71"/>
      <c r="O122" s="109"/>
    </row>
    <row r="123" spans="1:19" ht="17.100000000000001" customHeight="1" thickBot="1" x14ac:dyDescent="0.3">
      <c r="A123" s="114"/>
      <c r="B123" s="115"/>
      <c r="C123" s="115"/>
      <c r="D123" s="115"/>
      <c r="E123" s="115"/>
      <c r="F123" s="115"/>
      <c r="G123" s="115"/>
      <c r="H123" s="115"/>
      <c r="I123" s="115"/>
      <c r="J123" s="115"/>
      <c r="K123" s="106"/>
      <c r="L123" s="107"/>
      <c r="M123" s="107"/>
      <c r="N123" s="107"/>
      <c r="O123" s="110"/>
    </row>
    <row r="124" spans="1:19" ht="14.1" customHeight="1" x14ac:dyDescent="0.25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</row>
    <row r="125" spans="1:19" ht="14.1" customHeight="1" x14ac:dyDescent="0.25"/>
    <row r="126" spans="1:19" ht="14.1" customHeight="1" x14ac:dyDescent="0.25"/>
    <row r="127" spans="1:19" ht="14.1" customHeight="1" x14ac:dyDescent="0.25"/>
  </sheetData>
  <sortState xmlns:xlrd2="http://schemas.microsoft.com/office/spreadsheetml/2017/richdata2" ref="A32:N76">
    <sortCondition ref="E32:E76"/>
  </sortState>
  <mergeCells count="77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05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70:A71"/>
    <mergeCell ref="B70:B71"/>
    <mergeCell ref="C70:C71"/>
    <mergeCell ref="D70:D71"/>
    <mergeCell ref="N70:N71"/>
    <mergeCell ref="B72:F72"/>
    <mergeCell ref="A98:G98"/>
    <mergeCell ref="J98:N98"/>
    <mergeCell ref="A99:N105"/>
    <mergeCell ref="E70:E71"/>
    <mergeCell ref="F70:F71"/>
    <mergeCell ref="G70:G71"/>
    <mergeCell ref="H70:L70"/>
    <mergeCell ref="M70:M71"/>
    <mergeCell ref="A93:N93"/>
    <mergeCell ref="A79:N79"/>
    <mergeCell ref="A77:N77"/>
    <mergeCell ref="A86:N86"/>
    <mergeCell ref="A89:N89"/>
    <mergeCell ref="A124:J124"/>
    <mergeCell ref="K124:S124"/>
    <mergeCell ref="A116:O116"/>
    <mergeCell ref="A117:D118"/>
    <mergeCell ref="E117:J118"/>
    <mergeCell ref="K117:N123"/>
    <mergeCell ref="O117:O123"/>
    <mergeCell ref="A119:J123"/>
    <mergeCell ref="A106:O106"/>
    <mergeCell ref="A107:F107"/>
    <mergeCell ref="G107:J107"/>
    <mergeCell ref="K107:N115"/>
    <mergeCell ref="O107:O115"/>
    <mergeCell ref="A108:F115"/>
    <mergeCell ref="G108:J115"/>
  </mergeCells>
  <phoneticPr fontId="13" type="noConversion"/>
  <hyperlinks>
    <hyperlink ref="E40" r:id="rId1" display="VALVULA DE DESCARGA EM METAL CROMADO PARA MICTORIO COM ACIONAMENTO POR PRESSAO E FECHAMENTO AUTOMATICO" xr:uid="{00000000-0004-0000-0000-000000000000}"/>
    <hyperlink ref="E48" r:id="rId2" display="FITA VEDA ROSCA EM ROLOS DE 18 MM X 50 M (L X C)" xr:uid="{00000000-0004-0000-0000-000001000000}"/>
    <hyperlink ref="E53" r:id="rId3" display="FITA VEDA ROSCA EM ROLOS DE 18 MM X 50 M (L X C)" xr:uid="{00000000-0004-0000-0000-000002000000}"/>
  </hyperlinks>
  <pageMargins left="0.25" right="0.25" top="0.75" bottom="0.75" header="0.3" footer="0.3"/>
  <pageSetup paperSize="9" scale="5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CB0FBE-549F-4292-8DB4-3A65FE65952E}"/>
</file>

<file path=customXml/itemProps2.xml><?xml version="1.0" encoding="utf-8"?>
<ds:datastoreItem xmlns:ds="http://schemas.openxmlformats.org/officeDocument/2006/customXml" ds:itemID="{DF8E6C3C-E7B2-424D-8C23-ACA15C5035C0}"/>
</file>

<file path=customXml/itemProps3.xml><?xml version="1.0" encoding="utf-8"?>
<ds:datastoreItem xmlns:ds="http://schemas.openxmlformats.org/officeDocument/2006/customXml" ds:itemID="{3B79BBC6-CF33-4B9E-B1EC-3BC44DE27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2023-09-19T19:55:48Z</cp:lastPrinted>
  <dcterms:created xsi:type="dcterms:W3CDTF">2022-01-02T19:12:46Z</dcterms:created>
  <dcterms:modified xsi:type="dcterms:W3CDTF">2023-09-19T20:02:25Z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