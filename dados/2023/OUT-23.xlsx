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7-Outubro-23\"/>
    </mc:Choice>
  </mc:AlternateContent>
  <xr:revisionPtr revIDLastSave="0" documentId="13_ncr:1_{7135FCBA-5037-42AA-8BE6-0D3984E5D1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9" i="1" l="1"/>
  <c r="J99" i="1" s="1"/>
  <c r="I98" i="1"/>
  <c r="J98" i="1" s="1"/>
  <c r="G97" i="1"/>
  <c r="I97" i="1"/>
  <c r="J97" i="1" s="1"/>
  <c r="G110" i="1"/>
  <c r="I82" i="1"/>
  <c r="J82" i="1" s="1"/>
  <c r="I83" i="1"/>
  <c r="J83" i="1" s="1"/>
  <c r="K83" i="1" s="1"/>
  <c r="I84" i="1"/>
  <c r="J84" i="1" s="1"/>
  <c r="I85" i="1"/>
  <c r="J85" i="1" s="1"/>
  <c r="K85" i="1" s="1"/>
  <c r="I86" i="1"/>
  <c r="J86" i="1" s="1"/>
  <c r="I87" i="1"/>
  <c r="J87" i="1" s="1"/>
  <c r="K87" i="1" s="1"/>
  <c r="I88" i="1"/>
  <c r="J88" i="1" s="1"/>
  <c r="I89" i="1"/>
  <c r="J89" i="1" s="1"/>
  <c r="K89" i="1" s="1"/>
  <c r="I90" i="1"/>
  <c r="J90" i="1" s="1"/>
  <c r="I91" i="1"/>
  <c r="J91" i="1" s="1"/>
  <c r="K91" i="1" s="1"/>
  <c r="I92" i="1"/>
  <c r="J92" i="1" s="1"/>
  <c r="I93" i="1"/>
  <c r="J93" i="1" s="1"/>
  <c r="K93" i="1" s="1"/>
  <c r="I94" i="1"/>
  <c r="J94" i="1" s="1"/>
  <c r="I95" i="1"/>
  <c r="J95" i="1" s="1"/>
  <c r="K95" i="1" s="1"/>
  <c r="I96" i="1"/>
  <c r="J96" i="1" s="1"/>
  <c r="I70" i="1"/>
  <c r="J70" i="1" s="1"/>
  <c r="I71" i="1"/>
  <c r="J71" i="1" s="1"/>
  <c r="K71" i="1" s="1"/>
  <c r="I72" i="1"/>
  <c r="J72" i="1" s="1"/>
  <c r="I73" i="1"/>
  <c r="J73" i="1" s="1"/>
  <c r="K73" i="1" s="1"/>
  <c r="I74" i="1"/>
  <c r="J74" i="1" s="1"/>
  <c r="I75" i="1"/>
  <c r="J75" i="1" s="1"/>
  <c r="K75" i="1" s="1"/>
  <c r="I76" i="1"/>
  <c r="J76" i="1" s="1"/>
  <c r="I77" i="1"/>
  <c r="J77" i="1" s="1"/>
  <c r="K77" i="1" s="1"/>
  <c r="I78" i="1"/>
  <c r="J78" i="1" s="1"/>
  <c r="I79" i="1"/>
  <c r="J79" i="1" s="1"/>
  <c r="K79" i="1" s="1"/>
  <c r="I80" i="1"/>
  <c r="J80" i="1" s="1"/>
  <c r="I81" i="1"/>
  <c r="J81" i="1" s="1"/>
  <c r="K81" i="1" s="1"/>
  <c r="I60" i="1"/>
  <c r="J60" i="1" s="1"/>
  <c r="I61" i="1"/>
  <c r="J61" i="1" s="1"/>
  <c r="K61" i="1" s="1"/>
  <c r="I62" i="1"/>
  <c r="J62" i="1" s="1"/>
  <c r="I63" i="1"/>
  <c r="J63" i="1" s="1"/>
  <c r="K63" i="1" s="1"/>
  <c r="I64" i="1"/>
  <c r="J64" i="1" s="1"/>
  <c r="I65" i="1"/>
  <c r="J65" i="1" s="1"/>
  <c r="K65" i="1" s="1"/>
  <c r="I66" i="1"/>
  <c r="J66" i="1" s="1"/>
  <c r="I67" i="1"/>
  <c r="J67" i="1" s="1"/>
  <c r="K67" i="1" s="1"/>
  <c r="I68" i="1"/>
  <c r="J68" i="1" s="1"/>
  <c r="I69" i="1"/>
  <c r="J69" i="1" s="1"/>
  <c r="K69" i="1" s="1"/>
  <c r="I47" i="1"/>
  <c r="J47" i="1" s="1"/>
  <c r="I48" i="1"/>
  <c r="J48" i="1" s="1"/>
  <c r="K48" i="1" s="1"/>
  <c r="I49" i="1"/>
  <c r="J49" i="1" s="1"/>
  <c r="I50" i="1"/>
  <c r="J50" i="1"/>
  <c r="K50" i="1" s="1"/>
  <c r="I51" i="1"/>
  <c r="J51" i="1" s="1"/>
  <c r="I52" i="1"/>
  <c r="J52" i="1" s="1"/>
  <c r="K52" i="1" s="1"/>
  <c r="I53" i="1"/>
  <c r="J53" i="1" s="1"/>
  <c r="I54" i="1"/>
  <c r="J54" i="1" s="1"/>
  <c r="K54" i="1" s="1"/>
  <c r="I55" i="1"/>
  <c r="J55" i="1" s="1"/>
  <c r="I56" i="1"/>
  <c r="J56" i="1" s="1"/>
  <c r="K56" i="1" s="1"/>
  <c r="I57" i="1"/>
  <c r="J57" i="1" s="1"/>
  <c r="I58" i="1"/>
  <c r="J58" i="1" s="1"/>
  <c r="K58" i="1" s="1"/>
  <c r="I59" i="1"/>
  <c r="J59" i="1" s="1"/>
  <c r="I33" i="1"/>
  <c r="J33" i="1" s="1"/>
  <c r="I34" i="1"/>
  <c r="J34" i="1" s="1"/>
  <c r="K34" i="1" s="1"/>
  <c r="I35" i="1"/>
  <c r="J35" i="1" s="1"/>
  <c r="I36" i="1"/>
  <c r="J36" i="1" s="1"/>
  <c r="K36" i="1" s="1"/>
  <c r="I37" i="1"/>
  <c r="J37" i="1" s="1"/>
  <c r="I38" i="1"/>
  <c r="J38" i="1" s="1"/>
  <c r="K38" i="1" s="1"/>
  <c r="I39" i="1"/>
  <c r="J39" i="1" s="1"/>
  <c r="I40" i="1"/>
  <c r="J40" i="1" s="1"/>
  <c r="K40" i="1" s="1"/>
  <c r="I41" i="1"/>
  <c r="J41" i="1" s="1"/>
  <c r="I42" i="1"/>
  <c r="J42" i="1" s="1"/>
  <c r="K42" i="1" s="1"/>
  <c r="I43" i="1"/>
  <c r="J43" i="1" s="1"/>
  <c r="I44" i="1"/>
  <c r="J44" i="1"/>
  <c r="K44" i="1" s="1"/>
  <c r="I45" i="1"/>
  <c r="J45" i="1" s="1"/>
  <c r="I46" i="1"/>
  <c r="J46" i="1" s="1"/>
  <c r="K46" i="1" s="1"/>
  <c r="G113" i="1"/>
  <c r="K99" i="1" l="1"/>
  <c r="L99" i="1"/>
  <c r="M99" i="1" s="1"/>
  <c r="K98" i="1"/>
  <c r="L98" i="1"/>
  <c r="M98" i="1" s="1"/>
  <c r="N98" i="1" s="1"/>
  <c r="K97" i="1"/>
  <c r="L97" i="1" s="1"/>
  <c r="M97" i="1" s="1"/>
  <c r="K62" i="1"/>
  <c r="L62" i="1" s="1"/>
  <c r="M62" i="1" s="1"/>
  <c r="K66" i="1"/>
  <c r="L66" i="1" s="1"/>
  <c r="M66" i="1" s="1"/>
  <c r="K68" i="1"/>
  <c r="L68" i="1" s="1"/>
  <c r="M68" i="1" s="1"/>
  <c r="K60" i="1"/>
  <c r="L60" i="1"/>
  <c r="M60" i="1" s="1"/>
  <c r="K64" i="1"/>
  <c r="L64" i="1" s="1"/>
  <c r="M64" i="1" s="1"/>
  <c r="L95" i="1"/>
  <c r="L93" i="1"/>
  <c r="M93" i="1" s="1"/>
  <c r="L91" i="1"/>
  <c r="M91" i="1" s="1"/>
  <c r="L89" i="1"/>
  <c r="L87" i="1"/>
  <c r="M87" i="1" s="1"/>
  <c r="L85" i="1"/>
  <c r="M85" i="1" s="1"/>
  <c r="L83" i="1"/>
  <c r="M83" i="1" s="1"/>
  <c r="K96" i="1"/>
  <c r="L96" i="1" s="1"/>
  <c r="M96" i="1" s="1"/>
  <c r="K94" i="1"/>
  <c r="L94" i="1"/>
  <c r="M94" i="1" s="1"/>
  <c r="K92" i="1"/>
  <c r="L92" i="1" s="1"/>
  <c r="M92" i="1" s="1"/>
  <c r="N92" i="1" s="1"/>
  <c r="K90" i="1"/>
  <c r="L90" i="1" s="1"/>
  <c r="K88" i="1"/>
  <c r="L88" i="1" s="1"/>
  <c r="M88" i="1" s="1"/>
  <c r="N88" i="1" s="1"/>
  <c r="K86" i="1"/>
  <c r="L86" i="1"/>
  <c r="M86" i="1" s="1"/>
  <c r="K84" i="1"/>
  <c r="L84" i="1" s="1"/>
  <c r="M84" i="1" s="1"/>
  <c r="K82" i="1"/>
  <c r="L82" i="1"/>
  <c r="M82" i="1" s="1"/>
  <c r="N83" i="1" s="1"/>
  <c r="K80" i="1"/>
  <c r="L80" i="1" s="1"/>
  <c r="M80" i="1" s="1"/>
  <c r="K72" i="1"/>
  <c r="L72" i="1" s="1"/>
  <c r="M72" i="1" s="1"/>
  <c r="K74" i="1"/>
  <c r="L74" i="1" s="1"/>
  <c r="M74" i="1" s="1"/>
  <c r="K76" i="1"/>
  <c r="L76" i="1"/>
  <c r="M76" i="1" s="1"/>
  <c r="K78" i="1"/>
  <c r="L78" i="1" s="1"/>
  <c r="M78" i="1" s="1"/>
  <c r="K70" i="1"/>
  <c r="L70" i="1"/>
  <c r="M70" i="1" s="1"/>
  <c r="L81" i="1"/>
  <c r="M81" i="1" s="1"/>
  <c r="L79" i="1"/>
  <c r="M79" i="1" s="1"/>
  <c r="L77" i="1"/>
  <c r="M77" i="1" s="1"/>
  <c r="L75" i="1"/>
  <c r="M75" i="1" s="1"/>
  <c r="L73" i="1"/>
  <c r="M73" i="1" s="1"/>
  <c r="L71" i="1"/>
  <c r="M71" i="1" s="1"/>
  <c r="L69" i="1"/>
  <c r="M69" i="1" s="1"/>
  <c r="L67" i="1"/>
  <c r="M67" i="1" s="1"/>
  <c r="L65" i="1"/>
  <c r="M65" i="1" s="1"/>
  <c r="L63" i="1"/>
  <c r="M63" i="1" s="1"/>
  <c r="L61" i="1"/>
  <c r="M61" i="1" s="1"/>
  <c r="K57" i="1"/>
  <c r="L57" i="1" s="1"/>
  <c r="M57" i="1" s="1"/>
  <c r="K49" i="1"/>
  <c r="L49" i="1" s="1"/>
  <c r="M49" i="1" s="1"/>
  <c r="K59" i="1"/>
  <c r="L59" i="1" s="1"/>
  <c r="M59" i="1" s="1"/>
  <c r="K51" i="1"/>
  <c r="L51" i="1" s="1"/>
  <c r="M51" i="1" s="1"/>
  <c r="K53" i="1"/>
  <c r="L53" i="1"/>
  <c r="M53" i="1" s="1"/>
  <c r="K55" i="1"/>
  <c r="L55" i="1" s="1"/>
  <c r="M55" i="1" s="1"/>
  <c r="K47" i="1"/>
  <c r="L47" i="1" s="1"/>
  <c r="M47" i="1" s="1"/>
  <c r="L58" i="1"/>
  <c r="M58" i="1" s="1"/>
  <c r="L56" i="1"/>
  <c r="M56" i="1" s="1"/>
  <c r="L54" i="1"/>
  <c r="M54" i="1" s="1"/>
  <c r="L52" i="1"/>
  <c r="M52" i="1" s="1"/>
  <c r="L50" i="1"/>
  <c r="M50" i="1" s="1"/>
  <c r="L48" i="1"/>
  <c r="M48" i="1" s="1"/>
  <c r="K41" i="1"/>
  <c r="L41" i="1" s="1"/>
  <c r="M41" i="1" s="1"/>
  <c r="K33" i="1"/>
  <c r="L33" i="1" s="1"/>
  <c r="M33" i="1" s="1"/>
  <c r="K43" i="1"/>
  <c r="L43" i="1" s="1"/>
  <c r="M43" i="1" s="1"/>
  <c r="K35" i="1"/>
  <c r="L35" i="1" s="1"/>
  <c r="M35" i="1" s="1"/>
  <c r="K39" i="1"/>
  <c r="L39" i="1" s="1"/>
  <c r="M39" i="1" s="1"/>
  <c r="K45" i="1"/>
  <c r="L45" i="1" s="1"/>
  <c r="M45" i="1" s="1"/>
  <c r="K37" i="1"/>
  <c r="L37" i="1" s="1"/>
  <c r="M37" i="1" s="1"/>
  <c r="L46" i="1"/>
  <c r="M46" i="1" s="1"/>
  <c r="L44" i="1"/>
  <c r="M44" i="1" s="1"/>
  <c r="L42" i="1"/>
  <c r="M42" i="1" s="1"/>
  <c r="L40" i="1"/>
  <c r="M40" i="1" s="1"/>
  <c r="L38" i="1"/>
  <c r="M38" i="1" s="1"/>
  <c r="L36" i="1"/>
  <c r="M36" i="1" s="1"/>
  <c r="L34" i="1"/>
  <c r="M34" i="1" s="1"/>
  <c r="N99" i="1" l="1"/>
  <c r="N36" i="1"/>
  <c r="N84" i="1"/>
  <c r="N97" i="1"/>
  <c r="N65" i="1"/>
  <c r="N69" i="1"/>
  <c r="N43" i="1"/>
  <c r="N59" i="1"/>
  <c r="N87" i="1"/>
  <c r="N63" i="1"/>
  <c r="N72" i="1"/>
  <c r="N60" i="1"/>
  <c r="N39" i="1"/>
  <c r="N80" i="1"/>
  <c r="N37" i="1"/>
  <c r="N67" i="1"/>
  <c r="N86" i="1"/>
  <c r="N94" i="1"/>
  <c r="N34" i="1"/>
  <c r="N51" i="1"/>
  <c r="N61" i="1"/>
  <c r="N70" i="1"/>
  <c r="N55" i="1"/>
  <c r="N58" i="1"/>
  <c r="N49" i="1"/>
  <c r="N62" i="1"/>
  <c r="N74" i="1"/>
  <c r="N82" i="1"/>
  <c r="N40" i="1"/>
  <c r="N47" i="1"/>
  <c r="N78" i="1"/>
  <c r="N93" i="1"/>
  <c r="N85" i="1"/>
  <c r="N75" i="1"/>
  <c r="N76" i="1"/>
  <c r="N77" i="1"/>
  <c r="N71" i="1"/>
  <c r="N79" i="1"/>
  <c r="N73" i="1"/>
  <c r="N81" i="1"/>
  <c r="N66" i="1"/>
  <c r="N64" i="1"/>
  <c r="N68" i="1"/>
  <c r="N50" i="1"/>
  <c r="N52" i="1"/>
  <c r="N53" i="1"/>
  <c r="N57" i="1"/>
  <c r="N48" i="1"/>
  <c r="N56" i="1"/>
  <c r="N54" i="1"/>
  <c r="N42" i="1"/>
  <c r="N44" i="1"/>
  <c r="N45" i="1"/>
  <c r="N35" i="1"/>
  <c r="N41" i="1"/>
  <c r="N38" i="1"/>
  <c r="N46" i="1"/>
  <c r="G95" i="1" l="1"/>
  <c r="M95" i="1" s="1"/>
  <c r="G90" i="1"/>
  <c r="M90" i="1" s="1"/>
  <c r="G89" i="1"/>
  <c r="M89" i="1" s="1"/>
  <c r="N89" i="1" s="1"/>
  <c r="G111" i="1"/>
  <c r="I32" i="1"/>
  <c r="J32" i="1" s="1"/>
  <c r="I110" i="1"/>
  <c r="J110" i="1" s="1"/>
  <c r="N90" i="1" l="1"/>
  <c r="N91" i="1"/>
  <c r="N96" i="1"/>
  <c r="N95" i="1"/>
  <c r="K32" i="1"/>
  <c r="L32" i="1" s="1"/>
  <c r="M32" i="1" s="1"/>
  <c r="N33" i="1" s="1"/>
  <c r="K110" i="1"/>
  <c r="L110" i="1" s="1"/>
  <c r="M110" i="1" s="1"/>
  <c r="I119" i="1" l="1"/>
  <c r="J119" i="1" s="1"/>
  <c r="I118" i="1"/>
  <c r="J118" i="1" s="1"/>
  <c r="I117" i="1"/>
  <c r="J117" i="1" s="1"/>
  <c r="I115" i="1"/>
  <c r="J115" i="1" s="1"/>
  <c r="I113" i="1"/>
  <c r="J113" i="1" s="1"/>
  <c r="K117" i="1" l="1"/>
  <c r="L117" i="1" s="1"/>
  <c r="M117" i="1" s="1"/>
  <c r="K118" i="1"/>
  <c r="L118" i="1" s="1"/>
  <c r="M118" i="1" s="1"/>
  <c r="K119" i="1"/>
  <c r="L119" i="1" s="1"/>
  <c r="M119" i="1" s="1"/>
  <c r="K115" i="1"/>
  <c r="L115" i="1" s="1"/>
  <c r="M115" i="1" s="1"/>
  <c r="K113" i="1"/>
  <c r="L113" i="1" s="1"/>
  <c r="M113" i="1" s="1"/>
  <c r="I111" i="1" l="1"/>
  <c r="J111" i="1" s="1"/>
  <c r="K111" i="1" l="1"/>
  <c r="L111" i="1" s="1"/>
  <c r="M111" i="1" s="1"/>
  <c r="I109" i="1" l="1"/>
  <c r="J109" i="1" s="1"/>
  <c r="K109" i="1" s="1"/>
  <c r="L109" i="1" l="1"/>
  <c r="M109" i="1" s="1"/>
  <c r="I108" i="1" l="1"/>
  <c r="J108" i="1" s="1"/>
  <c r="K108" i="1" l="1"/>
  <c r="L108" i="1" s="1"/>
  <c r="M108" i="1" s="1"/>
  <c r="M107" i="1" s="1"/>
  <c r="M31" i="1" l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110" i="1" s="1"/>
  <c r="N119" i="1" l="1"/>
  <c r="N118" i="1"/>
  <c r="N117" i="1"/>
  <c r="N113" i="1"/>
  <c r="N115" i="1"/>
  <c r="N111" i="1"/>
  <c r="N108" i="1"/>
  <c r="N19" i="1"/>
  <c r="N18" i="1"/>
  <c r="N23" i="1"/>
  <c r="N21" i="1"/>
  <c r="N26" i="1"/>
  <c r="N20" i="1"/>
  <c r="N27" i="1"/>
  <c r="N25" i="1"/>
  <c r="N24" i="1"/>
  <c r="N28" i="1"/>
  <c r="N22" i="1"/>
  <c r="N17" i="1"/>
  <c r="J121" i="1"/>
  <c r="N16" i="1" l="1"/>
</calcChain>
</file>

<file path=xl/sharedStrings.xml><?xml version="1.0" encoding="utf-8"?>
<sst xmlns="http://schemas.openxmlformats.org/spreadsheetml/2006/main" count="545" uniqueCount="249">
  <si>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</si>
  <si>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</si>
  <si>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</si>
  <si>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</si>
  <si>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</si>
  <si>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</si>
  <si>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</si>
  <si>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</si>
  <si>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</si>
  <si>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</si>
  <si>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</si>
  <si>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</si>
  <si>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</si>
  <si>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</si>
  <si>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</si>
  <si>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</si>
  <si>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</si>
  <si>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</si>
  <si>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</si>
  <si>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</si>
  <si>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</si>
  <si>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</si>
  <si>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</si>
  <si>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</si>
  <si>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</si>
  <si>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</si>
  <si>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</si>
  <si>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</si>
  <si>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</si>
  <si>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</si>
  <si>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</si>
  <si>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</si>
  <si>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</si>
  <si>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</si>
  <si>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</si>
  <si>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</si>
  <si>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</si>
  <si>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</si>
  <si>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</si>
  <si>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</si>
  <si>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</si>
  <si>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</si>
  <si>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</si>
  <si>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</si>
  <si>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</si>
  <si>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</si>
  <si>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</si>
  <si>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</si>
  <si>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</si>
  <si>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</si>
  <si>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</si>
  <si>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</si>
  <si>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</si>
  <si>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</si>
  <si>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</si>
  <si>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</si>
  <si>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</si>
  <si>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</si>
  <si>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</si>
  <si>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</si>
  <si>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</si>
  <si>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</si>
  <si>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</si>
  <si>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</si>
  <si>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</si>
  <si>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</si>
  <si>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</si>
  <si>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</si>
  <si>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</si>
  <si>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</si>
  <si>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</si>
  <si>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</si>
  <si>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</si>
  <si>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</si>
  <si>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</si>
  <si>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</si>
  <si>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</si>
  <si>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</si>
  <si>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</si>
  <si>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</si>
  <si>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</si>
  <si>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2.8</t>
  </si>
  <si>
    <t>2.9</t>
  </si>
  <si>
    <t>2.13</t>
  </si>
  <si>
    <t>2.20</t>
  </si>
  <si>
    <t>TORNEIRA METALICA CROMADA PARA JARDIM / TANQUE, COM BICO PLASTICO, CANO LONGO, DE PAREDE, PADRAO POPULAR / USO GERAL , 1/2 " OU 3/4 " (REF 1153 / 1130)</t>
  </si>
  <si>
    <t>CIMENTO PORTLAND COMPOSTO CP II-32</t>
  </si>
  <si>
    <t>3.1</t>
  </si>
  <si>
    <t>3.3</t>
  </si>
  <si>
    <t>3.4</t>
  </si>
  <si>
    <t>M2</t>
  </si>
  <si>
    <t>2.21</t>
  </si>
  <si>
    <t>2.25</t>
  </si>
  <si>
    <t>2.33</t>
  </si>
  <si>
    <t>2.35</t>
  </si>
  <si>
    <t>2.36</t>
  </si>
  <si>
    <t>m²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</si>
  <si>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</si>
  <si>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</si>
  <si>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</si>
  <si>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M</t>
  </si>
  <si>
    <t>3.2</t>
  </si>
  <si>
    <t>SIFAO / TUBO SINFONADO EXTENSIVEL/SANFONADO, UNIVERSAL/ SIMPLES, ENTRE *50 A 70* CM, DE PLASTICO BRANCO</t>
  </si>
  <si>
    <t>3.9</t>
  </si>
  <si>
    <t>3.15</t>
  </si>
  <si>
    <t>PEDRA BRITADA N. 0, OU PEDRISCO (4,8 A 9,5 MM) POSTO PEDREIRA/FORNECEDOR, SEM FRETE</t>
  </si>
  <si>
    <t>m3</t>
  </si>
  <si>
    <t>PARAFUSO ZINCADO, AUTOBROCANTE, FLANGEADO, 4,2 MM X 19 MM</t>
  </si>
  <si>
    <t>CENTO</t>
  </si>
  <si>
    <t>ENGATE/RABICHO FLEXIVEL PLASTICO (PVC OU ABS) BRANCO 1/2 " X 40 CM</t>
  </si>
  <si>
    <t>FITA VEDA ROSCA EM ROLOS DE 18 MM X 50 M (L X C)</t>
  </si>
  <si>
    <t>TRANSPORTE COM CAMINHÃO BASCULANTE DE 10 M³, EM VIA URBANA EM LEITO NATURAL (UNIDADE: M3XKM). AF_07/2020</t>
  </si>
  <si>
    <t>M3XKM</t>
  </si>
  <si>
    <t>AREIA FINA - POSTO JAZIDA/FORNECEDOR (RETIRADO NA JAZIDA, SEM TRANSPORTE)</t>
  </si>
  <si>
    <t>PINTURA DE DEMARCAÇÃO DE VAGA COM TINTA ACRÍLICA, E = 10 CM, APLICAÇÃO MANUAL. AF_05/2021</t>
  </si>
  <si>
    <t>PINTURA DE SÍMBOLOS E TEXTOS COM TINTA ACRÍLICA, DEMARCAÇÃO COM FITA ADESIVA E APLICAÇÃO COM ROLO. AF_05/2021</t>
  </si>
  <si>
    <t>PINTURA DE FAIXA DE PEDESTRE OU ZEBRADA COM TINTA ACRÍLICA, E = 30 CM, APLICAÇÃO MANUAL. AF_05/2021</t>
  </si>
  <si>
    <t>2.37</t>
  </si>
  <si>
    <t>2.38</t>
  </si>
  <si>
    <t>3.16</t>
  </si>
  <si>
    <t>3.17</t>
  </si>
  <si>
    <t>ASSENTO SANITARIO DE PLASTICO, TIPO CONVENCIONAL</t>
  </si>
  <si>
    <t>PINTOR COM ENCARGOS COMPLEMENTARES</t>
  </si>
  <si>
    <t>H</t>
  </si>
  <si>
    <t>2.26</t>
  </si>
  <si>
    <t>BUCHA DE REDUCAO DE FERRO GALVANIZADO, COM ROSCA BSP, DE 3/4" X 1/2"</t>
  </si>
  <si>
    <t>2.22</t>
  </si>
  <si>
    <t>TUBO DE DESCARGA, TIPO BENGALA, PARA LIGACAO CAIXA DE DESCARGA - EMBUTIR, PVC, 40 MM X 150 CM</t>
  </si>
  <si>
    <t>TORNEIRA METALICA CROMADA DE MESA PARA LAVATORIO, BICA ALTA, COM AREJADOR (REF 1195)</t>
  </si>
  <si>
    <t>2.27</t>
  </si>
  <si>
    <t>BUCHA DE NYLON SEM ABA S10</t>
  </si>
  <si>
    <t>2.19</t>
  </si>
  <si>
    <t>BUCHA DE NYLON SEM ABA S8</t>
  </si>
  <si>
    <t>MASSA PLASTICA PARA MARMORE/GRANITO</t>
  </si>
  <si>
    <t>KG</t>
  </si>
  <si>
    <t>2.10</t>
  </si>
  <si>
    <t>PARAFUSO EM ACO GALVANIZADO, TIPO MAQUINA, SEXTAVADO, SEM PORCA, DIAMETRO 1/2", COMPRIMENTO 2"</t>
  </si>
  <si>
    <t>PARAFUSO ZINCADO, SEXTAVADO, COM ROSCA INTEIRA, DIAMETRO 1/4", COMPRIMENTO 1/2"</t>
  </si>
  <si>
    <t>CAP PVC, SERIE R, DN 100 MM, PARA ESGOTO PREDIAL</t>
  </si>
  <si>
    <t>VALVULA DE ESCOAMENTO PARA TANQUE, EM METAL CROMADO, 1.1/2 ", SEM LADRAO, COM TAMPAO PLASTICO</t>
  </si>
  <si>
    <t>TANQUE DE LOUCA BRANCA, COM COLUNA, *30* L</t>
  </si>
  <si>
    <t>2.14</t>
  </si>
  <si>
    <t>PARAFUSO NIQUELADO COM ACABAMENTO CROMADO PARA FIXAR PECA SANITARIA, INCLUI PORCA CEGA, ARRUELA E BUCHA DE NYLON TAMANHO S-10</t>
  </si>
  <si>
    <t>2.34</t>
  </si>
  <si>
    <t>ADAPTADOR PVC SOLDAVEL CURTO COM BOLSA E ROSCA, 25 MM X 3/4", PARA AGUA FRIA</t>
  </si>
  <si>
    <t>JOELHO, PVC SOLDAVEL, 45 GRAUS, 60 MM, COR MARROM, PARA AGUA FRIA PREDIAL</t>
  </si>
  <si>
    <t>JOELHO PVC, SOLDAVEL, 90 GRAUS, 25 MM, PARA AGUA FRIA PREDIAL</t>
  </si>
  <si>
    <t>LUVA PVC SOLDAVEL, 25 MM, PARA AGUA FRIA PREDIAL</t>
  </si>
  <si>
    <t>TORNEIRA METALICA CROMADA, DE MESA/BANCADA, PARA COZINHA, BICA MOVEL, COM AREJADOR, 1/2 " OU 3/4 " (REF 1167 / 1168)</t>
  </si>
  <si>
    <t>JOELHO, PVC SERIE R, 45 GRAUS, DN 40 MM, PARA ESGOTO PREDIAL</t>
  </si>
  <si>
    <t>JOELHO, PVC SERIE R, 90 GRAUS, DN 40 MM, PARA ESGOTO PREDIAL</t>
  </si>
  <si>
    <t>JOELHO, PVC SERIE R, 90 GRAUS, DN 50 MM, PARA ESGOTO PREDIAL</t>
  </si>
  <si>
    <t>LUVA SIMPLES, PVC SERIE R, 40 MM, PARA ESGOTO PREDIAL</t>
  </si>
  <si>
    <t>LUVA SIMPLES, PVC SERIE R, 50 MM, PARA ESGOTO PREDIAL</t>
  </si>
  <si>
    <t>2.11</t>
  </si>
  <si>
    <t>FITA ISOLANTE ADESIVA ANTICHAMA, USO ATE 750 V, EM ROLO DE 19 MM X 20 M</t>
  </si>
  <si>
    <t>2.16</t>
  </si>
  <si>
    <t>PASTA LUBRIFICANTE PARA TUBOS E CONEXOES COM JUNTA ELASTICA, EMBALAGEM DE *400* GR (USO EM PVC, ACO, POLIETILENO E OUTROS)</t>
  </si>
  <si>
    <t>CAP PVC, SOLDAVEL, 20 MM, PARA AGUA FRIA PREDIAL</t>
  </si>
  <si>
    <t>CAP PVC, SOLDAVEL, 25 MM, PARA AGUA FRIA PREDIAL</t>
  </si>
  <si>
    <t>JOELHO PVC, SOLDAVEL COM ROSCA, 90 GRAUS, 25 MM X 3/4", PARA AGUA FRIA PREDIAL</t>
  </si>
  <si>
    <t>ADAPTADOR PVC SOLDAVEL CURTO COM BOLSA E ROSCA, 60 MM X 2", PARA AGUA FRIA</t>
  </si>
  <si>
    <t>CAP PVC, SOLDAVEL, 32 MM, PARA AGUA FRIA PREDIAL</t>
  </si>
  <si>
    <t>UNIAO PVC, SOLDAVEL, 60 MM, PARA AGUA FRIA PREDIAL</t>
  </si>
  <si>
    <t>CAIXA SIFONADA, PVC, 150 X 150 X 50 MM, COM GRELHA QUADRADA, BRANCA (NBR 5688)</t>
  </si>
  <si>
    <t>ARAME RECOZIDO 16 BWG, D = 1,65 MM (0,016 KG/M) OU 18 BWG, D = 1,25 MM (0,01 KG/M)</t>
  </si>
  <si>
    <t>kg</t>
  </si>
  <si>
    <t>BUCHA DE REDUCAO DE PVC, SOLDAVEL, CURTA, COM 32 X 25 MM, PARA AGUA FRIA PREDIAL</t>
  </si>
  <si>
    <t>BUCHA DE REDUCAO DE PVC, SOLDAVEL, LONGA, COM 50 X 25 MM, PARA AGUA FRIA PREDIAL</t>
  </si>
  <si>
    <t>BUCHA DE REDUCAO DE PVC, SOLDAVEL, LONGA, COM 50 X 32 MM, PARA AGUA FRIA PREDIAL</t>
  </si>
  <si>
    <t>2.17</t>
  </si>
  <si>
    <t>CURVA DE PVC 90 GRAUS, SOLDAVEL, 25 MM, PARA AGUA FRIA PREDIAL (NBR 5648)</t>
  </si>
  <si>
    <t>REJUNTE CIMENTICIO, QUALQUER COR</t>
  </si>
  <si>
    <t>2.18</t>
  </si>
  <si>
    <t>TE SOLDAVEL, PVC, 90 GRAUS, 32 MM, PARA AGUA FRIA PREDIAL (NBR 5648)</t>
  </si>
  <si>
    <t>UNIAO PVC, SOLDAVEL, 32 MM, PARA AGUA FRIA PREDIAL</t>
  </si>
  <si>
    <t>2.39</t>
  </si>
  <si>
    <t>PREGO DE ACO POLIDO COM CABECA 12 X 12</t>
  </si>
  <si>
    <t>PREGO DE ACO POLIDO COM CABECA 15 X 15 (1 1/4 X 13)</t>
  </si>
  <si>
    <t>PREGO DE ACO POLIDO COM CABECA 17 X 21 (2 X 11)</t>
  </si>
  <si>
    <t>PREGO DE ACO POLIDO COM CABECA 17 X 27 (2 1/2 X 11)</t>
  </si>
  <si>
    <t>TIJOLO CERAMICO MACICO COMUM *5 X 10 X 20* CM (L X A X C)</t>
  </si>
  <si>
    <t>BLOCO CERAMICO / TIJOLO VAZADO PARA ALVENARIA DE VEDACAO, 8 FUROS NA HORIZONTAL, DE 9 X 19 X 19 CM (L XA X C)</t>
  </si>
  <si>
    <t>AREIA GROSSA - POSTO JAZIDA/FORNECEDOR (RETIRADO NA JAZIDA, SEM TRANSPORTE)</t>
  </si>
  <si>
    <t>TINTA ACRILICA PREMIUM PARA PISO</t>
  </si>
  <si>
    <t>L</t>
  </si>
  <si>
    <t>DILUENTE AGUARRAS</t>
  </si>
  <si>
    <t>TINTA LATEX ACRILICA STANDARD, COR BRANCA</t>
  </si>
  <si>
    <t>2.43</t>
  </si>
  <si>
    <t>ADESIVO ACRILICO DE BASE AQUOSA / COLA DE CONTATO</t>
  </si>
  <si>
    <t>FITA CREPE ROLO DE 25 MM X 50 M</t>
  </si>
  <si>
    <t>FUNDO SINTETICO NIVELADOR BRANCO FOSCO PARA MADEIRA</t>
  </si>
  <si>
    <t>GESSO EM PO PARA REVESTIMENTOS/MOLDURAS/SANCAS E USO GERAL</t>
  </si>
  <si>
    <t>SOLVENTE PARA COLA (PARA LAMINADO MELAMINICO) A BASE DE RESINA SINTETICA</t>
  </si>
  <si>
    <t>FORRO DE FIBRA MINERAL EM PLACAS DE 1250 X 625 MM, E = 15 MM, BORDA RETA, COM PINTURA ANTIMOFO, APOIADO EM PERFIL DE ACO GALVANIZADO COM 24 MM DE BASE - INSTALADO</t>
  </si>
  <si>
    <t>MARTELETE PERFURADOR/ ROMPEDOR ELÉTRICO, POTÊNCIA 800 W, 220 V - MATERIAIS NA OPERAÇÃO. AF_05/2023</t>
  </si>
  <si>
    <t>Estimativa DMP - cobertura</t>
  </si>
  <si>
    <t xml:space="preserve"> 32.16.060 </t>
  </si>
  <si>
    <t>CPOS/CDHU</t>
  </si>
  <si>
    <t>Impermeabilização em membrana à base de polímeros acrílicos, na cor branca e reforço em tela poliéster</t>
  </si>
  <si>
    <t>2.4</t>
  </si>
  <si>
    <t>2.5</t>
  </si>
  <si>
    <t>2.6</t>
  </si>
  <si>
    <t>2.7</t>
  </si>
  <si>
    <t>2.12</t>
  </si>
  <si>
    <t>2.15</t>
  </si>
  <si>
    <t>2.23</t>
  </si>
  <si>
    <t>2.24</t>
  </si>
  <si>
    <t>2.28</t>
  </si>
  <si>
    <t>2.29</t>
  </si>
  <si>
    <t>2.30</t>
  </si>
  <si>
    <t>2.31</t>
  </si>
  <si>
    <t>2.32</t>
  </si>
  <si>
    <t>2.40</t>
  </si>
  <si>
    <t>2.41</t>
  </si>
  <si>
    <t>2.42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</si>
  <si>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</si>
  <si>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</si>
  <si>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</si>
  <si>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</si>
  <si>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</si>
  <si>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</si>
  <si>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</si>
  <si>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</si>
  <si>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</si>
  <si>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</si>
  <si>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</si>
  <si>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</si>
  <si>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</si>
  <si>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</si>
  <si>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</si>
  <si>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</si>
  <si>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2.60</t>
  </si>
  <si>
    <t>2.61</t>
  </si>
  <si>
    <t>2.62</t>
  </si>
  <si>
    <t>2.63</t>
  </si>
  <si>
    <t>2.64</t>
  </si>
  <si>
    <t>2.65</t>
  </si>
  <si>
    <t>PINTURA SINALIZAÇÃO HORIZONTAL - anexo da reitoria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</si>
  <si>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OUTUBRO/2023</t>
    </r>
  </si>
  <si>
    <t>ORSE</t>
  </si>
  <si>
    <t>Película insulfilm aplicada ou Similar</t>
  </si>
  <si>
    <t>APLICAÇÃO PELICULA JATEADO EDUCAÇÃO FISICA</t>
  </si>
  <si>
    <t>CHAPA DE MDF BRANCO LISO 2 FACES, E = 18 MM, DE *2,75 X 1,85* M</t>
  </si>
  <si>
    <t>m2</t>
  </si>
  <si>
    <t>2.66</t>
  </si>
  <si>
    <t>2.67</t>
  </si>
  <si>
    <t>2.68</t>
  </si>
  <si>
    <t>BARRA DE ACO CHATO, RETANGULAR, 38,1 MM X 9,53 MM (L X E), 2,84 KG/M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</si>
</sst>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333333"/>
      <name val="Arial"/>
      <family val="2"/>
    </font>
    <font>
      <sz val="8"/>
      <name val="Arial"/>
      <family val="2"/>
      <charset val="1"/>
    </font>
    <font>
      <b/>
      <sz val="8"/>
      <color theme="4"/>
      <name val="Calibri"/>
      <family val="2"/>
      <scheme val="minor"/>
    </font>
    <font>
      <b/>
      <sz val="8"/>
      <color theme="4"/>
      <name val="Arial"/>
      <family val="2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5" borderId="1" applyProtection="0"/>
    <xf numFmtId="0" fontId="17" fillId="0" borderId="0" applyBorder="0" applyProtection="0"/>
  </cellStyleXfs>
  <cellXfs count="170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5" fillId="0" borderId="0" xfId="0" applyFont="1"/>
    <xf numFmtId="0" fontId="15" fillId="0" borderId="24" xfId="0" applyFont="1" applyBorder="1"/>
    <xf numFmtId="0" fontId="15" fillId="0" borderId="24" xfId="0" applyFont="1" applyBorder="1" applyAlignment="1">
      <alignment vertical="center"/>
    </xf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/>
    </xf>
    <xf numFmtId="4" fontId="18" fillId="0" borderId="24" xfId="0" applyNumberFormat="1" applyFont="1" applyBorder="1" applyAlignment="1">
      <alignment horizontal="center" vertical="center" wrapText="1"/>
    </xf>
    <xf numFmtId="4" fontId="13" fillId="0" borderId="24" xfId="2" applyNumberFormat="1" applyFont="1" applyFill="1" applyBorder="1" applyAlignment="1" applyProtection="1">
      <alignment horizontal="center" vertical="center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left" vertical="top" wrapText="1"/>
    </xf>
    <xf numFmtId="0" fontId="20" fillId="2" borderId="24" xfId="1" applyFont="1" applyBorder="1"/>
    <xf numFmtId="0" fontId="18" fillId="0" borderId="39" xfId="0" applyFont="1" applyBorder="1" applyAlignment="1">
      <alignment vertical="top"/>
    </xf>
    <xf numFmtId="0" fontId="21" fillId="0" borderId="11" xfId="0" applyFont="1" applyBorder="1" applyAlignment="1">
      <alignment vertical="top"/>
    </xf>
    <xf numFmtId="0" fontId="13" fillId="0" borderId="24" xfId="1" applyFont="1" applyFill="1" applyBorder="1" applyAlignment="1">
      <alignment horizontal="center" vertical="center"/>
    </xf>
    <xf numFmtId="0" fontId="13" fillId="0" borderId="24" xfId="0" applyFont="1" applyBorder="1"/>
    <xf numFmtId="0" fontId="13" fillId="0" borderId="24" xfId="5" applyFont="1" applyFill="1" applyBorder="1" applyAlignment="1" applyProtection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2" fontId="18" fillId="0" borderId="24" xfId="5" applyNumberFormat="1" applyFont="1" applyFill="1" applyBorder="1" applyAlignment="1" applyProtection="1">
      <alignment horizontal="center" vertical="center"/>
    </xf>
    <xf numFmtId="4" fontId="13" fillId="0" borderId="24" xfId="6" applyNumberFormat="1" applyFont="1" applyBorder="1" applyAlignment="1" applyProtection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0" fontId="13" fillId="0" borderId="0" xfId="4" applyFont="1" applyFill="1" applyBorder="1"/>
    <xf numFmtId="0" fontId="22" fillId="0" borderId="24" xfId="0" applyFont="1" applyBorder="1" applyAlignment="1">
      <alignment vertical="center"/>
    </xf>
    <xf numFmtId="0" fontId="23" fillId="0" borderId="24" xfId="5" applyFont="1" applyFill="1" applyBorder="1" applyAlignment="1" applyProtection="1">
      <alignment horizontal="center" vertical="center"/>
    </xf>
    <xf numFmtId="0" fontId="23" fillId="0" borderId="24" xfId="1" applyFont="1" applyFill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22" fillId="0" borderId="24" xfId="0" applyFont="1" applyBorder="1"/>
    <xf numFmtId="2" fontId="9" fillId="0" borderId="24" xfId="1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2" fontId="13" fillId="0" borderId="24" xfId="0" applyNumberFormat="1" applyFont="1" applyBorder="1" applyAlignment="1">
      <alignment horizontal="center" vertical="center" wrapText="1"/>
    </xf>
    <xf numFmtId="4" fontId="24" fillId="4" borderId="24" xfId="0" applyNumberFormat="1" applyFont="1" applyFill="1" applyBorder="1" applyAlignment="1">
      <alignment horizontal="center" vertical="center" wrapText="1"/>
    </xf>
    <xf numFmtId="4" fontId="24" fillId="4" borderId="15" xfId="0" applyNumberFormat="1" applyFont="1" applyFill="1" applyBorder="1" applyAlignment="1">
      <alignment horizontal="center" vertical="center" wrapText="1"/>
    </xf>
    <xf numFmtId="4" fontId="24" fillId="0" borderId="24" xfId="0" applyNumberFormat="1" applyFont="1" applyBorder="1" applyAlignment="1">
      <alignment horizontal="center" vertical="center" wrapText="1"/>
    </xf>
    <xf numFmtId="4" fontId="24" fillId="0" borderId="24" xfId="2" applyNumberFormat="1" applyFont="1" applyBorder="1" applyAlignment="1" applyProtection="1">
      <alignment horizontal="center" vertical="center"/>
    </xf>
    <xf numFmtId="4" fontId="25" fillId="0" borderId="24" xfId="2" applyNumberFormat="1" applyFont="1" applyBorder="1" applyAlignment="1" applyProtection="1">
      <alignment horizontal="center" vertical="center"/>
    </xf>
    <xf numFmtId="0" fontId="25" fillId="0" borderId="24" xfId="1" applyFont="1" applyFill="1" applyBorder="1" applyAlignment="1">
      <alignment horizontal="center" vertical="center"/>
    </xf>
    <xf numFmtId="2" fontId="25" fillId="0" borderId="24" xfId="1" applyNumberFormat="1" applyFont="1" applyFill="1" applyBorder="1" applyAlignment="1">
      <alignment horizontal="center" vertical="center"/>
    </xf>
    <xf numFmtId="2" fontId="25" fillId="0" borderId="24" xfId="2" applyNumberFormat="1" applyFont="1" applyBorder="1" applyAlignment="1" applyProtection="1">
      <alignment horizontal="center" vertical="center"/>
    </xf>
    <xf numFmtId="2" fontId="24" fillId="0" borderId="24" xfId="5" applyNumberFormat="1" applyFont="1" applyFill="1" applyBorder="1" applyAlignment="1" applyProtection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1" fillId="0" borderId="11" xfId="0" applyNumberFormat="1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4" fontId="18" fillId="0" borderId="16" xfId="2" applyNumberFormat="1" applyFont="1" applyFill="1" applyBorder="1" applyAlignment="1" applyProtection="1">
      <alignment horizontal="left" vertical="center"/>
    </xf>
    <xf numFmtId="4" fontId="18" fillId="0" borderId="14" xfId="2" applyNumberFormat="1" applyFont="1" applyFill="1" applyBorder="1" applyAlignment="1" applyProtection="1">
      <alignment horizontal="left" vertical="center"/>
    </xf>
    <xf numFmtId="4" fontId="18" fillId="0" borderId="15" xfId="2" applyNumberFormat="1" applyFont="1" applyFill="1" applyBorder="1" applyAlignment="1" applyProtection="1">
      <alignment horizontal="left" vertical="center"/>
    </xf>
    <xf numFmtId="4" fontId="18" fillId="0" borderId="24" xfId="2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Originais/2022/10%20Outubro/Notas%20Fiscais/NF%20516064%20Jabu%20SA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Originais/2022/10%20Outubro/Notas%20Fiscais/NF%20516064%20Jabu%20SA.pdf" TargetMode="External"/><Relationship Id="rId1" Type="http://schemas.openxmlformats.org/officeDocument/2006/relationships/hyperlink" Target="../2022/09%20Setembro/Notas%20Fiscais/NF01%20Jabu%20SA.pdf" TargetMode="External"/><Relationship Id="rId6" Type="http://schemas.openxmlformats.org/officeDocument/2006/relationships/hyperlink" Target="07%20Jul/2022/10%20Outubro/Notas%20Fiscais/NF%20516064%20Jabu%20SA.pdf" TargetMode="External"/><Relationship Id="rId5" Type="http://schemas.openxmlformats.org/officeDocument/2006/relationships/hyperlink" Target="Originais/2022/10%20Outubro/Notas%20Fiscais/NF01%20Jabu%20SA.pdf" TargetMode="External"/><Relationship Id="rId4" Type="http://schemas.openxmlformats.org/officeDocument/2006/relationships/hyperlink" Target="Originais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abSelected="1" topLeftCell="A102" zoomScale="70" zoomScaleNormal="70" workbookViewId="0">
      <selection activeCell="J121" sqref="J121:N121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5"/>
      <c r="J1" s="102" t="s">
        <v>1</v>
      </c>
      <c r="K1" s="102"/>
      <c r="L1" s="102"/>
      <c r="M1" s="102"/>
      <c r="N1" s="102"/>
      <c r="O1" s="103"/>
    </row>
    <row r="2" spans="1:15" ht="17.100000000000001" customHeight="1" x14ac:dyDescent="0.25">
      <c r="A2" s="96"/>
      <c r="B2" s="97"/>
      <c r="C2" s="97"/>
      <c r="D2" s="97"/>
      <c r="E2" s="97"/>
      <c r="F2" s="97"/>
      <c r="G2" s="97"/>
      <c r="H2" s="97"/>
      <c r="I2" s="98"/>
      <c r="J2" s="104" t="s">
        <v>2</v>
      </c>
      <c r="K2" s="104"/>
      <c r="L2" s="104"/>
      <c r="M2" s="104"/>
      <c r="N2" s="104"/>
      <c r="O2" s="105"/>
    </row>
    <row r="3" spans="1:15" ht="17.100000000000001" customHeight="1" x14ac:dyDescent="0.25">
      <c r="A3" s="96"/>
      <c r="B3" s="97"/>
      <c r="C3" s="97"/>
      <c r="D3" s="97"/>
      <c r="E3" s="97"/>
      <c r="F3" s="97"/>
      <c r="G3" s="97"/>
      <c r="H3" s="97"/>
      <c r="I3" s="98"/>
      <c r="J3" s="104" t="s">
        <v>3</v>
      </c>
      <c r="K3" s="104"/>
      <c r="L3" s="104"/>
      <c r="M3" s="104" t="s">
        <v>4</v>
      </c>
      <c r="N3" s="104"/>
      <c r="O3" s="1"/>
    </row>
    <row r="4" spans="1:15" ht="17.100000000000001" customHeight="1" x14ac:dyDescent="0.25">
      <c r="A4" s="96"/>
      <c r="B4" s="97"/>
      <c r="C4" s="97"/>
      <c r="D4" s="97"/>
      <c r="E4" s="97"/>
      <c r="F4" s="97"/>
      <c r="G4" s="97"/>
      <c r="H4" s="97"/>
      <c r="I4" s="98"/>
      <c r="J4" s="104" t="s">
        <v>5</v>
      </c>
      <c r="K4" s="104"/>
      <c r="L4" s="104"/>
      <c r="M4" s="104" t="s">
        <v>6</v>
      </c>
      <c r="N4" s="104"/>
      <c r="O4" s="2"/>
    </row>
    <row r="5" spans="1:15" ht="17.100000000000001" customHeight="1" x14ac:dyDescent="0.25">
      <c r="A5" s="96"/>
      <c r="B5" s="97"/>
      <c r="C5" s="97"/>
      <c r="D5" s="97"/>
      <c r="E5" s="97"/>
      <c r="F5" s="97"/>
      <c r="G5" s="97"/>
      <c r="H5" s="97"/>
      <c r="I5" s="98"/>
      <c r="J5" s="104" t="s">
        <v>7</v>
      </c>
      <c r="K5" s="104"/>
      <c r="L5" s="104"/>
      <c r="M5" s="104" t="s">
        <v>8</v>
      </c>
      <c r="N5" s="104"/>
      <c r="O5" s="1"/>
    </row>
    <row r="6" spans="1:15" ht="17.100000000000001" customHeight="1" x14ac:dyDescent="0.25">
      <c r="A6" s="99"/>
      <c r="B6" s="100"/>
      <c r="C6" s="100"/>
      <c r="D6" s="100"/>
      <c r="E6" s="100"/>
      <c r="F6" s="100"/>
      <c r="G6" s="100"/>
      <c r="H6" s="100"/>
      <c r="I6" s="101"/>
      <c r="J6" s="104" t="s">
        <v>9</v>
      </c>
      <c r="K6" s="104"/>
      <c r="L6" s="104"/>
      <c r="M6" s="104" t="s">
        <v>10</v>
      </c>
      <c r="N6" s="104"/>
      <c r="O6" s="1"/>
    </row>
    <row r="7" spans="1:15" ht="17.100000000000001" customHeight="1" x14ac:dyDescent="0.25">
      <c r="A7" s="77" t="s">
        <v>11</v>
      </c>
      <c r="B7" s="78"/>
      <c r="C7" s="78"/>
      <c r="D7" s="78"/>
      <c r="E7" s="78"/>
      <c r="F7" s="78"/>
      <c r="G7" s="78"/>
      <c r="H7" s="78"/>
      <c r="I7" s="79"/>
      <c r="J7" s="80" t="s">
        <v>55</v>
      </c>
      <c r="K7" s="81"/>
      <c r="L7" s="81"/>
      <c r="M7" s="81"/>
      <c r="N7" s="82"/>
      <c r="O7" s="83" t="s">
        <v>12</v>
      </c>
    </row>
    <row r="8" spans="1:15" ht="17.100000000000001" customHeight="1" x14ac:dyDescent="0.25">
      <c r="A8" s="84" t="s">
        <v>239</v>
      </c>
      <c r="B8" s="85"/>
      <c r="C8" s="85"/>
      <c r="D8" s="85"/>
      <c r="E8" s="85"/>
      <c r="F8" s="85"/>
      <c r="G8" s="85"/>
      <c r="H8" s="85"/>
      <c r="I8" s="86"/>
      <c r="J8" s="80" t="s">
        <v>13</v>
      </c>
      <c r="K8" s="81"/>
      <c r="L8" s="81"/>
      <c r="M8" s="81"/>
      <c r="N8" s="82"/>
      <c r="O8" s="83"/>
    </row>
    <row r="9" spans="1:15" ht="17.100000000000001" customHeight="1" x14ac:dyDescent="0.25">
      <c r="A9" s="87"/>
      <c r="B9" s="88"/>
      <c r="C9" s="88"/>
      <c r="D9" s="88"/>
      <c r="E9" s="88"/>
      <c r="F9" s="88"/>
      <c r="G9" s="88"/>
      <c r="H9" s="88"/>
      <c r="I9" s="89"/>
      <c r="J9" s="80" t="s">
        <v>14</v>
      </c>
      <c r="K9" s="81"/>
      <c r="L9" s="81"/>
      <c r="M9" s="81"/>
      <c r="N9" s="82"/>
      <c r="O9" s="83"/>
    </row>
    <row r="10" spans="1:15" ht="17.100000000000001" customHeight="1" x14ac:dyDescent="0.25">
      <c r="A10" s="87"/>
      <c r="B10" s="88"/>
      <c r="C10" s="88"/>
      <c r="D10" s="88"/>
      <c r="E10" s="88"/>
      <c r="F10" s="88"/>
      <c r="G10" s="88"/>
      <c r="H10" s="88"/>
      <c r="I10" s="89"/>
      <c r="J10" s="80" t="s">
        <v>15</v>
      </c>
      <c r="K10" s="81"/>
      <c r="L10" s="81"/>
      <c r="M10" s="81"/>
      <c r="N10" s="82"/>
      <c r="O10" s="83"/>
    </row>
    <row r="11" spans="1:15" ht="17.100000000000001" customHeight="1" x14ac:dyDescent="0.25">
      <c r="A11" s="87"/>
      <c r="B11" s="88"/>
      <c r="C11" s="88"/>
      <c r="D11" s="88"/>
      <c r="E11" s="88"/>
      <c r="F11" s="88"/>
      <c r="G11" s="88"/>
      <c r="H11" s="88"/>
      <c r="I11" s="89"/>
      <c r="J11" s="80" t="s">
        <v>54</v>
      </c>
      <c r="K11" s="81"/>
      <c r="L11" s="81"/>
      <c r="M11" s="81"/>
      <c r="N11" s="82"/>
      <c r="O11" s="83"/>
    </row>
    <row r="12" spans="1:15" ht="17.100000000000001" customHeight="1" x14ac:dyDescent="0.25">
      <c r="A12" s="87"/>
      <c r="B12" s="88"/>
      <c r="C12" s="88"/>
      <c r="D12" s="88"/>
      <c r="E12" s="88"/>
      <c r="F12" s="88"/>
      <c r="G12" s="88"/>
      <c r="H12" s="88"/>
      <c r="I12" s="89"/>
      <c r="J12" s="80" t="s">
        <v>99</v>
      </c>
      <c r="K12" s="81"/>
      <c r="L12" s="81"/>
      <c r="M12" s="81"/>
      <c r="N12" s="82"/>
      <c r="O12" s="83"/>
    </row>
    <row r="13" spans="1:15" ht="17.100000000000001" customHeight="1" x14ac:dyDescent="0.25">
      <c r="A13" s="90"/>
      <c r="B13" s="91"/>
      <c r="C13" s="91"/>
      <c r="D13" s="91"/>
      <c r="E13" s="91"/>
      <c r="F13" s="91"/>
      <c r="G13" s="91"/>
      <c r="H13" s="91"/>
      <c r="I13" s="92"/>
      <c r="J13" s="80" t="s">
        <v>98</v>
      </c>
      <c r="K13" s="81"/>
      <c r="L13" s="81"/>
      <c r="M13" s="81"/>
      <c r="N13" s="82"/>
      <c r="O13" s="83"/>
    </row>
    <row r="14" spans="1:15" ht="17.100000000000001" customHeight="1" x14ac:dyDescent="0.25">
      <c r="A14" s="106" t="s">
        <v>16</v>
      </c>
      <c r="B14" s="108" t="s">
        <v>17</v>
      </c>
      <c r="C14" s="108" t="s">
        <v>18</v>
      </c>
      <c r="D14" s="108" t="s">
        <v>19</v>
      </c>
      <c r="E14" s="108" t="s">
        <v>20</v>
      </c>
      <c r="F14" s="108" t="s">
        <v>21</v>
      </c>
      <c r="G14" s="108" t="s">
        <v>22</v>
      </c>
      <c r="H14" s="110" t="s">
        <v>23</v>
      </c>
      <c r="I14" s="110"/>
      <c r="J14" s="110"/>
      <c r="K14" s="110"/>
      <c r="L14" s="111"/>
      <c r="M14" s="108" t="s">
        <v>24</v>
      </c>
      <c r="N14" s="108" t="s">
        <v>25</v>
      </c>
      <c r="O14" s="83" t="s">
        <v>26</v>
      </c>
    </row>
    <row r="15" spans="1:15" ht="17.100000000000001" customHeight="1" x14ac:dyDescent="0.25">
      <c r="A15" s="107"/>
      <c r="B15" s="109"/>
      <c r="C15" s="109"/>
      <c r="D15" s="109"/>
      <c r="E15" s="109"/>
      <c r="F15" s="109"/>
      <c r="G15" s="109"/>
      <c r="H15" s="3" t="s">
        <v>27</v>
      </c>
      <c r="I15" s="4" t="s">
        <v>28</v>
      </c>
      <c r="J15" s="3" t="s">
        <v>29</v>
      </c>
      <c r="K15" s="4" t="s">
        <v>56</v>
      </c>
      <c r="L15" s="3" t="s">
        <v>30</v>
      </c>
      <c r="M15" s="109"/>
      <c r="N15" s="109"/>
      <c r="O15" s="83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81612.659702745616</v>
      </c>
      <c r="N16" s="10">
        <f>SUM(N17:N28)</f>
        <v>0.99999999999999978</v>
      </c>
      <c r="O16" s="83"/>
    </row>
    <row r="17" spans="1:15" ht="26.25" customHeight="1" x14ac:dyDescent="0.25">
      <c r="A17" s="17" t="s">
        <v>32</v>
      </c>
      <c r="B17" s="17" t="s">
        <v>33</v>
      </c>
      <c r="C17" s="11" t="s">
        <v>66</v>
      </c>
      <c r="D17" s="11" t="s">
        <v>34</v>
      </c>
      <c r="E17" s="20" t="s">
        <v>67</v>
      </c>
      <c r="F17" s="13" t="s">
        <v>35</v>
      </c>
      <c r="G17" s="17">
        <v>204</v>
      </c>
      <c r="H17" s="71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9594.152378553601</v>
      </c>
      <c r="N17" s="14">
        <f>M17/M$16</f>
        <v>0.11755715857684312</v>
      </c>
      <c r="O17" s="112"/>
    </row>
    <row r="18" spans="1:15" ht="26.25" customHeight="1" x14ac:dyDescent="0.25">
      <c r="A18" s="17" t="s">
        <v>70</v>
      </c>
      <c r="B18" s="17" t="s">
        <v>33</v>
      </c>
      <c r="C18" s="11" t="s">
        <v>58</v>
      </c>
      <c r="D18" s="11" t="s">
        <v>34</v>
      </c>
      <c r="E18" s="20" t="s">
        <v>59</v>
      </c>
      <c r="F18" s="13" t="s">
        <v>35</v>
      </c>
      <c r="G18" s="17">
        <v>204</v>
      </c>
      <c r="H18" s="71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8294.4765103200007</v>
      </c>
      <c r="N18" s="14">
        <f t="shared" ref="N18:N28" si="5">M18/M$16</f>
        <v>0.10163222887883604</v>
      </c>
      <c r="O18" s="112"/>
    </row>
    <row r="19" spans="1:15" ht="26.25" customHeight="1" x14ac:dyDescent="0.25">
      <c r="A19" s="17" t="s">
        <v>71</v>
      </c>
      <c r="B19" s="17" t="s">
        <v>33</v>
      </c>
      <c r="C19" s="11" t="s">
        <v>58</v>
      </c>
      <c r="D19" s="11" t="s">
        <v>34</v>
      </c>
      <c r="E19" s="20" t="s">
        <v>59</v>
      </c>
      <c r="F19" s="13" t="s">
        <v>35</v>
      </c>
      <c r="G19" s="17">
        <v>180</v>
      </c>
      <c r="H19" s="71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7318.6557444</v>
      </c>
      <c r="N19" s="14">
        <f t="shared" si="5"/>
        <v>8.9675496069561197E-2</v>
      </c>
      <c r="O19" s="112"/>
    </row>
    <row r="20" spans="1:15" ht="26.25" customHeight="1" x14ac:dyDescent="0.25">
      <c r="A20" s="17" t="s">
        <v>72</v>
      </c>
      <c r="B20" s="17" t="s">
        <v>33</v>
      </c>
      <c r="C20" s="11" t="s">
        <v>60</v>
      </c>
      <c r="D20" s="11" t="s">
        <v>34</v>
      </c>
      <c r="E20" s="20" t="s">
        <v>61</v>
      </c>
      <c r="F20" s="13" t="s">
        <v>35</v>
      </c>
      <c r="G20" s="17">
        <v>180</v>
      </c>
      <c r="H20" s="71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6290.7422909759998</v>
      </c>
      <c r="N20" s="14">
        <f t="shared" si="5"/>
        <v>7.7080471508813808E-2</v>
      </c>
      <c r="O20" s="112"/>
    </row>
    <row r="21" spans="1:15" ht="26.25" customHeight="1" x14ac:dyDescent="0.25">
      <c r="A21" s="17" t="s">
        <v>73</v>
      </c>
      <c r="B21" s="17" t="s">
        <v>33</v>
      </c>
      <c r="C21" s="11" t="s">
        <v>60</v>
      </c>
      <c r="D21" s="11" t="s">
        <v>34</v>
      </c>
      <c r="E21" s="20" t="s">
        <v>61</v>
      </c>
      <c r="F21" s="13" t="s">
        <v>35</v>
      </c>
      <c r="G21" s="17">
        <v>180</v>
      </c>
      <c r="H21" s="71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6290.7422909759998</v>
      </c>
      <c r="N21" s="14">
        <f t="shared" si="5"/>
        <v>7.7080471508813808E-2</v>
      </c>
      <c r="O21" s="112"/>
    </row>
    <row r="22" spans="1:15" ht="26.25" customHeight="1" x14ac:dyDescent="0.25">
      <c r="A22" s="17" t="s">
        <v>74</v>
      </c>
      <c r="B22" s="17" t="s">
        <v>33</v>
      </c>
      <c r="C22" s="11" t="s">
        <v>62</v>
      </c>
      <c r="D22" s="11" t="s">
        <v>34</v>
      </c>
      <c r="E22" s="20" t="s">
        <v>63</v>
      </c>
      <c r="F22" s="13" t="s">
        <v>35</v>
      </c>
      <c r="G22" s="17">
        <v>180</v>
      </c>
      <c r="H22" s="71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6953.2732320480009</v>
      </c>
      <c r="N22" s="14">
        <f t="shared" si="5"/>
        <v>8.5198463784584622E-2</v>
      </c>
      <c r="O22" s="112"/>
    </row>
    <row r="23" spans="1:15" ht="26.25" customHeight="1" x14ac:dyDescent="0.25">
      <c r="A23" s="17" t="s">
        <v>75</v>
      </c>
      <c r="B23" s="17" t="s">
        <v>33</v>
      </c>
      <c r="C23" s="11" t="s">
        <v>62</v>
      </c>
      <c r="D23" s="11" t="s">
        <v>34</v>
      </c>
      <c r="E23" s="20" t="s">
        <v>63</v>
      </c>
      <c r="F23" s="13" t="s">
        <v>35</v>
      </c>
      <c r="G23" s="17">
        <v>180</v>
      </c>
      <c r="H23" s="71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6953.2732320480009</v>
      </c>
      <c r="N23" s="14">
        <f t="shared" si="5"/>
        <v>8.5198463784584622E-2</v>
      </c>
      <c r="O23" s="112"/>
    </row>
    <row r="24" spans="1:15" ht="26.25" customHeight="1" x14ac:dyDescent="0.25">
      <c r="A24" s="17" t="s">
        <v>76</v>
      </c>
      <c r="B24" s="17" t="s">
        <v>33</v>
      </c>
      <c r="C24" s="11" t="s">
        <v>64</v>
      </c>
      <c r="D24" s="11" t="s">
        <v>34</v>
      </c>
      <c r="E24" s="20" t="s">
        <v>65</v>
      </c>
      <c r="F24" s="13" t="s">
        <v>35</v>
      </c>
      <c r="G24" s="17">
        <v>180</v>
      </c>
      <c r="H24" s="71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5986.9905638399996</v>
      </c>
      <c r="N24" s="14">
        <f t="shared" si="5"/>
        <v>7.3358601296001941E-2</v>
      </c>
      <c r="O24" s="112"/>
    </row>
    <row r="25" spans="1:15" ht="26.25" customHeight="1" x14ac:dyDescent="0.25">
      <c r="A25" s="17" t="s">
        <v>77</v>
      </c>
      <c r="B25" s="17" t="s">
        <v>33</v>
      </c>
      <c r="C25" s="11" t="s">
        <v>64</v>
      </c>
      <c r="D25" s="11" t="s">
        <v>34</v>
      </c>
      <c r="E25" s="20" t="s">
        <v>65</v>
      </c>
      <c r="F25" s="13" t="s">
        <v>35</v>
      </c>
      <c r="G25" s="17">
        <v>180</v>
      </c>
      <c r="H25" s="71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5986.9905638399996</v>
      </c>
      <c r="N25" s="14">
        <f t="shared" si="5"/>
        <v>7.3358601296001941E-2</v>
      </c>
      <c r="O25" s="112"/>
    </row>
    <row r="26" spans="1:15" ht="26.25" customHeight="1" x14ac:dyDescent="0.25">
      <c r="A26" s="17" t="s">
        <v>78</v>
      </c>
      <c r="B26" s="17" t="s">
        <v>33</v>
      </c>
      <c r="C26" s="11" t="s">
        <v>64</v>
      </c>
      <c r="D26" s="11" t="s">
        <v>34</v>
      </c>
      <c r="E26" s="20" t="s">
        <v>65</v>
      </c>
      <c r="F26" s="13" t="s">
        <v>35</v>
      </c>
      <c r="G26" s="17">
        <v>180</v>
      </c>
      <c r="H26" s="71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5986.9905638399996</v>
      </c>
      <c r="N26" s="14">
        <f t="shared" si="5"/>
        <v>7.3358601296001941E-2</v>
      </c>
      <c r="O26" s="112"/>
    </row>
    <row r="27" spans="1:15" ht="26.25" customHeight="1" x14ac:dyDescent="0.25">
      <c r="A27" s="17" t="s">
        <v>79</v>
      </c>
      <c r="B27" s="17" t="s">
        <v>33</v>
      </c>
      <c r="C27" s="11" t="s">
        <v>68</v>
      </c>
      <c r="D27" s="11" t="s">
        <v>34</v>
      </c>
      <c r="E27" s="12" t="s">
        <v>69</v>
      </c>
      <c r="F27" s="13" t="s">
        <v>35</v>
      </c>
      <c r="G27" s="17">
        <v>180</v>
      </c>
      <c r="H27" s="71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5978.186165952</v>
      </c>
      <c r="N27" s="14">
        <f t="shared" si="5"/>
        <v>7.3250720999978411E-2</v>
      </c>
      <c r="O27" s="112"/>
    </row>
    <row r="28" spans="1:15" ht="26.25" customHeight="1" x14ac:dyDescent="0.25">
      <c r="A28" s="17" t="s">
        <v>80</v>
      </c>
      <c r="B28" s="17" t="s">
        <v>33</v>
      </c>
      <c r="C28" s="11" t="s">
        <v>68</v>
      </c>
      <c r="D28" s="11" t="s">
        <v>34</v>
      </c>
      <c r="E28" s="12" t="s">
        <v>69</v>
      </c>
      <c r="F28" s="13" t="s">
        <v>35</v>
      </c>
      <c r="G28" s="17">
        <v>180</v>
      </c>
      <c r="H28" s="71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5978.186165952</v>
      </c>
      <c r="N28" s="14">
        <f t="shared" si="5"/>
        <v>7.3250720999978411E-2</v>
      </c>
      <c r="O28" s="112"/>
    </row>
    <row r="29" spans="1:15" x14ac:dyDescent="0.25">
      <c r="A29" s="106" t="s">
        <v>16</v>
      </c>
      <c r="B29" s="108" t="s">
        <v>17</v>
      </c>
      <c r="C29" s="108" t="s">
        <v>18</v>
      </c>
      <c r="D29" s="108" t="s">
        <v>19</v>
      </c>
      <c r="E29" s="108" t="s">
        <v>20</v>
      </c>
      <c r="F29" s="108" t="s">
        <v>21</v>
      </c>
      <c r="G29" s="108" t="s">
        <v>22</v>
      </c>
      <c r="H29" s="110" t="s">
        <v>23</v>
      </c>
      <c r="I29" s="110"/>
      <c r="J29" s="110"/>
      <c r="K29" s="110"/>
      <c r="L29" s="111"/>
      <c r="M29" s="108" t="s">
        <v>24</v>
      </c>
      <c r="N29" s="108" t="s">
        <v>25</v>
      </c>
      <c r="O29" s="112"/>
    </row>
    <row r="30" spans="1:15" ht="17.100000000000001" customHeight="1" x14ac:dyDescent="0.25">
      <c r="A30" s="107"/>
      <c r="B30" s="109"/>
      <c r="C30" s="109"/>
      <c r="D30" s="109"/>
      <c r="E30" s="109"/>
      <c r="F30" s="109"/>
      <c r="G30" s="109"/>
      <c r="H30" s="3" t="s">
        <v>27</v>
      </c>
      <c r="I30" s="26" t="s">
        <v>36</v>
      </c>
      <c r="J30" s="3" t="s">
        <v>29</v>
      </c>
      <c r="K30" s="4" t="s">
        <v>56</v>
      </c>
      <c r="L30" s="3" t="s">
        <v>30</v>
      </c>
      <c r="M30" s="109"/>
      <c r="N30" s="109"/>
      <c r="O30" s="83"/>
    </row>
    <row r="31" spans="1:15" ht="17.100000000000001" customHeight="1" x14ac:dyDescent="0.25">
      <c r="A31" s="15">
        <v>2</v>
      </c>
      <c r="B31" s="113" t="s">
        <v>37</v>
      </c>
      <c r="C31" s="113"/>
      <c r="D31" s="114"/>
      <c r="E31" s="114"/>
      <c r="F31" s="114"/>
      <c r="G31" s="16"/>
      <c r="H31" s="16"/>
      <c r="I31" s="16"/>
      <c r="J31" s="16"/>
      <c r="K31" s="16"/>
      <c r="L31" s="16"/>
      <c r="M31" s="22">
        <f>SUM(M32:M104)</f>
        <v>19532.674862572949</v>
      </c>
      <c r="N31" s="16"/>
      <c r="O31" s="112"/>
    </row>
    <row r="32" spans="1:15" s="19" customFormat="1" ht="17.100000000000001" customHeight="1" x14ac:dyDescent="0.2">
      <c r="A32" s="18" t="s">
        <v>50</v>
      </c>
      <c r="B32" s="18" t="s">
        <v>53</v>
      </c>
      <c r="C32" s="23">
        <v>779</v>
      </c>
      <c r="D32" s="18" t="s">
        <v>34</v>
      </c>
      <c r="E32" s="24" t="s">
        <v>125</v>
      </c>
      <c r="F32" s="18" t="s">
        <v>21</v>
      </c>
      <c r="G32" s="18">
        <v>20</v>
      </c>
      <c r="H32" s="72">
        <v>7.18</v>
      </c>
      <c r="I32" s="14">
        <f t="shared" ref="I32:I95" si="6">H32*0.1532</f>
        <v>1.0999760000000001</v>
      </c>
      <c r="J32" s="14">
        <f t="shared" ref="J32" si="7">H32+I32</f>
        <v>8.2799759999999996</v>
      </c>
      <c r="K32" s="14">
        <f t="shared" ref="K32" si="8">J32*(0.03%)</f>
        <v>2.4839927999999998E-3</v>
      </c>
      <c r="L32" s="14">
        <f t="shared" ref="L32" si="9">J32-K32</f>
        <v>8.2774920071999993</v>
      </c>
      <c r="M32" s="14">
        <f t="shared" ref="M32" si="10">L32*G32</f>
        <v>165.54984014399997</v>
      </c>
      <c r="N32" s="14">
        <f>M32/M31</f>
        <v>8.4755335000847327E-3</v>
      </c>
      <c r="O32" s="112"/>
    </row>
    <row r="33" spans="1:15" s="19" customFormat="1" ht="17.100000000000001" customHeight="1" x14ac:dyDescent="0.2">
      <c r="A33" s="18" t="s">
        <v>51</v>
      </c>
      <c r="B33" s="18" t="s">
        <v>53</v>
      </c>
      <c r="C33" s="18">
        <v>12613</v>
      </c>
      <c r="D33" s="18" t="s">
        <v>34</v>
      </c>
      <c r="E33" s="31" t="s">
        <v>127</v>
      </c>
      <c r="F33" s="18" t="s">
        <v>21</v>
      </c>
      <c r="G33" s="18">
        <v>15</v>
      </c>
      <c r="H33" s="73">
        <v>21.96</v>
      </c>
      <c r="I33" s="14">
        <f t="shared" si="6"/>
        <v>3.3642720000000002</v>
      </c>
      <c r="J33" s="14">
        <f t="shared" ref="J33:J47" si="11">H33+I33</f>
        <v>25.324272000000001</v>
      </c>
      <c r="K33" s="14">
        <f t="shared" ref="K33:K47" si="12">J33*(0.03%)</f>
        <v>7.5972815999999993E-3</v>
      </c>
      <c r="L33" s="14">
        <f t="shared" ref="L33:L47" si="13">J33-K33</f>
        <v>25.316674718400002</v>
      </c>
      <c r="M33" s="14">
        <f t="shared" ref="M33:M47" si="14">L33*G33</f>
        <v>379.75012077600002</v>
      </c>
      <c r="N33" s="14">
        <f t="shared" ref="N33:N99" si="15">M33/M32</f>
        <v>2.2938718662952651</v>
      </c>
      <c r="O33" s="112"/>
    </row>
    <row r="34" spans="1:15" s="19" customFormat="1" ht="17.100000000000001" customHeight="1" x14ac:dyDescent="0.2">
      <c r="A34" s="18" t="s">
        <v>52</v>
      </c>
      <c r="B34" s="18" t="s">
        <v>53</v>
      </c>
      <c r="C34" s="18">
        <v>36791</v>
      </c>
      <c r="D34" s="18" t="s">
        <v>34</v>
      </c>
      <c r="E34" s="56" t="s">
        <v>128</v>
      </c>
      <c r="F34" s="18" t="s">
        <v>21</v>
      </c>
      <c r="G34" s="18">
        <v>10</v>
      </c>
      <c r="H34" s="72">
        <v>134.44</v>
      </c>
      <c r="I34" s="14">
        <f t="shared" si="6"/>
        <v>20.596208000000001</v>
      </c>
      <c r="J34" s="14">
        <f t="shared" si="11"/>
        <v>155.03620799999999</v>
      </c>
      <c r="K34" s="14">
        <f t="shared" si="12"/>
        <v>4.6510862399999992E-2</v>
      </c>
      <c r="L34" s="14">
        <f t="shared" si="13"/>
        <v>154.98969713759999</v>
      </c>
      <c r="M34" s="14">
        <f t="shared" si="14"/>
        <v>1549.8969713759998</v>
      </c>
      <c r="N34" s="14">
        <f t="shared" si="15"/>
        <v>4.0813600485731625</v>
      </c>
      <c r="O34" s="112"/>
    </row>
    <row r="35" spans="1:15" s="19" customFormat="1" ht="17.100000000000001" customHeight="1" x14ac:dyDescent="0.2">
      <c r="A35" s="18" t="s">
        <v>200</v>
      </c>
      <c r="B35" s="18" t="s">
        <v>53</v>
      </c>
      <c r="C35" s="18">
        <v>11762</v>
      </c>
      <c r="D35" s="18" t="s">
        <v>34</v>
      </c>
      <c r="E35" s="25" t="s">
        <v>85</v>
      </c>
      <c r="F35" s="18" t="s">
        <v>21</v>
      </c>
      <c r="G35" s="18">
        <v>15</v>
      </c>
      <c r="H35" s="73">
        <v>56.5</v>
      </c>
      <c r="I35" s="14">
        <f t="shared" si="6"/>
        <v>8.6557999999999993</v>
      </c>
      <c r="J35" s="14">
        <f t="shared" si="11"/>
        <v>65.155799999999999</v>
      </c>
      <c r="K35" s="14">
        <f t="shared" si="12"/>
        <v>1.9546739999999996E-2</v>
      </c>
      <c r="L35" s="14">
        <f t="shared" si="13"/>
        <v>65.136253260000004</v>
      </c>
      <c r="M35" s="14">
        <f t="shared" si="14"/>
        <v>977.04379890000007</v>
      </c>
      <c r="N35" s="14">
        <f t="shared" si="15"/>
        <v>0.63039274025587633</v>
      </c>
      <c r="O35" s="112"/>
    </row>
    <row r="36" spans="1:15" s="19" customFormat="1" ht="17.100000000000001" customHeight="1" x14ac:dyDescent="0.2">
      <c r="A36" s="18" t="s">
        <v>201</v>
      </c>
      <c r="B36" s="18" t="s">
        <v>53</v>
      </c>
      <c r="C36" s="23">
        <v>44945</v>
      </c>
      <c r="D36" s="18" t="s">
        <v>34</v>
      </c>
      <c r="E36" s="24" t="s">
        <v>102</v>
      </c>
      <c r="F36" s="18" t="s">
        <v>21</v>
      </c>
      <c r="G36" s="18">
        <v>16</v>
      </c>
      <c r="H36" s="72">
        <v>10.8</v>
      </c>
      <c r="I36" s="14">
        <f t="shared" si="6"/>
        <v>1.65456</v>
      </c>
      <c r="J36" s="14">
        <f t="shared" si="11"/>
        <v>12.454560000000001</v>
      </c>
      <c r="K36" s="14">
        <f t="shared" si="12"/>
        <v>3.7363679999999999E-3</v>
      </c>
      <c r="L36" s="14">
        <f t="shared" si="13"/>
        <v>12.450823632000001</v>
      </c>
      <c r="M36" s="14">
        <f t="shared" si="14"/>
        <v>199.21317811200001</v>
      </c>
      <c r="N36" s="14">
        <f t="shared" si="15"/>
        <v>0.2038938053097345</v>
      </c>
      <c r="O36" s="112"/>
    </row>
    <row r="37" spans="1:15" s="19" customFormat="1" ht="17.100000000000001" customHeight="1" x14ac:dyDescent="0.2">
      <c r="A37" s="18" t="s">
        <v>202</v>
      </c>
      <c r="B37" s="18" t="s">
        <v>53</v>
      </c>
      <c r="C37" s="18">
        <v>4374</v>
      </c>
      <c r="D37" s="18" t="s">
        <v>34</v>
      </c>
      <c r="E37" s="25" t="s">
        <v>130</v>
      </c>
      <c r="F37" s="18" t="s">
        <v>21</v>
      </c>
      <c r="G37" s="18">
        <v>100</v>
      </c>
      <c r="H37" s="73">
        <v>0.33</v>
      </c>
      <c r="I37" s="14">
        <f t="shared" si="6"/>
        <v>5.0556000000000004E-2</v>
      </c>
      <c r="J37" s="14">
        <f t="shared" si="11"/>
        <v>0.38055600000000001</v>
      </c>
      <c r="K37" s="14">
        <f t="shared" si="12"/>
        <v>1.1416679999999999E-4</v>
      </c>
      <c r="L37" s="14">
        <f t="shared" si="13"/>
        <v>0.38044183320000002</v>
      </c>
      <c r="M37" s="14">
        <f t="shared" si="14"/>
        <v>38.044183320000002</v>
      </c>
      <c r="N37" s="14">
        <f t="shared" si="15"/>
        <v>0.19097222222222221</v>
      </c>
      <c r="O37" s="112"/>
    </row>
    <row r="38" spans="1:15" s="19" customFormat="1" ht="17.100000000000001" customHeight="1" x14ac:dyDescent="0.2">
      <c r="A38" s="18" t="s">
        <v>203</v>
      </c>
      <c r="B38" s="18" t="s">
        <v>53</v>
      </c>
      <c r="C38" s="18">
        <v>4376</v>
      </c>
      <c r="D38" s="18" t="s">
        <v>34</v>
      </c>
      <c r="E38" s="31" t="s">
        <v>132</v>
      </c>
      <c r="F38" s="18" t="s">
        <v>21</v>
      </c>
      <c r="G38" s="18">
        <v>100</v>
      </c>
      <c r="H38" s="73">
        <v>0.17</v>
      </c>
      <c r="I38" s="14">
        <f t="shared" si="6"/>
        <v>2.6044000000000001E-2</v>
      </c>
      <c r="J38" s="14">
        <f t="shared" si="11"/>
        <v>0.19604400000000002</v>
      </c>
      <c r="K38" s="14">
        <f t="shared" si="12"/>
        <v>5.8813200000000001E-5</v>
      </c>
      <c r="L38" s="14">
        <f t="shared" si="13"/>
        <v>0.19598518680000002</v>
      </c>
      <c r="M38" s="14">
        <f t="shared" si="14"/>
        <v>19.598518680000002</v>
      </c>
      <c r="N38" s="14">
        <f t="shared" si="15"/>
        <v>0.51515151515151514</v>
      </c>
      <c r="O38" s="112"/>
    </row>
    <row r="39" spans="1:15" s="19" customFormat="1" ht="17.100000000000001" customHeight="1" x14ac:dyDescent="0.2">
      <c r="A39" s="18" t="s">
        <v>81</v>
      </c>
      <c r="B39" s="18" t="s">
        <v>53</v>
      </c>
      <c r="C39" s="18">
        <v>40547</v>
      </c>
      <c r="D39" s="18" t="s">
        <v>34</v>
      </c>
      <c r="E39" s="24" t="s">
        <v>107</v>
      </c>
      <c r="F39" s="18" t="s">
        <v>108</v>
      </c>
      <c r="G39" s="18">
        <v>3</v>
      </c>
      <c r="H39" s="71">
        <v>29.16</v>
      </c>
      <c r="I39" s="14">
        <f t="shared" si="6"/>
        <v>4.4673119999999997</v>
      </c>
      <c r="J39" s="14">
        <f t="shared" si="11"/>
        <v>33.627312000000003</v>
      </c>
      <c r="K39" s="14">
        <f t="shared" si="12"/>
        <v>1.00881936E-2</v>
      </c>
      <c r="L39" s="14">
        <f t="shared" si="13"/>
        <v>33.617223806400006</v>
      </c>
      <c r="M39" s="14">
        <f t="shared" si="14"/>
        <v>100.85167141920002</v>
      </c>
      <c r="N39" s="14">
        <f t="shared" si="15"/>
        <v>5.145882352941177</v>
      </c>
      <c r="O39" s="112"/>
    </row>
    <row r="40" spans="1:15" s="19" customFormat="1" ht="17.100000000000001" customHeight="1" x14ac:dyDescent="0.2">
      <c r="A40" s="18" t="s">
        <v>82</v>
      </c>
      <c r="B40" s="18" t="s">
        <v>53</v>
      </c>
      <c r="C40" s="18">
        <v>4823</v>
      </c>
      <c r="D40" s="18" t="s">
        <v>34</v>
      </c>
      <c r="E40" s="32" t="s">
        <v>133</v>
      </c>
      <c r="F40" s="18" t="s">
        <v>134</v>
      </c>
      <c r="G40" s="18">
        <v>2</v>
      </c>
      <c r="H40" s="73">
        <v>42.01</v>
      </c>
      <c r="I40" s="14">
        <f t="shared" si="6"/>
        <v>6.4359320000000002</v>
      </c>
      <c r="J40" s="14">
        <f t="shared" si="11"/>
        <v>48.445931999999999</v>
      </c>
      <c r="K40" s="14">
        <f t="shared" si="12"/>
        <v>1.4533779599999998E-2</v>
      </c>
      <c r="L40" s="14">
        <f t="shared" si="13"/>
        <v>48.431398220399998</v>
      </c>
      <c r="M40" s="14">
        <f t="shared" si="14"/>
        <v>96.862796440799997</v>
      </c>
      <c r="N40" s="14">
        <f t="shared" si="15"/>
        <v>0.96044810242341083</v>
      </c>
      <c r="O40" s="112"/>
    </row>
    <row r="41" spans="1:15" s="19" customFormat="1" ht="17.100000000000001" customHeight="1" x14ac:dyDescent="0.2">
      <c r="A41" s="18" t="s">
        <v>135</v>
      </c>
      <c r="B41" s="18" t="s">
        <v>53</v>
      </c>
      <c r="C41" s="18">
        <v>11681</v>
      </c>
      <c r="D41" s="18" t="s">
        <v>34</v>
      </c>
      <c r="E41" s="32" t="s">
        <v>109</v>
      </c>
      <c r="F41" s="18" t="s">
        <v>21</v>
      </c>
      <c r="G41" s="18">
        <v>10</v>
      </c>
      <c r="H41" s="73">
        <v>8.24</v>
      </c>
      <c r="I41" s="14">
        <f t="shared" si="6"/>
        <v>1.2623680000000002</v>
      </c>
      <c r="J41" s="14">
        <f t="shared" si="11"/>
        <v>9.5023680000000006</v>
      </c>
      <c r="K41" s="14">
        <f t="shared" si="12"/>
        <v>2.8507103999999999E-3</v>
      </c>
      <c r="L41" s="14">
        <f t="shared" si="13"/>
        <v>9.4995172896</v>
      </c>
      <c r="M41" s="14">
        <f t="shared" si="14"/>
        <v>94.995172896</v>
      </c>
      <c r="N41" s="14">
        <f t="shared" si="15"/>
        <v>0.98071887645798628</v>
      </c>
      <c r="O41" s="112"/>
    </row>
    <row r="42" spans="1:15" s="19" customFormat="1" ht="17.100000000000001" customHeight="1" x14ac:dyDescent="0.2">
      <c r="A42" s="18" t="s">
        <v>154</v>
      </c>
      <c r="B42" s="18" t="s">
        <v>53</v>
      </c>
      <c r="C42" s="18">
        <v>3148</v>
      </c>
      <c r="D42" s="18" t="s">
        <v>34</v>
      </c>
      <c r="E42" s="65" t="s">
        <v>110</v>
      </c>
      <c r="F42" s="18" t="s">
        <v>21</v>
      </c>
      <c r="G42" s="18">
        <v>10</v>
      </c>
      <c r="H42" s="73">
        <v>8.77</v>
      </c>
      <c r="I42" s="14">
        <f t="shared" si="6"/>
        <v>1.343564</v>
      </c>
      <c r="J42" s="14">
        <f t="shared" si="11"/>
        <v>10.113564</v>
      </c>
      <c r="K42" s="14">
        <f t="shared" si="12"/>
        <v>3.0340692E-3</v>
      </c>
      <c r="L42" s="14">
        <f t="shared" si="13"/>
        <v>10.1105299308</v>
      </c>
      <c r="M42" s="14">
        <f t="shared" si="14"/>
        <v>101.105299308</v>
      </c>
      <c r="N42" s="14">
        <f t="shared" si="15"/>
        <v>1.0643203883495145</v>
      </c>
      <c r="O42" s="112"/>
    </row>
    <row r="43" spans="1:15" s="30" customFormat="1" ht="16.5" customHeight="1" x14ac:dyDescent="0.2">
      <c r="A43" s="18" t="s">
        <v>204</v>
      </c>
      <c r="B43" s="18" t="s">
        <v>53</v>
      </c>
      <c r="C43" s="40">
        <v>4329</v>
      </c>
      <c r="D43" s="18" t="s">
        <v>34</v>
      </c>
      <c r="E43" s="41" t="s">
        <v>136</v>
      </c>
      <c r="F43" s="18" t="s">
        <v>21</v>
      </c>
      <c r="G43" s="40">
        <v>100</v>
      </c>
      <c r="H43" s="69">
        <v>2.31</v>
      </c>
      <c r="I43" s="14">
        <f t="shared" si="6"/>
        <v>0.35389200000000004</v>
      </c>
      <c r="J43" s="14">
        <f t="shared" si="11"/>
        <v>2.6638920000000001</v>
      </c>
      <c r="K43" s="14">
        <f t="shared" si="12"/>
        <v>7.9916759999999992E-4</v>
      </c>
      <c r="L43" s="14">
        <f t="shared" si="13"/>
        <v>2.6630928324000003</v>
      </c>
      <c r="M43" s="14">
        <f t="shared" si="14"/>
        <v>266.30928324000001</v>
      </c>
      <c r="N43" s="14">
        <f t="shared" si="15"/>
        <v>2.6339794754846069</v>
      </c>
      <c r="O43" s="112"/>
    </row>
    <row r="44" spans="1:15" s="30" customFormat="1" ht="16.5" customHeight="1" x14ac:dyDescent="0.2">
      <c r="A44" s="18" t="s">
        <v>83</v>
      </c>
      <c r="B44" s="18" t="s">
        <v>53</v>
      </c>
      <c r="C44" s="40">
        <v>11962</v>
      </c>
      <c r="D44" s="18" t="s">
        <v>34</v>
      </c>
      <c r="E44" s="41" t="s">
        <v>137</v>
      </c>
      <c r="F44" s="18" t="s">
        <v>21</v>
      </c>
      <c r="G44" s="40">
        <v>100</v>
      </c>
      <c r="H44" s="69">
        <v>0.24</v>
      </c>
      <c r="I44" s="14">
        <f t="shared" si="6"/>
        <v>3.6768000000000002E-2</v>
      </c>
      <c r="J44" s="14">
        <f t="shared" si="11"/>
        <v>0.27676800000000001</v>
      </c>
      <c r="K44" s="14">
        <f t="shared" si="12"/>
        <v>8.3030399999999997E-5</v>
      </c>
      <c r="L44" s="14">
        <f t="shared" si="13"/>
        <v>0.2766849696</v>
      </c>
      <c r="M44" s="14">
        <f t="shared" si="14"/>
        <v>27.668496959999999</v>
      </c>
      <c r="N44" s="14">
        <f t="shared" si="15"/>
        <v>0.10389610389610389</v>
      </c>
      <c r="O44" s="112"/>
    </row>
    <row r="45" spans="1:15" s="30" customFormat="1" ht="16.5" customHeight="1" x14ac:dyDescent="0.2">
      <c r="A45" s="18" t="s">
        <v>141</v>
      </c>
      <c r="B45" s="18" t="s">
        <v>53</v>
      </c>
      <c r="C45" s="40">
        <v>20088</v>
      </c>
      <c r="D45" s="18" t="s">
        <v>34</v>
      </c>
      <c r="E45" s="53" t="s">
        <v>138</v>
      </c>
      <c r="F45" s="18" t="s">
        <v>21</v>
      </c>
      <c r="G45" s="40">
        <v>3</v>
      </c>
      <c r="H45" s="69">
        <v>14.02</v>
      </c>
      <c r="I45" s="14">
        <f t="shared" si="6"/>
        <v>2.1478639999999998</v>
      </c>
      <c r="J45" s="14">
        <f t="shared" si="11"/>
        <v>16.167863999999998</v>
      </c>
      <c r="K45" s="14">
        <f t="shared" si="12"/>
        <v>4.8503591999999986E-3</v>
      </c>
      <c r="L45" s="14">
        <f t="shared" si="13"/>
        <v>16.163013640799999</v>
      </c>
      <c r="M45" s="14">
        <f t="shared" si="14"/>
        <v>48.489040922399994</v>
      </c>
      <c r="N45" s="14">
        <f t="shared" si="15"/>
        <v>1.7524999999999999</v>
      </c>
      <c r="O45" s="112"/>
    </row>
    <row r="46" spans="1:15" s="30" customFormat="1" ht="16.5" customHeight="1" x14ac:dyDescent="0.2">
      <c r="A46" s="18" t="s">
        <v>205</v>
      </c>
      <c r="B46" s="18" t="s">
        <v>53</v>
      </c>
      <c r="C46" s="40">
        <v>37588</v>
      </c>
      <c r="D46" s="18" t="s">
        <v>34</v>
      </c>
      <c r="E46" s="41" t="s">
        <v>139</v>
      </c>
      <c r="F46" s="18" t="s">
        <v>21</v>
      </c>
      <c r="G46" s="40">
        <v>1</v>
      </c>
      <c r="H46" s="69">
        <v>51.9</v>
      </c>
      <c r="I46" s="14">
        <f t="shared" si="6"/>
        <v>7.9510800000000001</v>
      </c>
      <c r="J46" s="14">
        <f t="shared" si="11"/>
        <v>59.851079999999996</v>
      </c>
      <c r="K46" s="14">
        <f t="shared" si="12"/>
        <v>1.7955323999999998E-2</v>
      </c>
      <c r="L46" s="14">
        <f t="shared" si="13"/>
        <v>59.833124675999997</v>
      </c>
      <c r="M46" s="14">
        <f t="shared" si="14"/>
        <v>59.833124675999997</v>
      </c>
      <c r="N46" s="14">
        <f t="shared" si="15"/>
        <v>1.2339514978601998</v>
      </c>
      <c r="O46" s="112"/>
    </row>
    <row r="47" spans="1:15" s="30" customFormat="1" ht="16.5" customHeight="1" x14ac:dyDescent="0.2">
      <c r="A47" s="18" t="s">
        <v>156</v>
      </c>
      <c r="B47" s="18" t="s">
        <v>53</v>
      </c>
      <c r="C47" s="40">
        <v>20271</v>
      </c>
      <c r="D47" s="18" t="s">
        <v>34</v>
      </c>
      <c r="E47" s="53" t="s">
        <v>140</v>
      </c>
      <c r="F47" s="18" t="s">
        <v>21</v>
      </c>
      <c r="G47" s="40">
        <v>1</v>
      </c>
      <c r="H47" s="69">
        <v>506.28</v>
      </c>
      <c r="I47" s="14">
        <f t="shared" si="6"/>
        <v>77.562095999999997</v>
      </c>
      <c r="J47" s="14">
        <f t="shared" si="11"/>
        <v>583.84209599999997</v>
      </c>
      <c r="K47" s="14">
        <f t="shared" si="12"/>
        <v>0.17515262879999999</v>
      </c>
      <c r="L47" s="14">
        <f t="shared" si="13"/>
        <v>583.66694337119998</v>
      </c>
      <c r="M47" s="14">
        <f t="shared" si="14"/>
        <v>583.66694337119998</v>
      </c>
      <c r="N47" s="14">
        <f>M47/M46</f>
        <v>9.7549132947976886</v>
      </c>
      <c r="O47" s="112"/>
    </row>
    <row r="48" spans="1:15" s="19" customFormat="1" ht="17.100000000000001" customHeight="1" x14ac:dyDescent="0.2">
      <c r="A48" s="18" t="s">
        <v>170</v>
      </c>
      <c r="B48" s="18" t="s">
        <v>53</v>
      </c>
      <c r="C48" s="18">
        <v>4384</v>
      </c>
      <c r="D48" s="18" t="s">
        <v>34</v>
      </c>
      <c r="E48" s="25" t="s">
        <v>142</v>
      </c>
      <c r="F48" s="18" t="s">
        <v>21</v>
      </c>
      <c r="G48" s="18">
        <v>6</v>
      </c>
      <c r="H48" s="73">
        <v>24</v>
      </c>
      <c r="I48" s="14">
        <f t="shared" si="6"/>
        <v>3.6768000000000001</v>
      </c>
      <c r="J48" s="14">
        <f t="shared" ref="J48:J99" si="16">H48+I48</f>
        <v>27.6768</v>
      </c>
      <c r="K48" s="14">
        <f t="shared" ref="K48:K99" si="17">J48*(0.03%)</f>
        <v>8.3030399999999994E-3</v>
      </c>
      <c r="L48" s="14">
        <f t="shared" ref="L48:L99" si="18">J48-K48</f>
        <v>27.668496959999999</v>
      </c>
      <c r="M48" s="14">
        <f t="shared" ref="M48:M96" si="19">L48*G48</f>
        <v>166.01098175999999</v>
      </c>
      <c r="N48" s="14">
        <f t="shared" si="15"/>
        <v>0.28442758947617919</v>
      </c>
      <c r="O48" s="112"/>
    </row>
    <row r="49" spans="1:15" s="19" customFormat="1" ht="17.100000000000001" customHeight="1" x14ac:dyDescent="0.2">
      <c r="A49" s="18" t="s">
        <v>173</v>
      </c>
      <c r="B49" s="18" t="s">
        <v>53</v>
      </c>
      <c r="C49" s="18">
        <v>65</v>
      </c>
      <c r="D49" s="18" t="s">
        <v>34</v>
      </c>
      <c r="E49" s="31" t="s">
        <v>144</v>
      </c>
      <c r="F49" s="18" t="s">
        <v>21</v>
      </c>
      <c r="G49" s="18">
        <v>15</v>
      </c>
      <c r="H49" s="73">
        <v>0.93</v>
      </c>
      <c r="I49" s="14">
        <f t="shared" si="6"/>
        <v>0.14247600000000002</v>
      </c>
      <c r="J49" s="14">
        <f t="shared" si="16"/>
        <v>1.072476</v>
      </c>
      <c r="K49" s="14">
        <f t="shared" si="17"/>
        <v>3.2174279999999997E-4</v>
      </c>
      <c r="L49" s="14">
        <f t="shared" si="18"/>
        <v>1.0721542572</v>
      </c>
      <c r="M49" s="14">
        <f t="shared" si="19"/>
        <v>16.082313857999999</v>
      </c>
      <c r="N49" s="14">
        <f t="shared" si="15"/>
        <v>9.6875000000000003E-2</v>
      </c>
      <c r="O49" s="112"/>
    </row>
    <row r="50" spans="1:15" s="30" customFormat="1" ht="16.5" customHeight="1" x14ac:dyDescent="0.2">
      <c r="A50" s="18" t="s">
        <v>131</v>
      </c>
      <c r="B50" s="18" t="s">
        <v>53</v>
      </c>
      <c r="C50" s="40">
        <v>3477</v>
      </c>
      <c r="D50" s="18" t="s">
        <v>34</v>
      </c>
      <c r="E50" s="41" t="s">
        <v>145</v>
      </c>
      <c r="F50" s="18" t="s">
        <v>21</v>
      </c>
      <c r="G50" s="40">
        <v>10</v>
      </c>
      <c r="H50" s="69">
        <v>28.55</v>
      </c>
      <c r="I50" s="14">
        <f t="shared" si="6"/>
        <v>4.3738600000000005</v>
      </c>
      <c r="J50" s="14">
        <f t="shared" si="16"/>
        <v>32.923860000000005</v>
      </c>
      <c r="K50" s="14">
        <f t="shared" si="17"/>
        <v>9.8771580000000005E-3</v>
      </c>
      <c r="L50" s="14">
        <f t="shared" si="18"/>
        <v>32.913982842000003</v>
      </c>
      <c r="M50" s="14">
        <f t="shared" si="19"/>
        <v>329.13982842000001</v>
      </c>
      <c r="N50" s="14">
        <f t="shared" si="15"/>
        <v>20.465949820788534</v>
      </c>
      <c r="O50" s="112"/>
    </row>
    <row r="51" spans="1:15" s="19" customFormat="1" ht="17.100000000000001" customHeight="1" x14ac:dyDescent="0.2">
      <c r="A51" s="18" t="s">
        <v>84</v>
      </c>
      <c r="B51" s="18" t="s">
        <v>53</v>
      </c>
      <c r="C51" s="18">
        <v>3529</v>
      </c>
      <c r="D51" s="18" t="s">
        <v>34</v>
      </c>
      <c r="E51" s="32" t="s">
        <v>146</v>
      </c>
      <c r="F51" s="18" t="s">
        <v>21</v>
      </c>
      <c r="G51" s="18">
        <v>15</v>
      </c>
      <c r="H51" s="73">
        <v>0.76</v>
      </c>
      <c r="I51" s="14">
        <f t="shared" si="6"/>
        <v>0.11643200000000001</v>
      </c>
      <c r="J51" s="14">
        <f t="shared" si="16"/>
        <v>0.87643199999999999</v>
      </c>
      <c r="K51" s="14">
        <f t="shared" si="17"/>
        <v>2.6292959999999995E-4</v>
      </c>
      <c r="L51" s="14">
        <f t="shared" si="18"/>
        <v>0.87616907040000003</v>
      </c>
      <c r="M51" s="14">
        <f t="shared" si="19"/>
        <v>13.142536056000001</v>
      </c>
      <c r="N51" s="14">
        <f t="shared" si="15"/>
        <v>3.9929947460595444E-2</v>
      </c>
      <c r="O51" s="112"/>
    </row>
    <row r="52" spans="1:15" s="19" customFormat="1" ht="17.100000000000001" customHeight="1" x14ac:dyDescent="0.2">
      <c r="A52" s="18" t="s">
        <v>91</v>
      </c>
      <c r="B52" s="18" t="s">
        <v>53</v>
      </c>
      <c r="C52" s="18">
        <v>3904</v>
      </c>
      <c r="D52" s="18" t="s">
        <v>34</v>
      </c>
      <c r="E52" s="32" t="s">
        <v>147</v>
      </c>
      <c r="F52" s="18" t="s">
        <v>21</v>
      </c>
      <c r="G52" s="18">
        <v>10</v>
      </c>
      <c r="H52" s="73">
        <v>0.86</v>
      </c>
      <c r="I52" s="14">
        <f t="shared" si="6"/>
        <v>0.13175200000000001</v>
      </c>
      <c r="J52" s="14">
        <f t="shared" si="16"/>
        <v>0.99175199999999997</v>
      </c>
      <c r="K52" s="14">
        <f t="shared" si="17"/>
        <v>2.9752559999999997E-4</v>
      </c>
      <c r="L52" s="14">
        <f t="shared" si="18"/>
        <v>0.99145447440000001</v>
      </c>
      <c r="M52" s="14">
        <f t="shared" si="19"/>
        <v>9.9145447440000005</v>
      </c>
      <c r="N52" s="14">
        <f t="shared" si="15"/>
        <v>0.75438596491228072</v>
      </c>
      <c r="O52" s="112"/>
    </row>
    <row r="53" spans="1:15" s="19" customFormat="1" ht="17.100000000000001" customHeight="1" x14ac:dyDescent="0.2">
      <c r="A53" s="18" t="s">
        <v>126</v>
      </c>
      <c r="B53" s="18" t="s">
        <v>53</v>
      </c>
      <c r="C53" s="23">
        <v>377</v>
      </c>
      <c r="D53" s="18" t="s">
        <v>34</v>
      </c>
      <c r="E53" s="25" t="s">
        <v>121</v>
      </c>
      <c r="F53" s="18" t="s">
        <v>21</v>
      </c>
      <c r="G53" s="18">
        <v>20</v>
      </c>
      <c r="H53" s="74">
        <v>41.71</v>
      </c>
      <c r="I53" s="14">
        <f t="shared" si="6"/>
        <v>6.3899720000000002</v>
      </c>
      <c r="J53" s="14">
        <f t="shared" si="16"/>
        <v>48.099972000000001</v>
      </c>
      <c r="K53" s="14">
        <f t="shared" si="17"/>
        <v>1.4429991599999999E-2</v>
      </c>
      <c r="L53" s="14">
        <f t="shared" si="18"/>
        <v>48.085542008400004</v>
      </c>
      <c r="M53" s="14">
        <f t="shared" si="19"/>
        <v>961.71084016800012</v>
      </c>
      <c r="N53" s="14">
        <f t="shared" si="15"/>
        <v>97</v>
      </c>
      <c r="O53" s="112"/>
    </row>
    <row r="54" spans="1:15" s="19" customFormat="1" ht="17.100000000000001" customHeight="1" x14ac:dyDescent="0.2">
      <c r="A54" s="18" t="s">
        <v>206</v>
      </c>
      <c r="B54" s="18" t="s">
        <v>53</v>
      </c>
      <c r="C54" s="18">
        <v>11772</v>
      </c>
      <c r="D54" s="18" t="s">
        <v>34</v>
      </c>
      <c r="E54" s="25" t="s">
        <v>148</v>
      </c>
      <c r="F54" s="18" t="s">
        <v>21</v>
      </c>
      <c r="G54" s="18">
        <v>1</v>
      </c>
      <c r="H54" s="73">
        <v>119.49</v>
      </c>
      <c r="I54" s="14">
        <f t="shared" si="6"/>
        <v>18.305868</v>
      </c>
      <c r="J54" s="14">
        <f t="shared" si="16"/>
        <v>137.79586799999998</v>
      </c>
      <c r="K54" s="14">
        <f t="shared" si="17"/>
        <v>4.1338760399999994E-2</v>
      </c>
      <c r="L54" s="14">
        <f t="shared" si="18"/>
        <v>137.75452923959998</v>
      </c>
      <c r="M54" s="14">
        <f t="shared" si="19"/>
        <v>137.75452923959998</v>
      </c>
      <c r="N54" s="14">
        <f t="shared" si="15"/>
        <v>0.14323903140733632</v>
      </c>
      <c r="O54" s="112"/>
    </row>
    <row r="55" spans="1:15" s="19" customFormat="1" ht="17.100000000000001" customHeight="1" x14ac:dyDescent="0.2">
      <c r="A55" s="18" t="s">
        <v>207</v>
      </c>
      <c r="B55" s="18" t="s">
        <v>53</v>
      </c>
      <c r="C55" s="23">
        <v>20148</v>
      </c>
      <c r="D55" s="18" t="s">
        <v>34</v>
      </c>
      <c r="E55" s="25" t="s">
        <v>149</v>
      </c>
      <c r="F55" s="18" t="s">
        <v>21</v>
      </c>
      <c r="G55" s="18">
        <v>15</v>
      </c>
      <c r="H55" s="74">
        <v>4.38</v>
      </c>
      <c r="I55" s="14">
        <f t="shared" si="6"/>
        <v>0.67101599999999995</v>
      </c>
      <c r="J55" s="14">
        <f t="shared" si="16"/>
        <v>5.0510159999999997</v>
      </c>
      <c r="K55" s="14">
        <f t="shared" si="17"/>
        <v>1.5153047999999997E-3</v>
      </c>
      <c r="L55" s="14">
        <f t="shared" si="18"/>
        <v>5.0495006951999999</v>
      </c>
      <c r="M55" s="14">
        <f t="shared" si="19"/>
        <v>75.742510428000003</v>
      </c>
      <c r="N55" s="14">
        <f t="shared" si="15"/>
        <v>0.54983680642731625</v>
      </c>
      <c r="O55" s="112"/>
    </row>
    <row r="56" spans="1:15" s="19" customFormat="1" ht="17.100000000000001" customHeight="1" x14ac:dyDescent="0.2">
      <c r="A56" s="18" t="s">
        <v>92</v>
      </c>
      <c r="B56" s="18" t="s">
        <v>53</v>
      </c>
      <c r="C56" s="23">
        <v>20154</v>
      </c>
      <c r="D56" s="18" t="s">
        <v>34</v>
      </c>
      <c r="E56" s="25" t="s">
        <v>150</v>
      </c>
      <c r="F56" s="18" t="s">
        <v>21</v>
      </c>
      <c r="G56" s="18">
        <v>15</v>
      </c>
      <c r="H56" s="74">
        <v>4.29</v>
      </c>
      <c r="I56" s="14">
        <f t="shared" si="6"/>
        <v>0.65722800000000003</v>
      </c>
      <c r="J56" s="14">
        <f t="shared" si="16"/>
        <v>4.947228</v>
      </c>
      <c r="K56" s="14">
        <f t="shared" si="17"/>
        <v>1.4841683999999998E-3</v>
      </c>
      <c r="L56" s="14">
        <f t="shared" si="18"/>
        <v>4.9457438315999998</v>
      </c>
      <c r="M56" s="14">
        <f t="shared" si="19"/>
        <v>74.186157473999998</v>
      </c>
      <c r="N56" s="14">
        <f t="shared" si="15"/>
        <v>0.97945205479452047</v>
      </c>
      <c r="O56" s="112"/>
    </row>
    <row r="57" spans="1:15" s="19" customFormat="1" ht="17.100000000000001" customHeight="1" x14ac:dyDescent="0.2">
      <c r="A57" s="18" t="s">
        <v>124</v>
      </c>
      <c r="B57" s="18" t="s">
        <v>53</v>
      </c>
      <c r="C57" s="23">
        <v>20155</v>
      </c>
      <c r="D57" s="18" t="s">
        <v>34</v>
      </c>
      <c r="E57" s="25" t="s">
        <v>151</v>
      </c>
      <c r="F57" s="18" t="s">
        <v>21</v>
      </c>
      <c r="G57" s="18">
        <v>10</v>
      </c>
      <c r="H57" s="74">
        <v>6.53</v>
      </c>
      <c r="I57" s="14">
        <f t="shared" si="6"/>
        <v>1.0003960000000001</v>
      </c>
      <c r="J57" s="14">
        <f t="shared" si="16"/>
        <v>7.5303960000000005</v>
      </c>
      <c r="K57" s="14">
        <f t="shared" si="17"/>
        <v>2.2591187999999999E-3</v>
      </c>
      <c r="L57" s="14">
        <f t="shared" si="18"/>
        <v>7.5281368812000009</v>
      </c>
      <c r="M57" s="14">
        <f t="shared" si="19"/>
        <v>75.281368812000011</v>
      </c>
      <c r="N57" s="14">
        <f t="shared" si="15"/>
        <v>1.0147630147630149</v>
      </c>
      <c r="O57" s="112"/>
    </row>
    <row r="58" spans="1:15" s="19" customFormat="1" ht="17.100000000000001" customHeight="1" x14ac:dyDescent="0.2">
      <c r="A58" s="18" t="s">
        <v>129</v>
      </c>
      <c r="B58" s="18" t="s">
        <v>53</v>
      </c>
      <c r="C58" s="23">
        <v>20167</v>
      </c>
      <c r="D58" s="18" t="s">
        <v>34</v>
      </c>
      <c r="E58" s="25" t="s">
        <v>152</v>
      </c>
      <c r="F58" s="18" t="s">
        <v>21</v>
      </c>
      <c r="G58" s="18">
        <v>15</v>
      </c>
      <c r="H58" s="74">
        <v>5.37</v>
      </c>
      <c r="I58" s="14">
        <f t="shared" si="6"/>
        <v>0.82268400000000008</v>
      </c>
      <c r="J58" s="14">
        <f t="shared" si="16"/>
        <v>6.1926839999999999</v>
      </c>
      <c r="K58" s="14">
        <f t="shared" si="17"/>
        <v>1.8578051999999998E-3</v>
      </c>
      <c r="L58" s="14">
        <f t="shared" si="18"/>
        <v>6.1908261947999996</v>
      </c>
      <c r="M58" s="14">
        <f t="shared" si="19"/>
        <v>92.862392921999998</v>
      </c>
      <c r="N58" s="14">
        <f t="shared" si="15"/>
        <v>1.2335375191424194</v>
      </c>
      <c r="O58" s="112"/>
    </row>
    <row r="59" spans="1:15" s="19" customFormat="1" ht="17.100000000000001" customHeight="1" x14ac:dyDescent="0.2">
      <c r="A59" s="18" t="s">
        <v>208</v>
      </c>
      <c r="B59" s="18" t="s">
        <v>53</v>
      </c>
      <c r="C59" s="23">
        <v>20168</v>
      </c>
      <c r="D59" s="18" t="s">
        <v>34</v>
      </c>
      <c r="E59" s="25" t="s">
        <v>153</v>
      </c>
      <c r="F59" s="18" t="s">
        <v>21</v>
      </c>
      <c r="G59" s="18">
        <v>10</v>
      </c>
      <c r="H59" s="74">
        <v>11.05</v>
      </c>
      <c r="I59" s="14">
        <f t="shared" si="6"/>
        <v>1.69286</v>
      </c>
      <c r="J59" s="14">
        <f t="shared" si="16"/>
        <v>12.74286</v>
      </c>
      <c r="K59" s="14">
        <f t="shared" si="17"/>
        <v>3.8228579999999997E-3</v>
      </c>
      <c r="L59" s="14">
        <f t="shared" si="18"/>
        <v>12.739037142000001</v>
      </c>
      <c r="M59" s="14">
        <f t="shared" si="19"/>
        <v>127.39037142000001</v>
      </c>
      <c r="N59" s="14">
        <f t="shared" si="15"/>
        <v>1.3718187461204223</v>
      </c>
      <c r="O59" s="112"/>
    </row>
    <row r="60" spans="1:15" s="19" customFormat="1" ht="17.100000000000001" customHeight="1" x14ac:dyDescent="0.2">
      <c r="A60" s="18" t="s">
        <v>209</v>
      </c>
      <c r="B60" s="18" t="s">
        <v>53</v>
      </c>
      <c r="C60" s="18">
        <v>20111</v>
      </c>
      <c r="D60" s="18" t="s">
        <v>34</v>
      </c>
      <c r="E60" s="24" t="s">
        <v>155</v>
      </c>
      <c r="F60" s="18" t="s">
        <v>21</v>
      </c>
      <c r="G60" s="18">
        <v>5</v>
      </c>
      <c r="H60" s="71">
        <v>19.62</v>
      </c>
      <c r="I60" s="14">
        <f t="shared" si="6"/>
        <v>3.0057840000000002</v>
      </c>
      <c r="J60" s="14">
        <f t="shared" si="16"/>
        <v>22.625784000000003</v>
      </c>
      <c r="K60" s="14">
        <f t="shared" si="17"/>
        <v>6.7877352000000005E-3</v>
      </c>
      <c r="L60" s="14">
        <f t="shared" si="18"/>
        <v>22.618996264800003</v>
      </c>
      <c r="M60" s="14">
        <f t="shared" si="19"/>
        <v>113.09498132400002</v>
      </c>
      <c r="N60" s="14">
        <f>M60/M59</f>
        <v>0.88778280542986432</v>
      </c>
      <c r="O60" s="112"/>
    </row>
    <row r="61" spans="1:15" s="19" customFormat="1" ht="17.100000000000001" customHeight="1" x14ac:dyDescent="0.2">
      <c r="A61" s="18" t="s">
        <v>210</v>
      </c>
      <c r="B61" s="18" t="s">
        <v>53</v>
      </c>
      <c r="C61" s="18">
        <v>20078</v>
      </c>
      <c r="D61" s="18" t="s">
        <v>34</v>
      </c>
      <c r="E61" s="24" t="s">
        <v>157</v>
      </c>
      <c r="F61" s="18" t="s">
        <v>21</v>
      </c>
      <c r="G61" s="18">
        <v>5</v>
      </c>
      <c r="H61" s="71">
        <v>24.07</v>
      </c>
      <c r="I61" s="14">
        <f t="shared" si="6"/>
        <v>3.6875240000000002</v>
      </c>
      <c r="J61" s="14">
        <f t="shared" si="16"/>
        <v>27.757524</v>
      </c>
      <c r="K61" s="14">
        <f t="shared" si="17"/>
        <v>8.3272571999999986E-3</v>
      </c>
      <c r="L61" s="14">
        <f t="shared" si="18"/>
        <v>27.749196742799999</v>
      </c>
      <c r="M61" s="14">
        <f t="shared" si="19"/>
        <v>138.745983714</v>
      </c>
      <c r="N61" s="14">
        <f t="shared" si="15"/>
        <v>1.2268093781855249</v>
      </c>
      <c r="O61" s="112"/>
    </row>
    <row r="62" spans="1:15" s="19" customFormat="1" ht="16.5" customHeight="1" x14ac:dyDescent="0.2">
      <c r="A62" s="18" t="s">
        <v>211</v>
      </c>
      <c r="B62" s="18" t="s">
        <v>53</v>
      </c>
      <c r="C62" s="23">
        <v>1191</v>
      </c>
      <c r="D62" s="18" t="s">
        <v>34</v>
      </c>
      <c r="E62" s="25" t="s">
        <v>158</v>
      </c>
      <c r="F62" s="18" t="s">
        <v>21</v>
      </c>
      <c r="G62" s="18">
        <v>15</v>
      </c>
      <c r="H62" s="74">
        <v>1.31</v>
      </c>
      <c r="I62" s="14">
        <f t="shared" si="6"/>
        <v>0.20069200000000001</v>
      </c>
      <c r="J62" s="14">
        <f t="shared" si="16"/>
        <v>1.5106920000000001</v>
      </c>
      <c r="K62" s="14">
        <f t="shared" si="17"/>
        <v>4.532076E-4</v>
      </c>
      <c r="L62" s="14">
        <f t="shared" si="18"/>
        <v>1.5102387924000003</v>
      </c>
      <c r="M62" s="14">
        <f t="shared" si="19"/>
        <v>22.653581886000005</v>
      </c>
      <c r="N62" s="14">
        <f t="shared" si="15"/>
        <v>0.16327378479434984</v>
      </c>
      <c r="O62" s="112"/>
    </row>
    <row r="63" spans="1:15" s="19" customFormat="1" ht="17.100000000000001" customHeight="1" x14ac:dyDescent="0.2">
      <c r="A63" s="18" t="s">
        <v>212</v>
      </c>
      <c r="B63" s="18" t="s">
        <v>53</v>
      </c>
      <c r="C63" s="23">
        <v>1185</v>
      </c>
      <c r="D63" s="18" t="s">
        <v>34</v>
      </c>
      <c r="E63" s="25" t="s">
        <v>159</v>
      </c>
      <c r="F63" s="18" t="s">
        <v>21</v>
      </c>
      <c r="G63" s="18">
        <v>15</v>
      </c>
      <c r="H63" s="74">
        <v>1.31</v>
      </c>
      <c r="I63" s="14">
        <f t="shared" si="6"/>
        <v>0.20069200000000001</v>
      </c>
      <c r="J63" s="14">
        <f t="shared" si="16"/>
        <v>1.5106920000000001</v>
      </c>
      <c r="K63" s="14">
        <f t="shared" si="17"/>
        <v>4.532076E-4</v>
      </c>
      <c r="L63" s="14">
        <f t="shared" si="18"/>
        <v>1.5102387924000003</v>
      </c>
      <c r="M63" s="14">
        <f t="shared" si="19"/>
        <v>22.653581886000005</v>
      </c>
      <c r="N63" s="14">
        <f t="shared" si="15"/>
        <v>1</v>
      </c>
      <c r="O63" s="112"/>
    </row>
    <row r="64" spans="1:15" s="19" customFormat="1" ht="17.100000000000001" customHeight="1" x14ac:dyDescent="0.2">
      <c r="A64" s="18" t="s">
        <v>93</v>
      </c>
      <c r="B64" s="18" t="s">
        <v>53</v>
      </c>
      <c r="C64" s="18">
        <v>3522</v>
      </c>
      <c r="D64" s="18" t="s">
        <v>34</v>
      </c>
      <c r="E64" s="32" t="s">
        <v>160</v>
      </c>
      <c r="F64" s="18" t="s">
        <v>21</v>
      </c>
      <c r="G64" s="18">
        <v>10</v>
      </c>
      <c r="H64" s="73">
        <v>2.5499999999999998</v>
      </c>
      <c r="I64" s="14">
        <f t="shared" si="6"/>
        <v>0.39066000000000001</v>
      </c>
      <c r="J64" s="14">
        <f t="shared" si="16"/>
        <v>2.9406599999999998</v>
      </c>
      <c r="K64" s="14">
        <f t="shared" si="17"/>
        <v>8.8219799999999984E-4</v>
      </c>
      <c r="L64" s="14">
        <f t="shared" si="18"/>
        <v>2.9397778020000001</v>
      </c>
      <c r="M64" s="14">
        <f t="shared" si="19"/>
        <v>29.397778020000001</v>
      </c>
      <c r="N64" s="14">
        <f t="shared" si="15"/>
        <v>1.2977099236641219</v>
      </c>
      <c r="O64" s="112"/>
    </row>
    <row r="65" spans="1:15" s="19" customFormat="1" ht="17.100000000000001" customHeight="1" x14ac:dyDescent="0.2">
      <c r="A65" s="18" t="s">
        <v>143</v>
      </c>
      <c r="B65" s="18" t="s">
        <v>53</v>
      </c>
      <c r="C65" s="23">
        <v>113</v>
      </c>
      <c r="D65" s="18" t="s">
        <v>34</v>
      </c>
      <c r="E65" s="25" t="s">
        <v>161</v>
      </c>
      <c r="F65" s="18" t="s">
        <v>21</v>
      </c>
      <c r="G65" s="18">
        <v>3</v>
      </c>
      <c r="H65" s="74">
        <v>11.73</v>
      </c>
      <c r="I65" s="14">
        <f t="shared" si="6"/>
        <v>1.7970360000000001</v>
      </c>
      <c r="J65" s="14">
        <f t="shared" si="16"/>
        <v>13.527036000000001</v>
      </c>
      <c r="K65" s="14">
        <f t="shared" si="17"/>
        <v>4.0581107999999996E-3</v>
      </c>
      <c r="L65" s="14">
        <f t="shared" si="18"/>
        <v>13.5229778892</v>
      </c>
      <c r="M65" s="14">
        <f t="shared" si="19"/>
        <v>40.5689336676</v>
      </c>
      <c r="N65" s="14">
        <f t="shared" si="15"/>
        <v>1.38</v>
      </c>
      <c r="O65" s="112"/>
    </row>
    <row r="66" spans="1:15" s="19" customFormat="1" ht="17.100000000000001" customHeight="1" x14ac:dyDescent="0.2">
      <c r="A66" s="18" t="s">
        <v>94</v>
      </c>
      <c r="B66" s="18" t="s">
        <v>53</v>
      </c>
      <c r="C66" s="23">
        <v>11712</v>
      </c>
      <c r="D66" s="18" t="s">
        <v>34</v>
      </c>
      <c r="E66" s="25" t="s">
        <v>164</v>
      </c>
      <c r="F66" s="18" t="s">
        <v>21</v>
      </c>
      <c r="G66" s="18">
        <v>1</v>
      </c>
      <c r="H66" s="74">
        <v>48.86</v>
      </c>
      <c r="I66" s="14">
        <f t="shared" si="6"/>
        <v>7.4853519999999998</v>
      </c>
      <c r="J66" s="14">
        <f t="shared" si="16"/>
        <v>56.345351999999998</v>
      </c>
      <c r="K66" s="14">
        <f t="shared" si="17"/>
        <v>1.69036056E-2</v>
      </c>
      <c r="L66" s="14">
        <f t="shared" si="18"/>
        <v>56.328448394399999</v>
      </c>
      <c r="M66" s="14">
        <f t="shared" si="19"/>
        <v>56.328448394399999</v>
      </c>
      <c r="N66" s="14">
        <f t="shared" si="15"/>
        <v>1.3884626314293833</v>
      </c>
      <c r="O66" s="112"/>
    </row>
    <row r="67" spans="1:15" s="19" customFormat="1" ht="17.100000000000001" customHeight="1" x14ac:dyDescent="0.2">
      <c r="A67" s="18" t="s">
        <v>95</v>
      </c>
      <c r="B67" s="18" t="s">
        <v>53</v>
      </c>
      <c r="C67" s="23">
        <v>1189</v>
      </c>
      <c r="D67" s="18" t="s">
        <v>34</v>
      </c>
      <c r="E67" s="25" t="s">
        <v>162</v>
      </c>
      <c r="F67" s="18" t="s">
        <v>21</v>
      </c>
      <c r="G67" s="18">
        <v>4</v>
      </c>
      <c r="H67" s="74">
        <v>2.15</v>
      </c>
      <c r="I67" s="14">
        <f t="shared" si="6"/>
        <v>0.32938000000000001</v>
      </c>
      <c r="J67" s="14">
        <f t="shared" si="16"/>
        <v>2.4793799999999999</v>
      </c>
      <c r="K67" s="14">
        <f t="shared" si="17"/>
        <v>7.4381399999999987E-4</v>
      </c>
      <c r="L67" s="14">
        <f t="shared" si="18"/>
        <v>2.4786361860000001</v>
      </c>
      <c r="M67" s="14">
        <f t="shared" si="19"/>
        <v>9.9145447440000005</v>
      </c>
      <c r="N67" s="14">
        <f t="shared" si="15"/>
        <v>0.17601309864920181</v>
      </c>
      <c r="O67" s="112"/>
    </row>
    <row r="68" spans="1:15" s="19" customFormat="1" ht="17.100000000000001" customHeight="1" x14ac:dyDescent="0.2">
      <c r="A68" s="18" t="s">
        <v>117</v>
      </c>
      <c r="B68" s="18" t="s">
        <v>53</v>
      </c>
      <c r="C68" s="23">
        <v>9910</v>
      </c>
      <c r="D68" s="18" t="s">
        <v>34</v>
      </c>
      <c r="E68" s="25" t="s">
        <v>163</v>
      </c>
      <c r="F68" s="18" t="s">
        <v>21</v>
      </c>
      <c r="G68" s="18">
        <v>1</v>
      </c>
      <c r="H68" s="74">
        <v>75.48</v>
      </c>
      <c r="I68" s="14">
        <f t="shared" si="6"/>
        <v>11.563536000000001</v>
      </c>
      <c r="J68" s="14">
        <f t="shared" si="16"/>
        <v>87.043536000000003</v>
      </c>
      <c r="K68" s="14">
        <f t="shared" si="17"/>
        <v>2.6113060799999997E-2</v>
      </c>
      <c r="L68" s="14">
        <f t="shared" si="18"/>
        <v>87.017422939200003</v>
      </c>
      <c r="M68" s="14">
        <f t="shared" si="19"/>
        <v>87.017422939200003</v>
      </c>
      <c r="N68" s="14">
        <f t="shared" si="15"/>
        <v>8.7767441860465123</v>
      </c>
      <c r="O68" s="112"/>
    </row>
    <row r="69" spans="1:15" s="19" customFormat="1" ht="17.100000000000001" customHeight="1" x14ac:dyDescent="0.2">
      <c r="A69" s="18" t="s">
        <v>118</v>
      </c>
      <c r="B69" s="18" t="s">
        <v>53</v>
      </c>
      <c r="C69" s="18">
        <v>43132</v>
      </c>
      <c r="D69" s="18" t="s">
        <v>34</v>
      </c>
      <c r="E69" s="25" t="s">
        <v>165</v>
      </c>
      <c r="F69" s="18" t="s">
        <v>166</v>
      </c>
      <c r="G69" s="18">
        <v>5</v>
      </c>
      <c r="H69" s="73">
        <v>23.18</v>
      </c>
      <c r="I69" s="14">
        <f t="shared" si="6"/>
        <v>3.5511759999999999</v>
      </c>
      <c r="J69" s="14">
        <f t="shared" si="16"/>
        <v>26.731175999999998</v>
      </c>
      <c r="K69" s="14">
        <f t="shared" si="17"/>
        <v>8.019352799999999E-3</v>
      </c>
      <c r="L69" s="14">
        <f t="shared" si="18"/>
        <v>26.723156647199996</v>
      </c>
      <c r="M69" s="14">
        <f t="shared" si="19"/>
        <v>133.61578323599997</v>
      </c>
      <c r="N69" s="14">
        <f t="shared" si="15"/>
        <v>1.5355060943296233</v>
      </c>
      <c r="O69" s="112"/>
    </row>
    <row r="70" spans="1:15" s="19" customFormat="1" ht="17.100000000000001" customHeight="1" x14ac:dyDescent="0.2">
      <c r="A70" s="18" t="s">
        <v>176</v>
      </c>
      <c r="B70" s="18" t="s">
        <v>53</v>
      </c>
      <c r="C70" s="23">
        <v>829</v>
      </c>
      <c r="D70" s="18" t="s">
        <v>34</v>
      </c>
      <c r="E70" s="25" t="s">
        <v>167</v>
      </c>
      <c r="F70" s="18" t="s">
        <v>21</v>
      </c>
      <c r="G70" s="18">
        <v>4</v>
      </c>
      <c r="H70" s="74">
        <v>1</v>
      </c>
      <c r="I70" s="14">
        <f t="shared" si="6"/>
        <v>0.1532</v>
      </c>
      <c r="J70" s="14">
        <f t="shared" si="16"/>
        <v>1.1532</v>
      </c>
      <c r="K70" s="14">
        <f t="shared" si="17"/>
        <v>3.4595999999999997E-4</v>
      </c>
      <c r="L70" s="14">
        <f t="shared" si="18"/>
        <v>1.15285404</v>
      </c>
      <c r="M70" s="14">
        <f t="shared" si="19"/>
        <v>4.6114161600000001</v>
      </c>
      <c r="N70" s="14">
        <f>M70/M69</f>
        <v>3.4512510785159628E-2</v>
      </c>
      <c r="O70" s="112"/>
    </row>
    <row r="71" spans="1:15" s="19" customFormat="1" ht="17.100000000000001" customHeight="1" x14ac:dyDescent="0.2">
      <c r="A71" s="18" t="s">
        <v>213</v>
      </c>
      <c r="B71" s="18" t="s">
        <v>53</v>
      </c>
      <c r="C71" s="23">
        <v>813</v>
      </c>
      <c r="D71" s="18" t="s">
        <v>34</v>
      </c>
      <c r="E71" s="25" t="s">
        <v>168</v>
      </c>
      <c r="F71" s="18" t="s">
        <v>21</v>
      </c>
      <c r="G71" s="18">
        <v>2</v>
      </c>
      <c r="H71" s="74">
        <v>4.45</v>
      </c>
      <c r="I71" s="14">
        <f t="shared" si="6"/>
        <v>0.68174000000000001</v>
      </c>
      <c r="J71" s="14">
        <f t="shared" si="16"/>
        <v>5.1317400000000006</v>
      </c>
      <c r="K71" s="14">
        <f t="shared" si="17"/>
        <v>1.539522E-3</v>
      </c>
      <c r="L71" s="14">
        <f t="shared" si="18"/>
        <v>5.1302004780000008</v>
      </c>
      <c r="M71" s="14">
        <f t="shared" si="19"/>
        <v>10.260400956000002</v>
      </c>
      <c r="N71" s="14">
        <f t="shared" si="15"/>
        <v>2.2250000000000001</v>
      </c>
      <c r="O71" s="112"/>
    </row>
    <row r="72" spans="1:15" s="19" customFormat="1" ht="17.100000000000001" customHeight="1" x14ac:dyDescent="0.2">
      <c r="A72" s="18" t="s">
        <v>214</v>
      </c>
      <c r="B72" s="18" t="s">
        <v>53</v>
      </c>
      <c r="C72" s="23">
        <v>820</v>
      </c>
      <c r="D72" s="18" t="s">
        <v>34</v>
      </c>
      <c r="E72" s="25" t="s">
        <v>169</v>
      </c>
      <c r="F72" s="18" t="s">
        <v>21</v>
      </c>
      <c r="G72" s="18">
        <v>2</v>
      </c>
      <c r="H72" s="74">
        <v>5.99</v>
      </c>
      <c r="I72" s="14">
        <f t="shared" si="6"/>
        <v>0.91766800000000004</v>
      </c>
      <c r="J72" s="14">
        <f t="shared" si="16"/>
        <v>6.9076680000000001</v>
      </c>
      <c r="K72" s="14">
        <f t="shared" si="17"/>
        <v>2.0723003999999997E-3</v>
      </c>
      <c r="L72" s="14">
        <f t="shared" si="18"/>
        <v>6.9055956996000001</v>
      </c>
      <c r="M72" s="14">
        <f t="shared" si="19"/>
        <v>13.8111913992</v>
      </c>
      <c r="N72" s="14">
        <f t="shared" si="15"/>
        <v>1.3460674157303369</v>
      </c>
      <c r="O72" s="112"/>
    </row>
    <row r="73" spans="1:15" s="19" customFormat="1" ht="17.100000000000001" customHeight="1" x14ac:dyDescent="0.2">
      <c r="A73" s="18" t="s">
        <v>215</v>
      </c>
      <c r="B73" s="18" t="s">
        <v>53</v>
      </c>
      <c r="C73" s="18">
        <v>1956</v>
      </c>
      <c r="D73" s="18" t="s">
        <v>34</v>
      </c>
      <c r="E73" s="57" t="s">
        <v>171</v>
      </c>
      <c r="F73" s="18" t="s">
        <v>21</v>
      </c>
      <c r="G73" s="18">
        <v>6</v>
      </c>
      <c r="H73" s="73">
        <v>3.13</v>
      </c>
      <c r="I73" s="14">
        <f t="shared" si="6"/>
        <v>0.479516</v>
      </c>
      <c r="J73" s="14">
        <f t="shared" si="16"/>
        <v>3.6095159999999997</v>
      </c>
      <c r="K73" s="14">
        <f t="shared" si="17"/>
        <v>1.0828547999999999E-3</v>
      </c>
      <c r="L73" s="14">
        <f t="shared" si="18"/>
        <v>3.6084331451999998</v>
      </c>
      <c r="M73" s="14">
        <f t="shared" si="19"/>
        <v>21.6505988712</v>
      </c>
      <c r="N73" s="14">
        <f t="shared" si="15"/>
        <v>1.5676126878130217</v>
      </c>
      <c r="O73" s="112"/>
    </row>
    <row r="74" spans="1:15" s="19" customFormat="1" ht="17.100000000000001" customHeight="1" x14ac:dyDescent="0.2">
      <c r="A74" s="18" t="s">
        <v>188</v>
      </c>
      <c r="B74" s="18" t="s">
        <v>53</v>
      </c>
      <c r="C74" s="23">
        <v>34357</v>
      </c>
      <c r="D74" s="18" t="s">
        <v>34</v>
      </c>
      <c r="E74" s="25" t="s">
        <v>172</v>
      </c>
      <c r="F74" s="18" t="s">
        <v>166</v>
      </c>
      <c r="G74" s="18">
        <v>10</v>
      </c>
      <c r="H74" s="74">
        <v>4.6900000000000004</v>
      </c>
      <c r="I74" s="14">
        <f t="shared" si="6"/>
        <v>0.71850800000000004</v>
      </c>
      <c r="J74" s="14">
        <f t="shared" si="16"/>
        <v>5.4085080000000003</v>
      </c>
      <c r="K74" s="14">
        <f t="shared" si="17"/>
        <v>1.6225523999999999E-3</v>
      </c>
      <c r="L74" s="14">
        <f t="shared" si="18"/>
        <v>5.4068854476000006</v>
      </c>
      <c r="M74" s="14">
        <f t="shared" si="19"/>
        <v>54.068854476000006</v>
      </c>
      <c r="N74" s="14">
        <f t="shared" si="15"/>
        <v>2.497337593184239</v>
      </c>
      <c r="O74" s="112"/>
    </row>
    <row r="75" spans="1:15" s="19" customFormat="1" ht="17.100000000000001" customHeight="1" x14ac:dyDescent="0.2">
      <c r="A75" s="18" t="s">
        <v>216</v>
      </c>
      <c r="B75" s="18" t="s">
        <v>53</v>
      </c>
      <c r="C75" s="18">
        <v>7140</v>
      </c>
      <c r="D75" s="18" t="s">
        <v>34</v>
      </c>
      <c r="E75" s="25" t="s">
        <v>174</v>
      </c>
      <c r="F75" s="18" t="s">
        <v>21</v>
      </c>
      <c r="G75" s="18">
        <v>2</v>
      </c>
      <c r="H75" s="73">
        <v>3.96</v>
      </c>
      <c r="I75" s="14">
        <f t="shared" si="6"/>
        <v>0.60667199999999999</v>
      </c>
      <c r="J75" s="14">
        <f t="shared" si="16"/>
        <v>4.5666719999999996</v>
      </c>
      <c r="K75" s="14">
        <f t="shared" si="17"/>
        <v>1.3700015999999998E-3</v>
      </c>
      <c r="L75" s="14">
        <f t="shared" si="18"/>
        <v>4.5653019983999998</v>
      </c>
      <c r="M75" s="14">
        <f t="shared" si="19"/>
        <v>9.1306039967999997</v>
      </c>
      <c r="N75" s="14">
        <f t="shared" si="15"/>
        <v>0.16886993603411513</v>
      </c>
      <c r="O75" s="112"/>
    </row>
    <row r="76" spans="1:15" s="19" customFormat="1" ht="17.100000000000001" customHeight="1" x14ac:dyDescent="0.2">
      <c r="A76" s="18" t="s">
        <v>217</v>
      </c>
      <c r="B76" s="18" t="s">
        <v>53</v>
      </c>
      <c r="C76" s="23">
        <v>9895</v>
      </c>
      <c r="D76" s="18" t="s">
        <v>34</v>
      </c>
      <c r="E76" s="25" t="s">
        <v>175</v>
      </c>
      <c r="F76" s="18" t="s">
        <v>21</v>
      </c>
      <c r="G76" s="18">
        <v>2</v>
      </c>
      <c r="H76" s="74">
        <v>14.13</v>
      </c>
      <c r="I76" s="14">
        <f t="shared" si="6"/>
        <v>2.1647160000000003</v>
      </c>
      <c r="J76" s="14">
        <f t="shared" si="16"/>
        <v>16.294716000000001</v>
      </c>
      <c r="K76" s="14">
        <f t="shared" si="17"/>
        <v>4.8884148000000001E-3</v>
      </c>
      <c r="L76" s="14">
        <f t="shared" si="18"/>
        <v>16.289827585200001</v>
      </c>
      <c r="M76" s="14">
        <f t="shared" si="19"/>
        <v>32.579655170400002</v>
      </c>
      <c r="N76" s="14">
        <f t="shared" si="15"/>
        <v>3.5681818181818188</v>
      </c>
      <c r="O76" s="112"/>
    </row>
    <row r="77" spans="1:15" s="19" customFormat="1" ht="17.100000000000001" customHeight="1" x14ac:dyDescent="0.2">
      <c r="A77" s="18" t="s">
        <v>218</v>
      </c>
      <c r="B77" s="18" t="s">
        <v>53</v>
      </c>
      <c r="C77" s="18">
        <v>1379</v>
      </c>
      <c r="D77" s="18" t="s">
        <v>34</v>
      </c>
      <c r="E77" s="25" t="s">
        <v>86</v>
      </c>
      <c r="F77" s="18" t="s">
        <v>134</v>
      </c>
      <c r="G77" s="18">
        <v>1500</v>
      </c>
      <c r="H77" s="73">
        <v>0.57999999999999996</v>
      </c>
      <c r="I77" s="14">
        <f t="shared" si="6"/>
        <v>8.8855999999999991E-2</v>
      </c>
      <c r="J77" s="14">
        <f t="shared" si="16"/>
        <v>0.6688559999999999</v>
      </c>
      <c r="K77" s="14">
        <f t="shared" si="17"/>
        <v>2.0065679999999996E-4</v>
      </c>
      <c r="L77" s="14">
        <f t="shared" si="18"/>
        <v>0.66865534319999986</v>
      </c>
      <c r="M77" s="14">
        <f t="shared" si="19"/>
        <v>1002.9830147999998</v>
      </c>
      <c r="N77" s="14">
        <f t="shared" si="15"/>
        <v>30.785562632696379</v>
      </c>
      <c r="O77" s="112"/>
    </row>
    <row r="78" spans="1:15" s="19" customFormat="1" ht="17.100000000000001" customHeight="1" x14ac:dyDescent="0.2">
      <c r="A78" s="18" t="s">
        <v>219</v>
      </c>
      <c r="B78" s="18" t="s">
        <v>53</v>
      </c>
      <c r="C78" s="23">
        <v>5066</v>
      </c>
      <c r="D78" s="18" t="s">
        <v>34</v>
      </c>
      <c r="E78" s="25" t="s">
        <v>177</v>
      </c>
      <c r="F78" s="18" t="s">
        <v>134</v>
      </c>
      <c r="G78" s="18">
        <v>3</v>
      </c>
      <c r="H78" s="74">
        <v>21.44</v>
      </c>
      <c r="I78" s="14">
        <f t="shared" si="6"/>
        <v>3.2846080000000004</v>
      </c>
      <c r="J78" s="14">
        <f t="shared" si="16"/>
        <v>24.724608000000003</v>
      </c>
      <c r="K78" s="14">
        <f t="shared" si="17"/>
        <v>7.4173824000000003E-3</v>
      </c>
      <c r="L78" s="14">
        <f t="shared" si="18"/>
        <v>24.717190617600004</v>
      </c>
      <c r="M78" s="14">
        <f t="shared" si="19"/>
        <v>74.151571852800004</v>
      </c>
      <c r="N78" s="14">
        <f t="shared" si="15"/>
        <v>7.3931034482758645E-2</v>
      </c>
      <c r="O78" s="112"/>
    </row>
    <row r="79" spans="1:15" s="19" customFormat="1" ht="17.100000000000001" customHeight="1" x14ac:dyDescent="0.2">
      <c r="A79" s="18" t="s">
        <v>220</v>
      </c>
      <c r="B79" s="18" t="s">
        <v>53</v>
      </c>
      <c r="C79" s="23">
        <v>20247</v>
      </c>
      <c r="D79" s="18" t="s">
        <v>34</v>
      </c>
      <c r="E79" s="25" t="s">
        <v>178</v>
      </c>
      <c r="F79" s="18" t="s">
        <v>134</v>
      </c>
      <c r="G79" s="18">
        <v>5</v>
      </c>
      <c r="H79" s="74">
        <v>18.02</v>
      </c>
      <c r="I79" s="14">
        <f t="shared" si="6"/>
        <v>2.7606639999999998</v>
      </c>
      <c r="J79" s="14">
        <f t="shared" si="16"/>
        <v>20.780663999999998</v>
      </c>
      <c r="K79" s="14">
        <f t="shared" si="17"/>
        <v>6.2341991999999985E-3</v>
      </c>
      <c r="L79" s="14">
        <f t="shared" si="18"/>
        <v>20.774429800799997</v>
      </c>
      <c r="M79" s="14">
        <f t="shared" si="19"/>
        <v>103.87214900399998</v>
      </c>
      <c r="N79" s="14">
        <f t="shared" si="15"/>
        <v>1.4008084577114424</v>
      </c>
      <c r="O79" s="112"/>
    </row>
    <row r="80" spans="1:15" s="19" customFormat="1" ht="17.100000000000001" customHeight="1" x14ac:dyDescent="0.2">
      <c r="A80" s="18" t="s">
        <v>221</v>
      </c>
      <c r="B80" s="18" t="s">
        <v>53</v>
      </c>
      <c r="C80" s="23">
        <v>5068</v>
      </c>
      <c r="D80" s="18" t="s">
        <v>34</v>
      </c>
      <c r="E80" s="25" t="s">
        <v>179</v>
      </c>
      <c r="F80" s="18" t="s">
        <v>134</v>
      </c>
      <c r="G80" s="18">
        <v>10</v>
      </c>
      <c r="H80" s="74">
        <v>16.27</v>
      </c>
      <c r="I80" s="14">
        <f t="shared" si="6"/>
        <v>2.4925639999999998</v>
      </c>
      <c r="J80" s="14">
        <f t="shared" si="16"/>
        <v>18.762563999999998</v>
      </c>
      <c r="K80" s="14">
        <f t="shared" si="17"/>
        <v>5.6287691999999988E-3</v>
      </c>
      <c r="L80" s="14">
        <f t="shared" si="18"/>
        <v>18.756935230799996</v>
      </c>
      <c r="M80" s="14">
        <f t="shared" si="19"/>
        <v>187.56935230799996</v>
      </c>
      <c r="N80" s="14">
        <f t="shared" si="15"/>
        <v>1.8057713651498335</v>
      </c>
      <c r="O80" s="112"/>
    </row>
    <row r="81" spans="1:15" s="19" customFormat="1" ht="17.100000000000001" customHeight="1" x14ac:dyDescent="0.2">
      <c r="A81" s="18" t="s">
        <v>222</v>
      </c>
      <c r="B81" s="18" t="s">
        <v>53</v>
      </c>
      <c r="C81" s="23">
        <v>5069</v>
      </c>
      <c r="D81" s="18" t="s">
        <v>34</v>
      </c>
      <c r="E81" s="25" t="s">
        <v>180</v>
      </c>
      <c r="F81" s="18" t="s">
        <v>134</v>
      </c>
      <c r="G81" s="18">
        <v>8</v>
      </c>
      <c r="H81" s="74">
        <v>16.59</v>
      </c>
      <c r="I81" s="14">
        <f t="shared" si="6"/>
        <v>2.541588</v>
      </c>
      <c r="J81" s="14">
        <f t="shared" si="16"/>
        <v>19.131588000000001</v>
      </c>
      <c r="K81" s="14">
        <f t="shared" si="17"/>
        <v>5.7394763999999996E-3</v>
      </c>
      <c r="L81" s="14">
        <f t="shared" si="18"/>
        <v>19.125848523600002</v>
      </c>
      <c r="M81" s="14">
        <f t="shared" si="19"/>
        <v>153.00678818880002</v>
      </c>
      <c r="N81" s="14">
        <f t="shared" si="15"/>
        <v>0.8157344806392135</v>
      </c>
      <c r="O81" s="112"/>
    </row>
    <row r="82" spans="1:15" s="30" customFormat="1" ht="16.5" customHeight="1" x14ac:dyDescent="0.2">
      <c r="A82" s="18" t="s">
        <v>223</v>
      </c>
      <c r="B82" s="18" t="s">
        <v>53</v>
      </c>
      <c r="C82" s="40">
        <v>7258</v>
      </c>
      <c r="D82" s="18" t="s">
        <v>34</v>
      </c>
      <c r="E82" s="53" t="s">
        <v>181</v>
      </c>
      <c r="F82" s="18" t="s">
        <v>21</v>
      </c>
      <c r="G82" s="40">
        <v>500</v>
      </c>
      <c r="H82" s="69">
        <v>0.57999999999999996</v>
      </c>
      <c r="I82" s="14">
        <f t="shared" si="6"/>
        <v>8.8855999999999991E-2</v>
      </c>
      <c r="J82" s="14">
        <f t="shared" si="16"/>
        <v>0.6688559999999999</v>
      </c>
      <c r="K82" s="14">
        <f t="shared" si="17"/>
        <v>2.0065679999999996E-4</v>
      </c>
      <c r="L82" s="14">
        <f t="shared" si="18"/>
        <v>0.66865534319999986</v>
      </c>
      <c r="M82" s="14">
        <f t="shared" si="19"/>
        <v>334.32767159999992</v>
      </c>
      <c r="N82" s="14">
        <f>M82/M81</f>
        <v>2.1850512356841465</v>
      </c>
      <c r="O82" s="112"/>
    </row>
    <row r="83" spans="1:15" s="30" customFormat="1" ht="16.5" customHeight="1" x14ac:dyDescent="0.2">
      <c r="A83" s="18" t="s">
        <v>224</v>
      </c>
      <c r="B83" s="18" t="s">
        <v>53</v>
      </c>
      <c r="C83" s="40">
        <v>7271</v>
      </c>
      <c r="D83" s="18" t="s">
        <v>34</v>
      </c>
      <c r="E83" s="41" t="s">
        <v>182</v>
      </c>
      <c r="F83" s="18" t="s">
        <v>21</v>
      </c>
      <c r="G83" s="40">
        <v>300</v>
      </c>
      <c r="H83" s="69">
        <v>0.68</v>
      </c>
      <c r="I83" s="14">
        <f t="shared" si="6"/>
        <v>0.104176</v>
      </c>
      <c r="J83" s="14">
        <f t="shared" si="16"/>
        <v>0.7841760000000001</v>
      </c>
      <c r="K83" s="14">
        <f t="shared" si="17"/>
        <v>2.3525280000000001E-4</v>
      </c>
      <c r="L83" s="14">
        <f t="shared" si="18"/>
        <v>0.78394074720000007</v>
      </c>
      <c r="M83" s="14">
        <f t="shared" si="19"/>
        <v>235.18222416000003</v>
      </c>
      <c r="N83" s="14">
        <f t="shared" si="15"/>
        <v>0.70344827586206926</v>
      </c>
      <c r="O83" s="112"/>
    </row>
    <row r="84" spans="1:15" s="19" customFormat="1" ht="17.100000000000001" customHeight="1" x14ac:dyDescent="0.2">
      <c r="A84" s="18" t="s">
        <v>225</v>
      </c>
      <c r="B84" s="18" t="s">
        <v>53</v>
      </c>
      <c r="C84" s="18">
        <v>4720</v>
      </c>
      <c r="D84" s="18" t="s">
        <v>34</v>
      </c>
      <c r="E84" s="58" t="s">
        <v>105</v>
      </c>
      <c r="F84" s="18" t="s">
        <v>106</v>
      </c>
      <c r="G84" s="18">
        <v>5</v>
      </c>
      <c r="H84" s="73">
        <v>80.39</v>
      </c>
      <c r="I84" s="14">
        <f t="shared" si="6"/>
        <v>12.315748000000001</v>
      </c>
      <c r="J84" s="14">
        <f t="shared" si="16"/>
        <v>92.705748</v>
      </c>
      <c r="K84" s="14">
        <f t="shared" si="17"/>
        <v>2.7811724399999998E-2</v>
      </c>
      <c r="L84" s="14">
        <f t="shared" si="18"/>
        <v>92.677936275600004</v>
      </c>
      <c r="M84" s="14">
        <f t="shared" si="19"/>
        <v>463.38968137800003</v>
      </c>
      <c r="N84" s="14">
        <f t="shared" si="15"/>
        <v>1.9703431372549018</v>
      </c>
      <c r="O84" s="112"/>
    </row>
    <row r="85" spans="1:15" s="19" customFormat="1" ht="17.100000000000001" customHeight="1" x14ac:dyDescent="0.2">
      <c r="A85" s="18" t="s">
        <v>226</v>
      </c>
      <c r="B85" s="18" t="s">
        <v>53</v>
      </c>
      <c r="C85" s="18">
        <v>367</v>
      </c>
      <c r="D85" s="18" t="s">
        <v>34</v>
      </c>
      <c r="E85" s="24" t="s">
        <v>183</v>
      </c>
      <c r="F85" s="18" t="s">
        <v>106</v>
      </c>
      <c r="G85" s="18">
        <v>5</v>
      </c>
      <c r="H85" s="72">
        <v>60.78</v>
      </c>
      <c r="I85" s="14">
        <f t="shared" si="6"/>
        <v>9.311496</v>
      </c>
      <c r="J85" s="14">
        <f t="shared" si="16"/>
        <v>70.091496000000006</v>
      </c>
      <c r="K85" s="14">
        <f t="shared" si="17"/>
        <v>2.1027448800000001E-2</v>
      </c>
      <c r="L85" s="14">
        <f t="shared" si="18"/>
        <v>70.070468551200008</v>
      </c>
      <c r="M85" s="14">
        <f t="shared" si="19"/>
        <v>350.35234275600004</v>
      </c>
      <c r="N85" s="14">
        <f t="shared" si="15"/>
        <v>0.75606418708794632</v>
      </c>
      <c r="O85" s="112"/>
    </row>
    <row r="86" spans="1:15" s="19" customFormat="1" ht="17.100000000000001" customHeight="1" x14ac:dyDescent="0.2">
      <c r="A86" s="18" t="s">
        <v>227</v>
      </c>
      <c r="B86" s="18" t="s">
        <v>53</v>
      </c>
      <c r="C86" s="52">
        <v>366</v>
      </c>
      <c r="D86" s="50" t="s">
        <v>34</v>
      </c>
      <c r="E86" s="51" t="s">
        <v>113</v>
      </c>
      <c r="F86" s="60" t="s">
        <v>106</v>
      </c>
      <c r="G86" s="59">
        <v>3</v>
      </c>
      <c r="H86" s="75">
        <v>60</v>
      </c>
      <c r="I86" s="14">
        <f t="shared" si="6"/>
        <v>9.1920000000000002</v>
      </c>
      <c r="J86" s="14">
        <f t="shared" si="16"/>
        <v>69.192000000000007</v>
      </c>
      <c r="K86" s="14">
        <f t="shared" si="17"/>
        <v>2.0757600000000001E-2</v>
      </c>
      <c r="L86" s="14">
        <f t="shared" si="18"/>
        <v>69.171242400000011</v>
      </c>
      <c r="M86" s="14">
        <f t="shared" si="19"/>
        <v>207.51372720000003</v>
      </c>
      <c r="N86" s="14">
        <f t="shared" si="15"/>
        <v>0.5923000987166831</v>
      </c>
      <c r="O86" s="112"/>
    </row>
    <row r="87" spans="1:15" s="30" customFormat="1" ht="16.5" customHeight="1" x14ac:dyDescent="0.2">
      <c r="A87" s="18" t="s">
        <v>228</v>
      </c>
      <c r="B87" s="18" t="s">
        <v>53</v>
      </c>
      <c r="C87" s="40">
        <v>7348</v>
      </c>
      <c r="D87" s="18" t="s">
        <v>34</v>
      </c>
      <c r="E87" s="53" t="s">
        <v>184</v>
      </c>
      <c r="F87" s="40" t="s">
        <v>185</v>
      </c>
      <c r="G87" s="40">
        <v>36</v>
      </c>
      <c r="H87" s="69">
        <v>19.440000000000001</v>
      </c>
      <c r="I87" s="14">
        <f t="shared" si="6"/>
        <v>2.9782080000000004</v>
      </c>
      <c r="J87" s="14">
        <f t="shared" si="16"/>
        <v>22.418208</v>
      </c>
      <c r="K87" s="14">
        <f t="shared" si="17"/>
        <v>6.725462399999999E-3</v>
      </c>
      <c r="L87" s="14">
        <f t="shared" si="18"/>
        <v>22.411482537600001</v>
      </c>
      <c r="M87" s="14">
        <f t="shared" si="19"/>
        <v>806.81337135360002</v>
      </c>
      <c r="N87" s="14">
        <f t="shared" si="15"/>
        <v>3.8879999999999995</v>
      </c>
      <c r="O87" s="112"/>
    </row>
    <row r="88" spans="1:15" s="30" customFormat="1" ht="16.5" customHeight="1" x14ac:dyDescent="0.2">
      <c r="A88" s="18" t="s">
        <v>229</v>
      </c>
      <c r="B88" s="18" t="s">
        <v>53</v>
      </c>
      <c r="C88" s="40">
        <v>5318</v>
      </c>
      <c r="D88" s="18" t="s">
        <v>34</v>
      </c>
      <c r="E88" s="53" t="s">
        <v>186</v>
      </c>
      <c r="F88" s="40" t="s">
        <v>185</v>
      </c>
      <c r="G88" s="40">
        <v>18</v>
      </c>
      <c r="H88" s="69">
        <v>23</v>
      </c>
      <c r="I88" s="14">
        <f t="shared" si="6"/>
        <v>3.5236000000000001</v>
      </c>
      <c r="J88" s="14">
        <f t="shared" si="16"/>
        <v>26.523600000000002</v>
      </c>
      <c r="K88" s="14">
        <f t="shared" si="17"/>
        <v>7.9570800000000001E-3</v>
      </c>
      <c r="L88" s="14">
        <f t="shared" si="18"/>
        <v>26.515642920000001</v>
      </c>
      <c r="M88" s="14">
        <f t="shared" si="19"/>
        <v>477.28157256000003</v>
      </c>
      <c r="N88" s="14">
        <f t="shared" si="15"/>
        <v>0.59156378600823045</v>
      </c>
      <c r="O88" s="112"/>
    </row>
    <row r="89" spans="1:15" s="19" customFormat="1" ht="17.100000000000001" customHeight="1" x14ac:dyDescent="0.2">
      <c r="A89" s="18" t="s">
        <v>230</v>
      </c>
      <c r="B89" s="18" t="s">
        <v>53</v>
      </c>
      <c r="C89" s="18">
        <v>35692</v>
      </c>
      <c r="D89" s="18" t="s">
        <v>34</v>
      </c>
      <c r="E89" s="25" t="s">
        <v>187</v>
      </c>
      <c r="F89" s="18" t="s">
        <v>185</v>
      </c>
      <c r="G89" s="18">
        <f>18*4</f>
        <v>72</v>
      </c>
      <c r="H89" s="72">
        <v>18.97</v>
      </c>
      <c r="I89" s="14">
        <f t="shared" si="6"/>
        <v>2.9062039999999998</v>
      </c>
      <c r="J89" s="14">
        <f t="shared" si="16"/>
        <v>21.876203999999998</v>
      </c>
      <c r="K89" s="14">
        <f t="shared" si="17"/>
        <v>6.5628611999999989E-3</v>
      </c>
      <c r="L89" s="14">
        <f t="shared" si="18"/>
        <v>21.869641138799999</v>
      </c>
      <c r="M89" s="14">
        <f t="shared" si="19"/>
        <v>1574.6141619936</v>
      </c>
      <c r="N89" s="14">
        <f t="shared" si="15"/>
        <v>3.2991304347826085</v>
      </c>
      <c r="O89" s="112"/>
    </row>
    <row r="90" spans="1:15" s="19" customFormat="1" ht="17.100000000000001" customHeight="1" x14ac:dyDescent="0.2">
      <c r="A90" s="18" t="s">
        <v>231</v>
      </c>
      <c r="B90" s="18" t="s">
        <v>53</v>
      </c>
      <c r="C90" s="11">
        <v>4791</v>
      </c>
      <c r="D90" s="18" t="s">
        <v>34</v>
      </c>
      <c r="E90" s="61" t="s">
        <v>189</v>
      </c>
      <c r="F90" s="18" t="s">
        <v>134</v>
      </c>
      <c r="G90" s="18">
        <f>2.8*6</f>
        <v>16.799999999999997</v>
      </c>
      <c r="H90" s="73">
        <v>47.3</v>
      </c>
      <c r="I90" s="14">
        <f t="shared" si="6"/>
        <v>7.2463600000000001</v>
      </c>
      <c r="J90" s="14">
        <f t="shared" si="16"/>
        <v>54.54636</v>
      </c>
      <c r="K90" s="14">
        <f t="shared" si="17"/>
        <v>1.6363908E-2</v>
      </c>
      <c r="L90" s="14">
        <f t="shared" si="18"/>
        <v>54.529996091999998</v>
      </c>
      <c r="M90" s="14">
        <f t="shared" si="19"/>
        <v>916.10393434559978</v>
      </c>
      <c r="N90" s="14">
        <f t="shared" si="15"/>
        <v>0.58179581795817947</v>
      </c>
      <c r="O90" s="112"/>
    </row>
    <row r="91" spans="1:15" s="19" customFormat="1" ht="17.100000000000001" customHeight="1" x14ac:dyDescent="0.2">
      <c r="A91" s="18" t="s">
        <v>232</v>
      </c>
      <c r="B91" s="18" t="s">
        <v>53</v>
      </c>
      <c r="C91" s="18">
        <v>12815</v>
      </c>
      <c r="D91" s="18" t="s">
        <v>34</v>
      </c>
      <c r="E91" s="62" t="s">
        <v>190</v>
      </c>
      <c r="F91" s="18" t="s">
        <v>21</v>
      </c>
      <c r="G91" s="18">
        <v>15</v>
      </c>
      <c r="H91" s="73">
        <v>10.89</v>
      </c>
      <c r="I91" s="14">
        <f t="shared" si="6"/>
        <v>1.6683480000000002</v>
      </c>
      <c r="J91" s="14">
        <f t="shared" si="16"/>
        <v>12.558348000000001</v>
      </c>
      <c r="K91" s="14">
        <f t="shared" si="17"/>
        <v>3.7675043999999998E-3</v>
      </c>
      <c r="L91" s="14">
        <f t="shared" si="18"/>
        <v>12.5545804956</v>
      </c>
      <c r="M91" s="14">
        <f t="shared" si="19"/>
        <v>188.318707434</v>
      </c>
      <c r="N91" s="14">
        <f t="shared" si="15"/>
        <v>0.2055647840531562</v>
      </c>
      <c r="O91" s="112"/>
    </row>
    <row r="92" spans="1:15" s="30" customFormat="1" ht="16.5" customHeight="1" x14ac:dyDescent="0.2">
      <c r="A92" s="18" t="s">
        <v>233</v>
      </c>
      <c r="B92" s="18" t="s">
        <v>53</v>
      </c>
      <c r="C92" s="40">
        <v>43653</v>
      </c>
      <c r="D92" s="18" t="s">
        <v>34</v>
      </c>
      <c r="E92" s="53" t="s">
        <v>191</v>
      </c>
      <c r="F92" s="40" t="s">
        <v>185</v>
      </c>
      <c r="G92" s="40">
        <v>7.2</v>
      </c>
      <c r="H92" s="69">
        <v>37.380000000000003</v>
      </c>
      <c r="I92" s="14">
        <f t="shared" si="6"/>
        <v>5.7266160000000008</v>
      </c>
      <c r="J92" s="14">
        <f t="shared" si="16"/>
        <v>43.106616000000002</v>
      </c>
      <c r="K92" s="14">
        <f t="shared" si="17"/>
        <v>1.2931984799999999E-2</v>
      </c>
      <c r="L92" s="14">
        <f t="shared" si="18"/>
        <v>43.093684015200004</v>
      </c>
      <c r="M92" s="14">
        <f t="shared" si="19"/>
        <v>310.27452490944006</v>
      </c>
      <c r="N92" s="14">
        <f t="shared" si="15"/>
        <v>1.6476033057851243</v>
      </c>
      <c r="O92" s="112"/>
    </row>
    <row r="93" spans="1:15" s="19" customFormat="1" ht="17.100000000000001" customHeight="1" x14ac:dyDescent="0.2">
      <c r="A93" s="18" t="s">
        <v>234</v>
      </c>
      <c r="B93" s="18" t="s">
        <v>53</v>
      </c>
      <c r="C93" s="23">
        <v>3315</v>
      </c>
      <c r="D93" s="18" t="s">
        <v>34</v>
      </c>
      <c r="E93" s="24" t="s">
        <v>192</v>
      </c>
      <c r="F93" s="18" t="s">
        <v>134</v>
      </c>
      <c r="G93" s="18">
        <v>10</v>
      </c>
      <c r="H93" s="72">
        <v>0.74</v>
      </c>
      <c r="I93" s="14">
        <f t="shared" si="6"/>
        <v>0.113368</v>
      </c>
      <c r="J93" s="14">
        <f t="shared" si="16"/>
        <v>0.85336800000000002</v>
      </c>
      <c r="K93" s="14">
        <f t="shared" si="17"/>
        <v>2.5601039999999996E-4</v>
      </c>
      <c r="L93" s="14">
        <f t="shared" si="18"/>
        <v>0.85311198960000001</v>
      </c>
      <c r="M93" s="14">
        <f t="shared" si="19"/>
        <v>8.5311198959999999</v>
      </c>
      <c r="N93" s="14">
        <f t="shared" si="15"/>
        <v>2.7495392663931983E-2</v>
      </c>
      <c r="O93" s="112"/>
    </row>
    <row r="94" spans="1:15" s="30" customFormat="1" ht="16.5" customHeight="1" x14ac:dyDescent="0.2">
      <c r="A94" s="18" t="s">
        <v>235</v>
      </c>
      <c r="B94" s="18" t="s">
        <v>53</v>
      </c>
      <c r="C94" s="40">
        <v>10691</v>
      </c>
      <c r="D94" s="18" t="s">
        <v>34</v>
      </c>
      <c r="E94" s="41" t="s">
        <v>193</v>
      </c>
      <c r="F94" s="40" t="s">
        <v>185</v>
      </c>
      <c r="G94" s="40">
        <v>3.6</v>
      </c>
      <c r="H94" s="69">
        <v>83.23</v>
      </c>
      <c r="I94" s="14">
        <f t="shared" si="6"/>
        <v>12.750836000000001</v>
      </c>
      <c r="J94" s="14">
        <f t="shared" si="16"/>
        <v>95.980836000000011</v>
      </c>
      <c r="K94" s="14">
        <f t="shared" si="17"/>
        <v>2.8794250800000001E-2</v>
      </c>
      <c r="L94" s="14">
        <f t="shared" si="18"/>
        <v>95.952041749200006</v>
      </c>
      <c r="M94" s="14">
        <f t="shared" si="19"/>
        <v>345.42735029712003</v>
      </c>
      <c r="N94" s="14">
        <f t="shared" si="15"/>
        <v>40.490270270270273</v>
      </c>
      <c r="O94" s="112"/>
    </row>
    <row r="95" spans="1:15" s="19" customFormat="1" ht="17.100000000000001" customHeight="1" x14ac:dyDescent="0.2">
      <c r="A95" s="18" t="s">
        <v>236</v>
      </c>
      <c r="B95" s="18" t="s">
        <v>53</v>
      </c>
      <c r="C95" s="18">
        <v>39512</v>
      </c>
      <c r="D95" s="18" t="s">
        <v>34</v>
      </c>
      <c r="E95" s="32" t="s">
        <v>194</v>
      </c>
      <c r="F95" s="18" t="s">
        <v>90</v>
      </c>
      <c r="G95" s="63">
        <f>1.25*0.625*10</f>
        <v>7.8125</v>
      </c>
      <c r="H95" s="73">
        <v>132.65</v>
      </c>
      <c r="I95" s="14">
        <f t="shared" si="6"/>
        <v>20.32198</v>
      </c>
      <c r="J95" s="14">
        <f t="shared" si="16"/>
        <v>152.97198</v>
      </c>
      <c r="K95" s="14">
        <f t="shared" si="17"/>
        <v>4.5891593999999994E-2</v>
      </c>
      <c r="L95" s="14">
        <f t="shared" si="18"/>
        <v>152.92608840599999</v>
      </c>
      <c r="M95" s="14">
        <f t="shared" si="19"/>
        <v>1194.735065671875</v>
      </c>
      <c r="N95" s="14">
        <f t="shared" si="15"/>
        <v>3.4587158910382203</v>
      </c>
      <c r="O95" s="112"/>
    </row>
    <row r="96" spans="1:15" s="30" customFormat="1" ht="16.5" customHeight="1" x14ac:dyDescent="0.2">
      <c r="A96" s="18" t="s">
        <v>237</v>
      </c>
      <c r="B96" s="18" t="s">
        <v>53</v>
      </c>
      <c r="C96" s="40">
        <v>104655</v>
      </c>
      <c r="D96" s="18" t="s">
        <v>34</v>
      </c>
      <c r="E96" s="41" t="s">
        <v>195</v>
      </c>
      <c r="F96" s="40" t="s">
        <v>123</v>
      </c>
      <c r="G96" s="40">
        <v>40</v>
      </c>
      <c r="H96" s="69">
        <v>0.48</v>
      </c>
      <c r="I96" s="14">
        <f t="shared" ref="I96:I99" si="20">H96*0.1532</f>
        <v>7.3536000000000004E-2</v>
      </c>
      <c r="J96" s="14">
        <f t="shared" si="16"/>
        <v>0.55353600000000003</v>
      </c>
      <c r="K96" s="14">
        <f t="shared" si="17"/>
        <v>1.6606079999999999E-4</v>
      </c>
      <c r="L96" s="14">
        <f t="shared" si="18"/>
        <v>0.55336993919999999</v>
      </c>
      <c r="M96" s="14">
        <f t="shared" si="19"/>
        <v>22.134797568</v>
      </c>
      <c r="N96" s="14">
        <f t="shared" si="15"/>
        <v>1.8526950621937429E-2</v>
      </c>
      <c r="O96" s="112"/>
    </row>
    <row r="97" spans="1:15" s="30" customFormat="1" ht="16.5" customHeight="1" x14ac:dyDescent="0.2">
      <c r="A97" s="18" t="s">
        <v>245</v>
      </c>
      <c r="B97" s="18" t="s">
        <v>53</v>
      </c>
      <c r="C97" s="76">
        <v>34665</v>
      </c>
      <c r="D97" s="18" t="s">
        <v>34</v>
      </c>
      <c r="E97" s="53" t="s">
        <v>243</v>
      </c>
      <c r="F97" s="40" t="s">
        <v>244</v>
      </c>
      <c r="G97" s="66">
        <f>2.75*1.85*3</f>
        <v>15.262500000000001</v>
      </c>
      <c r="H97" s="69">
        <v>60.13</v>
      </c>
      <c r="I97" s="14">
        <f t="shared" si="20"/>
        <v>9.2119160000000004</v>
      </c>
      <c r="J97" s="14">
        <f t="shared" si="16"/>
        <v>69.341915999999998</v>
      </c>
      <c r="K97" s="14">
        <f t="shared" si="17"/>
        <v>2.0802574799999998E-2</v>
      </c>
      <c r="L97" s="14">
        <f t="shared" si="18"/>
        <v>69.321113425199997</v>
      </c>
      <c r="M97" s="14">
        <f t="shared" ref="M97" si="21">L97*G97</f>
        <v>1058.0134936521151</v>
      </c>
      <c r="N97" s="14">
        <f t="shared" si="15"/>
        <v>47.798652343750007</v>
      </c>
      <c r="O97" s="112"/>
    </row>
    <row r="98" spans="1:15" s="30" customFormat="1" ht="16.5" customHeight="1" x14ac:dyDescent="0.2">
      <c r="A98" s="18" t="s">
        <v>246</v>
      </c>
      <c r="B98" s="18" t="s">
        <v>53</v>
      </c>
      <c r="C98" s="40">
        <v>40547</v>
      </c>
      <c r="D98" s="18" t="s">
        <v>34</v>
      </c>
      <c r="E98" s="53" t="s">
        <v>107</v>
      </c>
      <c r="F98" s="36" t="s">
        <v>108</v>
      </c>
      <c r="G98" s="40">
        <v>5</v>
      </c>
      <c r="H98" s="69">
        <v>29.16</v>
      </c>
      <c r="I98" s="14">
        <f t="shared" si="20"/>
        <v>4.4673119999999997</v>
      </c>
      <c r="J98" s="14">
        <f t="shared" si="16"/>
        <v>33.627312000000003</v>
      </c>
      <c r="K98" s="14">
        <f t="shared" si="17"/>
        <v>1.00881936E-2</v>
      </c>
      <c r="L98" s="14">
        <f t="shared" si="18"/>
        <v>33.617223806400006</v>
      </c>
      <c r="M98" s="14">
        <f t="shared" ref="M98" si="22">L98*G98</f>
        <v>168.08611903200003</v>
      </c>
      <c r="N98" s="14">
        <f t="shared" si="15"/>
        <v>0.15886954187303431</v>
      </c>
      <c r="O98" s="112"/>
    </row>
    <row r="99" spans="1:15" s="30" customFormat="1" ht="16.5" customHeight="1" x14ac:dyDescent="0.2">
      <c r="A99" s="18" t="s">
        <v>247</v>
      </c>
      <c r="B99" s="18" t="s">
        <v>53</v>
      </c>
      <c r="C99" s="40">
        <v>563</v>
      </c>
      <c r="D99" s="18" t="s">
        <v>34</v>
      </c>
      <c r="E99" s="53" t="s">
        <v>248</v>
      </c>
      <c r="F99" s="40" t="s">
        <v>134</v>
      </c>
      <c r="G99" s="40">
        <v>60</v>
      </c>
      <c r="H99" s="69">
        <v>25.47</v>
      </c>
      <c r="I99" s="43">
        <f t="shared" si="20"/>
        <v>3.9020039999999998</v>
      </c>
      <c r="J99" s="43">
        <f t="shared" si="16"/>
        <v>29.372003999999997</v>
      </c>
      <c r="K99" s="43">
        <f t="shared" si="17"/>
        <v>8.811601199999998E-3</v>
      </c>
      <c r="L99" s="43">
        <f t="shared" si="18"/>
        <v>29.363192398799995</v>
      </c>
      <c r="M99" s="14">
        <f t="shared" ref="M99" si="23">L99*G99</f>
        <v>1761.7915439279998</v>
      </c>
      <c r="N99" s="14">
        <f t="shared" si="15"/>
        <v>10.481481481481479</v>
      </c>
      <c r="O99" s="112"/>
    </row>
    <row r="100" spans="1:15" s="30" customFormat="1" ht="16.5" customHeight="1" x14ac:dyDescent="0.2">
      <c r="A100" s="50"/>
      <c r="B100" s="50"/>
      <c r="C100" s="40"/>
      <c r="D100" s="40"/>
      <c r="E100" s="53"/>
      <c r="F100" s="40"/>
      <c r="G100" s="40"/>
      <c r="H100" s="42"/>
      <c r="I100" s="43"/>
      <c r="J100" s="43"/>
      <c r="K100" s="43"/>
      <c r="L100" s="43"/>
      <c r="M100" s="14"/>
      <c r="N100" s="39"/>
      <c r="O100" s="112"/>
    </row>
    <row r="101" spans="1:15" s="30" customFormat="1" ht="16.5" customHeight="1" x14ac:dyDescent="0.2">
      <c r="A101" s="50"/>
      <c r="B101" s="50"/>
      <c r="C101" s="40"/>
      <c r="D101" s="40"/>
      <c r="E101" s="53"/>
      <c r="F101" s="40"/>
      <c r="G101" s="40"/>
      <c r="H101" s="42"/>
      <c r="I101" s="43"/>
      <c r="J101" s="43"/>
      <c r="K101" s="43"/>
      <c r="L101" s="43"/>
      <c r="M101" s="43"/>
      <c r="N101" s="39"/>
      <c r="O101" s="112"/>
    </row>
    <row r="102" spans="1:15" s="29" customFormat="1" ht="16.5" customHeight="1" x14ac:dyDescent="0.2">
      <c r="A102" s="52"/>
      <c r="B102" s="52"/>
      <c r="C102" s="52"/>
      <c r="D102" s="52"/>
      <c r="E102" s="51"/>
      <c r="F102" s="50"/>
      <c r="G102" s="52"/>
      <c r="H102" s="54"/>
      <c r="I102" s="55"/>
      <c r="J102" s="55"/>
      <c r="K102" s="55"/>
      <c r="L102" s="55"/>
      <c r="M102" s="55"/>
      <c r="N102" s="55"/>
      <c r="O102" s="112"/>
    </row>
    <row r="103" spans="1:15" s="29" customFormat="1" ht="16.5" customHeight="1" x14ac:dyDescent="0.2">
      <c r="A103" s="52"/>
      <c r="B103" s="52"/>
      <c r="C103" s="52"/>
      <c r="D103" s="52"/>
      <c r="E103" s="51"/>
      <c r="F103" s="50"/>
      <c r="G103" s="52"/>
      <c r="H103" s="54"/>
      <c r="I103" s="55"/>
      <c r="J103" s="55"/>
      <c r="K103" s="55"/>
      <c r="L103" s="55"/>
      <c r="M103" s="55"/>
      <c r="N103" s="55"/>
      <c r="O103" s="112"/>
    </row>
    <row r="104" spans="1:15" s="19" customFormat="1" ht="17.100000000000001" customHeight="1" x14ac:dyDescent="0.2">
      <c r="A104" s="18"/>
      <c r="B104" s="18"/>
      <c r="C104" s="23"/>
      <c r="D104" s="18"/>
      <c r="E104" s="24"/>
      <c r="F104" s="18"/>
      <c r="G104" s="18"/>
      <c r="H104" s="27"/>
      <c r="I104" s="14"/>
      <c r="J104" s="14"/>
      <c r="K104" s="14"/>
      <c r="L104" s="14"/>
      <c r="M104" s="14"/>
      <c r="N104" s="14"/>
      <c r="O104" s="112"/>
    </row>
    <row r="105" spans="1:15" s="28" customFormat="1" ht="17.100000000000001" customHeight="1" x14ac:dyDescent="0.25">
      <c r="A105" s="115" t="s">
        <v>16</v>
      </c>
      <c r="B105" s="117" t="s">
        <v>17</v>
      </c>
      <c r="C105" s="117" t="s">
        <v>18</v>
      </c>
      <c r="D105" s="117" t="s">
        <v>19</v>
      </c>
      <c r="E105" s="117" t="s">
        <v>20</v>
      </c>
      <c r="F105" s="117" t="s">
        <v>21</v>
      </c>
      <c r="G105" s="117" t="s">
        <v>22</v>
      </c>
      <c r="H105" s="128" t="s">
        <v>23</v>
      </c>
      <c r="I105" s="128"/>
      <c r="J105" s="128"/>
      <c r="K105" s="128"/>
      <c r="L105" s="129"/>
      <c r="M105" s="117" t="s">
        <v>24</v>
      </c>
      <c r="N105" s="117" t="s">
        <v>25</v>
      </c>
      <c r="O105" s="83"/>
    </row>
    <row r="106" spans="1:15" s="28" customFormat="1" ht="17.100000000000001" customHeight="1" x14ac:dyDescent="0.25">
      <c r="A106" s="116"/>
      <c r="B106" s="118"/>
      <c r="C106" s="118"/>
      <c r="D106" s="118"/>
      <c r="E106" s="118"/>
      <c r="F106" s="118"/>
      <c r="G106" s="118"/>
      <c r="H106" s="4" t="s">
        <v>27</v>
      </c>
      <c r="I106" s="4" t="s">
        <v>28</v>
      </c>
      <c r="J106" s="4" t="s">
        <v>29</v>
      </c>
      <c r="K106" s="4" t="s">
        <v>57</v>
      </c>
      <c r="L106" s="4" t="s">
        <v>30</v>
      </c>
      <c r="M106" s="118"/>
      <c r="N106" s="118"/>
      <c r="O106" s="83"/>
    </row>
    <row r="107" spans="1:15" s="29" customFormat="1" ht="17.100000000000001" customHeight="1" x14ac:dyDescent="0.2">
      <c r="A107" s="33">
        <v>3</v>
      </c>
      <c r="B107" s="119" t="s">
        <v>38</v>
      </c>
      <c r="C107" s="120"/>
      <c r="D107" s="120"/>
      <c r="E107" s="120"/>
      <c r="F107" s="121"/>
      <c r="G107" s="34"/>
      <c r="H107" s="34"/>
      <c r="I107" s="34"/>
      <c r="J107" s="34"/>
      <c r="K107" s="34"/>
      <c r="L107" s="34"/>
      <c r="M107" s="35">
        <f>SUM(M108:M119)</f>
        <v>118987.61194543766</v>
      </c>
      <c r="N107" s="34"/>
      <c r="O107" s="83"/>
    </row>
    <row r="108" spans="1:15" s="29" customFormat="1" ht="26.25" customHeight="1" x14ac:dyDescent="0.2">
      <c r="A108" s="36" t="s">
        <v>87</v>
      </c>
      <c r="B108" s="36" t="s">
        <v>33</v>
      </c>
      <c r="C108" s="36" t="s">
        <v>62</v>
      </c>
      <c r="D108" s="36" t="s">
        <v>34</v>
      </c>
      <c r="E108" s="37" t="s">
        <v>63</v>
      </c>
      <c r="F108" s="38" t="s">
        <v>35</v>
      </c>
      <c r="G108" s="36">
        <v>180</v>
      </c>
      <c r="H108" s="70">
        <v>31.59</v>
      </c>
      <c r="I108" s="39">
        <f>H108*0.2232</f>
        <v>7.0508880000000005</v>
      </c>
      <c r="J108" s="39">
        <f>H108+I108</f>
        <v>38.640888000000004</v>
      </c>
      <c r="K108" s="39">
        <f>J108*(0.03%)</f>
        <v>1.1592266400000001E-2</v>
      </c>
      <c r="L108" s="39">
        <f>J108-K108</f>
        <v>38.629295733600003</v>
      </c>
      <c r="M108" s="39">
        <f>L108*G108</f>
        <v>6953.2732320480009</v>
      </c>
      <c r="N108" s="39">
        <f>M108/M$16</f>
        <v>8.5198463784584622E-2</v>
      </c>
      <c r="O108" s="112"/>
    </row>
    <row r="109" spans="1:15" s="29" customFormat="1" ht="23.25" customHeight="1" x14ac:dyDescent="0.2">
      <c r="A109" s="36" t="s">
        <v>101</v>
      </c>
      <c r="B109" s="36" t="s">
        <v>33</v>
      </c>
      <c r="C109" s="36" t="s">
        <v>64</v>
      </c>
      <c r="D109" s="36" t="s">
        <v>34</v>
      </c>
      <c r="E109" s="37" t="s">
        <v>65</v>
      </c>
      <c r="F109" s="38" t="s">
        <v>35</v>
      </c>
      <c r="G109" s="36">
        <v>18</v>
      </c>
      <c r="H109" s="70">
        <v>27.2</v>
      </c>
      <c r="I109" s="39">
        <f t="shared" ref="I109" si="24">H109*0.2232</f>
        <v>6.07104</v>
      </c>
      <c r="J109" s="39">
        <f t="shared" ref="J109" si="25">H109+I109</f>
        <v>33.271039999999999</v>
      </c>
      <c r="K109" s="39">
        <f t="shared" ref="K109" si="26">J109*(0.03%)</f>
        <v>9.9813119999999991E-3</v>
      </c>
      <c r="L109" s="39">
        <f t="shared" ref="L109" si="27">J109-K109</f>
        <v>33.261058687999999</v>
      </c>
      <c r="M109" s="39">
        <f t="shared" ref="M109" si="28">L109*G109</f>
        <v>598.69905638399996</v>
      </c>
      <c r="N109" s="39"/>
      <c r="O109" s="112"/>
    </row>
    <row r="110" spans="1:15" s="28" customFormat="1" ht="26.25" customHeight="1" x14ac:dyDescent="0.25">
      <c r="A110" s="11" t="s">
        <v>88</v>
      </c>
      <c r="B110" s="11" t="s">
        <v>33</v>
      </c>
      <c r="C110" s="11">
        <v>88310</v>
      </c>
      <c r="D110" s="11" t="s">
        <v>34</v>
      </c>
      <c r="E110" s="20" t="s">
        <v>122</v>
      </c>
      <c r="F110" s="13" t="s">
        <v>35</v>
      </c>
      <c r="G110" s="11">
        <f>16*9</f>
        <v>144</v>
      </c>
      <c r="H110" s="71">
        <v>36.42</v>
      </c>
      <c r="I110" s="14">
        <f>H110*0.2232</f>
        <v>8.1289440000000006</v>
      </c>
      <c r="J110" s="14">
        <f>H110+I110</f>
        <v>44.548944000000006</v>
      </c>
      <c r="K110" s="14">
        <f>J110*(0.03%)</f>
        <v>1.3364683200000001E-2</v>
      </c>
      <c r="L110" s="14">
        <f>J110-K110</f>
        <v>44.535579316800003</v>
      </c>
      <c r="M110" s="14">
        <f>L110*G110</f>
        <v>6413.1234216192006</v>
      </c>
      <c r="N110" s="14">
        <f>M110/M$16</f>
        <v>7.8580007623540907E-2</v>
      </c>
      <c r="O110" s="112"/>
    </row>
    <row r="111" spans="1:15" s="29" customFormat="1" ht="23.25" customHeight="1" x14ac:dyDescent="0.2">
      <c r="A111" s="36" t="s">
        <v>88</v>
      </c>
      <c r="B111" s="36" t="s">
        <v>33</v>
      </c>
      <c r="C111" s="40">
        <v>93588</v>
      </c>
      <c r="D111" s="40" t="s">
        <v>34</v>
      </c>
      <c r="E111" s="41" t="s">
        <v>111</v>
      </c>
      <c r="F111" s="40" t="s">
        <v>112</v>
      </c>
      <c r="G111" s="40">
        <f>13*17</f>
        <v>221</v>
      </c>
      <c r="H111" s="69">
        <v>2.97</v>
      </c>
      <c r="I111" s="43">
        <f>H111*0.2232</f>
        <v>0.66290400000000005</v>
      </c>
      <c r="J111" s="43">
        <f>H111+I111</f>
        <v>3.6329040000000004</v>
      </c>
      <c r="K111" s="43">
        <f>J111*(0.03%)</f>
        <v>1.0898711999999999E-3</v>
      </c>
      <c r="L111" s="43">
        <f>J111-K111</f>
        <v>3.6318141288000003</v>
      </c>
      <c r="M111" s="43">
        <f>L111*G111</f>
        <v>802.63092246480005</v>
      </c>
      <c r="N111" s="39">
        <f>M111/M$16</f>
        <v>9.8346374862452613E-3</v>
      </c>
      <c r="O111" s="112"/>
    </row>
    <row r="112" spans="1:15" s="29" customFormat="1" ht="23.25" customHeight="1" x14ac:dyDescent="0.2">
      <c r="A112" s="130" t="s">
        <v>196</v>
      </c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2"/>
      <c r="O112" s="112"/>
    </row>
    <row r="113" spans="1:15" s="29" customFormat="1" ht="33" customHeight="1" x14ac:dyDescent="0.2">
      <c r="A113" s="43" t="s">
        <v>89</v>
      </c>
      <c r="B113" s="36" t="s">
        <v>33</v>
      </c>
      <c r="C113" s="40" t="s">
        <v>197</v>
      </c>
      <c r="D113" s="40" t="s">
        <v>198</v>
      </c>
      <c r="E113" s="53" t="s">
        <v>199</v>
      </c>
      <c r="F113" s="40" t="s">
        <v>96</v>
      </c>
      <c r="G113" s="40">
        <f>1700/2</f>
        <v>850</v>
      </c>
      <c r="H113" s="69">
        <v>93.39</v>
      </c>
      <c r="I113" s="43">
        <f t="shared" ref="I113" si="29">H113*0.2232</f>
        <v>20.844647999999999</v>
      </c>
      <c r="J113" s="43">
        <f t="shared" ref="J113" si="30">H113+I113</f>
        <v>114.23464799999999</v>
      </c>
      <c r="K113" s="43">
        <f t="shared" ref="K113" si="31">J113*(0.03%)</f>
        <v>3.4270394399999994E-2</v>
      </c>
      <c r="L113" s="43">
        <f t="shared" ref="L113" si="32">J113-K113</f>
        <v>114.2003776056</v>
      </c>
      <c r="M113" s="43">
        <f t="shared" ref="M113" si="33">L113*G113</f>
        <v>97070.320964760002</v>
      </c>
      <c r="N113" s="39">
        <f t="shared" ref="N113" si="34">M113/M$16</f>
        <v>1.1894027387211148</v>
      </c>
      <c r="O113" s="112"/>
    </row>
    <row r="114" spans="1:15" s="29" customFormat="1" ht="23.25" customHeight="1" x14ac:dyDescent="0.2">
      <c r="A114" s="130" t="s">
        <v>242</v>
      </c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2"/>
      <c r="O114" s="112"/>
    </row>
    <row r="115" spans="1:15" s="29" customFormat="1" ht="23.25" customHeight="1" x14ac:dyDescent="0.2">
      <c r="A115" s="44" t="s">
        <v>103</v>
      </c>
      <c r="B115" s="36" t="s">
        <v>33</v>
      </c>
      <c r="C115" s="45">
        <v>3149</v>
      </c>
      <c r="D115" s="45" t="s">
        <v>240</v>
      </c>
      <c r="E115" s="64" t="s">
        <v>241</v>
      </c>
      <c r="F115" s="45" t="s">
        <v>96</v>
      </c>
      <c r="G115" s="45">
        <v>32</v>
      </c>
      <c r="H115" s="68">
        <v>41.81</v>
      </c>
      <c r="I115" s="43">
        <f t="shared" ref="I115" si="35">H115*0.2232</f>
        <v>9.3319920000000014</v>
      </c>
      <c r="J115" s="43">
        <f t="shared" ref="J115" si="36">H115+I115</f>
        <v>51.141992000000002</v>
      </c>
      <c r="K115" s="43">
        <f t="shared" ref="K115" si="37">J115*(0.03%)</f>
        <v>1.5342597599999999E-2</v>
      </c>
      <c r="L115" s="43">
        <f t="shared" ref="L115" si="38">J115-K115</f>
        <v>51.126649402400005</v>
      </c>
      <c r="M115" s="43">
        <f t="shared" ref="M115" si="39">L115*G115</f>
        <v>1636.0527808768002</v>
      </c>
      <c r="N115" s="39">
        <f t="shared" ref="N115" si="40">M115/M$16</f>
        <v>2.0046556341083932E-2</v>
      </c>
      <c r="O115" s="112"/>
    </row>
    <row r="116" spans="1:15" s="29" customFormat="1" ht="23.25" customHeight="1" x14ac:dyDescent="0.2">
      <c r="A116" s="133" t="s">
        <v>238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12"/>
    </row>
    <row r="117" spans="1:15" s="29" customFormat="1" ht="23.25" customHeight="1" x14ac:dyDescent="0.2">
      <c r="A117" s="43" t="s">
        <v>104</v>
      </c>
      <c r="B117" s="36" t="s">
        <v>33</v>
      </c>
      <c r="C117" s="45">
        <v>102500</v>
      </c>
      <c r="D117" s="45" t="s">
        <v>34</v>
      </c>
      <c r="E117" s="46" t="s">
        <v>114</v>
      </c>
      <c r="F117" s="45" t="s">
        <v>100</v>
      </c>
      <c r="G117" s="45">
        <v>195.2</v>
      </c>
      <c r="H117" s="67">
        <v>5.23</v>
      </c>
      <c r="I117" s="43">
        <f t="shared" ref="I117:I119" si="41">H117*0.2232</f>
        <v>1.1673360000000002</v>
      </c>
      <c r="J117" s="43">
        <f t="shared" ref="J117:J119" si="42">H117+I117</f>
        <v>6.397336000000001</v>
      </c>
      <c r="K117" s="43">
        <f t="shared" ref="K117:K119" si="43">J117*(0.03%)</f>
        <v>1.9192008000000001E-3</v>
      </c>
      <c r="L117" s="43">
        <f t="shared" ref="L117:L119" si="44">J117-K117</f>
        <v>6.3954167992000013</v>
      </c>
      <c r="M117" s="43">
        <f t="shared" ref="M117:M119" si="45">L117*G117</f>
        <v>1248.3853592038402</v>
      </c>
      <c r="N117" s="39">
        <f t="shared" ref="N117:N119" si="46">M117/M$16</f>
        <v>1.5296467040172224E-2</v>
      </c>
      <c r="O117" s="112"/>
    </row>
    <row r="118" spans="1:15" s="29" customFormat="1" ht="23.25" customHeight="1" x14ac:dyDescent="0.2">
      <c r="A118" s="43" t="s">
        <v>119</v>
      </c>
      <c r="B118" s="36" t="s">
        <v>33</v>
      </c>
      <c r="C118" s="45">
        <v>102513</v>
      </c>
      <c r="D118" s="45" t="s">
        <v>34</v>
      </c>
      <c r="E118" s="46" t="s">
        <v>115</v>
      </c>
      <c r="F118" s="45" t="s">
        <v>96</v>
      </c>
      <c r="G118" s="45">
        <v>32.880000000000003</v>
      </c>
      <c r="H118" s="67">
        <v>56.62</v>
      </c>
      <c r="I118" s="43">
        <f t="shared" si="41"/>
        <v>12.637584</v>
      </c>
      <c r="J118" s="43">
        <f t="shared" si="42"/>
        <v>69.257583999999994</v>
      </c>
      <c r="K118" s="43">
        <f t="shared" si="43"/>
        <v>2.0777275199999997E-2</v>
      </c>
      <c r="L118" s="43">
        <f t="shared" si="44"/>
        <v>69.23680672479999</v>
      </c>
      <c r="M118" s="43">
        <f t="shared" si="45"/>
        <v>2276.5062051114237</v>
      </c>
      <c r="N118" s="39">
        <f t="shared" si="46"/>
        <v>2.7894032781225944E-2</v>
      </c>
      <c r="O118" s="112"/>
    </row>
    <row r="119" spans="1:15" s="29" customFormat="1" ht="23.25" customHeight="1" x14ac:dyDescent="0.2">
      <c r="A119" s="43" t="s">
        <v>120</v>
      </c>
      <c r="B119" s="36" t="s">
        <v>33</v>
      </c>
      <c r="C119" s="45">
        <v>102501</v>
      </c>
      <c r="D119" s="45" t="s">
        <v>34</v>
      </c>
      <c r="E119" s="46" t="s">
        <v>116</v>
      </c>
      <c r="F119" s="45" t="s">
        <v>96</v>
      </c>
      <c r="G119" s="45">
        <v>56</v>
      </c>
      <c r="H119" s="67">
        <v>29.04</v>
      </c>
      <c r="I119" s="43">
        <f t="shared" si="41"/>
        <v>6.4817280000000004</v>
      </c>
      <c r="J119" s="43">
        <f t="shared" si="42"/>
        <v>35.521727999999996</v>
      </c>
      <c r="K119" s="43">
        <f t="shared" si="43"/>
        <v>1.0656518399999999E-2</v>
      </c>
      <c r="L119" s="43">
        <f t="shared" si="44"/>
        <v>35.511071481599998</v>
      </c>
      <c r="M119" s="43">
        <f t="shared" si="45"/>
        <v>1988.6200029695999</v>
      </c>
      <c r="N119" s="39">
        <f t="shared" si="46"/>
        <v>2.4366562861848486E-2</v>
      </c>
      <c r="O119" s="112"/>
    </row>
    <row r="120" spans="1:15" s="30" customFormat="1" ht="17.100000000000001" customHeight="1" x14ac:dyDescent="0.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112"/>
    </row>
    <row r="121" spans="1:15" s="30" customFormat="1" ht="17.100000000000001" customHeight="1" x14ac:dyDescent="0.2">
      <c r="A121" s="122"/>
      <c r="B121" s="123"/>
      <c r="C121" s="123"/>
      <c r="D121" s="123"/>
      <c r="E121" s="123"/>
      <c r="F121" s="123"/>
      <c r="G121" s="123"/>
      <c r="H121" s="48" t="s">
        <v>39</v>
      </c>
      <c r="I121" s="49"/>
      <c r="J121" s="124">
        <f>M16+M31+M107</f>
        <v>220132.94651075621</v>
      </c>
      <c r="K121" s="125"/>
      <c r="L121" s="125"/>
      <c r="M121" s="125"/>
      <c r="N121" s="126"/>
      <c r="O121" s="83"/>
    </row>
    <row r="122" spans="1:15" ht="17.100000000000001" customHeight="1" x14ac:dyDescent="0.25">
      <c r="A122" s="127" t="s">
        <v>97</v>
      </c>
      <c r="B122" s="88"/>
      <c r="C122" s="88"/>
      <c r="D122" s="88"/>
      <c r="E122" s="88"/>
      <c r="F122" s="88"/>
      <c r="G122" s="88"/>
      <c r="H122" s="85"/>
      <c r="I122" s="85"/>
      <c r="J122" s="85"/>
      <c r="K122" s="85"/>
      <c r="L122" s="85"/>
      <c r="M122" s="85"/>
      <c r="N122" s="86"/>
      <c r="O122" s="83"/>
    </row>
    <row r="123" spans="1:15" ht="17.100000000000001" customHeight="1" x14ac:dyDescent="0.25">
      <c r="A123" s="87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9"/>
      <c r="O123" s="83"/>
    </row>
    <row r="124" spans="1:15" ht="17.100000000000001" customHeight="1" x14ac:dyDescent="0.25">
      <c r="A124" s="87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9"/>
      <c r="O124" s="83"/>
    </row>
    <row r="125" spans="1:15" ht="17.100000000000001" customHeight="1" x14ac:dyDescent="0.25">
      <c r="A125" s="87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9"/>
      <c r="O125" s="83"/>
    </row>
    <row r="126" spans="1:15" ht="17.100000000000001" customHeight="1" x14ac:dyDescent="0.25">
      <c r="A126" s="87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9"/>
      <c r="O126" s="83"/>
    </row>
    <row r="127" spans="1:15" ht="17.100000000000001" customHeight="1" x14ac:dyDescent="0.25">
      <c r="A127" s="87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9"/>
      <c r="O127" s="83"/>
    </row>
    <row r="128" spans="1:15" ht="17.100000000000001" customHeight="1" x14ac:dyDescent="0.25">
      <c r="A128" s="90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2"/>
      <c r="O128" s="83"/>
    </row>
    <row r="129" spans="1:15" ht="17.100000000000001" customHeight="1" x14ac:dyDescent="0.25">
      <c r="A129" s="150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51"/>
    </row>
    <row r="130" spans="1:15" ht="17.100000000000001" customHeight="1" x14ac:dyDescent="0.25">
      <c r="A130" s="152" t="s">
        <v>40</v>
      </c>
      <c r="B130" s="153"/>
      <c r="C130" s="153"/>
      <c r="D130" s="153"/>
      <c r="E130" s="153"/>
      <c r="F130" s="153"/>
      <c r="G130" s="154" t="s">
        <v>41</v>
      </c>
      <c r="H130" s="154"/>
      <c r="I130" s="154"/>
      <c r="J130" s="154"/>
      <c r="K130" s="155"/>
      <c r="L130" s="156"/>
      <c r="M130" s="156"/>
      <c r="N130" s="157"/>
      <c r="O130" s="83" t="s">
        <v>42</v>
      </c>
    </row>
    <row r="131" spans="1:15" ht="17.100000000000001" customHeight="1" x14ac:dyDescent="0.25">
      <c r="A131" s="162" t="s">
        <v>43</v>
      </c>
      <c r="B131" s="163"/>
      <c r="C131" s="163"/>
      <c r="D131" s="163"/>
      <c r="E131" s="163"/>
      <c r="F131" s="164"/>
      <c r="G131" s="168" t="s">
        <v>44</v>
      </c>
      <c r="H131" s="163"/>
      <c r="I131" s="163"/>
      <c r="J131" s="164"/>
      <c r="K131" s="158"/>
      <c r="L131" s="159"/>
      <c r="M131" s="159"/>
      <c r="N131" s="160"/>
      <c r="O131" s="83"/>
    </row>
    <row r="132" spans="1:15" ht="17.100000000000001" customHeight="1" x14ac:dyDescent="0.25">
      <c r="A132" s="165"/>
      <c r="B132" s="166"/>
      <c r="C132" s="166"/>
      <c r="D132" s="166"/>
      <c r="E132" s="166"/>
      <c r="F132" s="167"/>
      <c r="G132" s="169"/>
      <c r="H132" s="166"/>
      <c r="I132" s="166"/>
      <c r="J132" s="167"/>
      <c r="K132" s="158"/>
      <c r="L132" s="159"/>
      <c r="M132" s="159"/>
      <c r="N132" s="160"/>
      <c r="O132" s="83"/>
    </row>
    <row r="133" spans="1:15" ht="17.100000000000001" customHeight="1" x14ac:dyDescent="0.25">
      <c r="A133" s="165"/>
      <c r="B133" s="166"/>
      <c r="C133" s="166"/>
      <c r="D133" s="166"/>
      <c r="E133" s="166"/>
      <c r="F133" s="167"/>
      <c r="G133" s="169"/>
      <c r="H133" s="166"/>
      <c r="I133" s="166"/>
      <c r="J133" s="167"/>
      <c r="K133" s="158"/>
      <c r="L133" s="159"/>
      <c r="M133" s="159"/>
      <c r="N133" s="160"/>
      <c r="O133" s="83"/>
    </row>
    <row r="134" spans="1:15" ht="17.100000000000001" customHeight="1" x14ac:dyDescent="0.25">
      <c r="A134" s="165"/>
      <c r="B134" s="166"/>
      <c r="C134" s="166"/>
      <c r="D134" s="166"/>
      <c r="E134" s="166"/>
      <c r="F134" s="167"/>
      <c r="G134" s="169"/>
      <c r="H134" s="166"/>
      <c r="I134" s="166"/>
      <c r="J134" s="167"/>
      <c r="K134" s="158"/>
      <c r="L134" s="159"/>
      <c r="M134" s="159"/>
      <c r="N134" s="160"/>
      <c r="O134" s="83"/>
    </row>
    <row r="135" spans="1:15" ht="17.100000000000001" customHeight="1" x14ac:dyDescent="0.25">
      <c r="A135" s="165"/>
      <c r="B135" s="166"/>
      <c r="C135" s="166"/>
      <c r="D135" s="166"/>
      <c r="E135" s="166"/>
      <c r="F135" s="167"/>
      <c r="G135" s="169"/>
      <c r="H135" s="166"/>
      <c r="I135" s="166"/>
      <c r="J135" s="167"/>
      <c r="K135" s="158"/>
      <c r="L135" s="159"/>
      <c r="M135" s="159"/>
      <c r="N135" s="160"/>
      <c r="O135" s="83"/>
    </row>
    <row r="136" spans="1:15" ht="17.100000000000001" customHeight="1" x14ac:dyDescent="0.25">
      <c r="A136" s="165"/>
      <c r="B136" s="166"/>
      <c r="C136" s="166"/>
      <c r="D136" s="166"/>
      <c r="E136" s="166"/>
      <c r="F136" s="167"/>
      <c r="G136" s="169"/>
      <c r="H136" s="166"/>
      <c r="I136" s="166"/>
      <c r="J136" s="167"/>
      <c r="K136" s="158"/>
      <c r="L136" s="159"/>
      <c r="M136" s="159"/>
      <c r="N136" s="160"/>
      <c r="O136" s="83"/>
    </row>
    <row r="137" spans="1:15" ht="17.100000000000001" customHeight="1" x14ac:dyDescent="0.25">
      <c r="A137" s="165"/>
      <c r="B137" s="166"/>
      <c r="C137" s="166"/>
      <c r="D137" s="166"/>
      <c r="E137" s="166"/>
      <c r="F137" s="167"/>
      <c r="G137" s="169"/>
      <c r="H137" s="166"/>
      <c r="I137" s="166"/>
      <c r="J137" s="167"/>
      <c r="K137" s="158"/>
      <c r="L137" s="159"/>
      <c r="M137" s="159"/>
      <c r="N137" s="160"/>
      <c r="O137" s="83"/>
    </row>
    <row r="138" spans="1:15" ht="17.100000000000001" customHeight="1" thickBot="1" x14ac:dyDescent="0.3">
      <c r="A138" s="165"/>
      <c r="B138" s="166"/>
      <c r="C138" s="166"/>
      <c r="D138" s="166"/>
      <c r="E138" s="166"/>
      <c r="F138" s="167"/>
      <c r="G138" s="169"/>
      <c r="H138" s="166"/>
      <c r="I138" s="166"/>
      <c r="J138" s="167"/>
      <c r="K138" s="158"/>
      <c r="L138" s="159"/>
      <c r="M138" s="159"/>
      <c r="N138" s="160"/>
      <c r="O138" s="161"/>
    </row>
    <row r="139" spans="1:15" ht="17.100000000000001" customHeight="1" thickBot="1" x14ac:dyDescent="0.3">
      <c r="A139" s="135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7"/>
    </row>
    <row r="140" spans="1:15" ht="17.100000000000001" customHeight="1" x14ac:dyDescent="0.25">
      <c r="A140" s="127" t="s">
        <v>45</v>
      </c>
      <c r="B140" s="88"/>
      <c r="C140" s="88"/>
      <c r="D140" s="89"/>
      <c r="E140" s="138" t="s">
        <v>46</v>
      </c>
      <c r="F140" s="88"/>
      <c r="G140" s="88"/>
      <c r="H140" s="88"/>
      <c r="I140" s="88"/>
      <c r="J140" s="88"/>
      <c r="K140" s="140" t="s">
        <v>47</v>
      </c>
      <c r="L140" s="141"/>
      <c r="M140" s="141"/>
      <c r="N140" s="141"/>
      <c r="O140" s="145" t="s">
        <v>48</v>
      </c>
    </row>
    <row r="141" spans="1:15" ht="17.100000000000001" customHeight="1" x14ac:dyDescent="0.25">
      <c r="A141" s="90"/>
      <c r="B141" s="91"/>
      <c r="C141" s="91"/>
      <c r="D141" s="92"/>
      <c r="E141" s="139"/>
      <c r="F141" s="91"/>
      <c r="G141" s="91"/>
      <c r="H141" s="91"/>
      <c r="I141" s="91"/>
      <c r="J141" s="91"/>
      <c r="K141" s="142"/>
      <c r="L141" s="141"/>
      <c r="M141" s="141"/>
      <c r="N141" s="141"/>
      <c r="O141" s="146"/>
    </row>
    <row r="142" spans="1:15" ht="17.100000000000001" customHeight="1" x14ac:dyDescent="0.25">
      <c r="A142" s="84" t="s">
        <v>49</v>
      </c>
      <c r="B142" s="85"/>
      <c r="C142" s="85"/>
      <c r="D142" s="85"/>
      <c r="E142" s="85"/>
      <c r="F142" s="85"/>
      <c r="G142" s="85"/>
      <c r="H142" s="85"/>
      <c r="I142" s="85"/>
      <c r="J142" s="85"/>
      <c r="K142" s="142"/>
      <c r="L142" s="141"/>
      <c r="M142" s="141"/>
      <c r="N142" s="141"/>
      <c r="O142" s="146"/>
    </row>
    <row r="143" spans="1:15" ht="17.100000000000001" customHeight="1" x14ac:dyDescent="0.25">
      <c r="A143" s="87"/>
      <c r="B143" s="88"/>
      <c r="C143" s="88"/>
      <c r="D143" s="88"/>
      <c r="E143" s="88"/>
      <c r="F143" s="88"/>
      <c r="G143" s="88"/>
      <c r="H143" s="88"/>
      <c r="I143" s="88"/>
      <c r="J143" s="88"/>
      <c r="K143" s="142"/>
      <c r="L143" s="141"/>
      <c r="M143" s="141"/>
      <c r="N143" s="141"/>
      <c r="O143" s="146"/>
    </row>
    <row r="144" spans="1:15" ht="17.100000000000001" customHeight="1" x14ac:dyDescent="0.25">
      <c r="A144" s="87"/>
      <c r="B144" s="88"/>
      <c r="C144" s="88"/>
      <c r="D144" s="88"/>
      <c r="E144" s="88"/>
      <c r="F144" s="88"/>
      <c r="G144" s="88"/>
      <c r="H144" s="88"/>
      <c r="I144" s="88"/>
      <c r="J144" s="88"/>
      <c r="K144" s="142"/>
      <c r="L144" s="141"/>
      <c r="M144" s="141"/>
      <c r="N144" s="141"/>
      <c r="O144" s="146"/>
    </row>
    <row r="145" spans="1:19" ht="17.100000000000001" customHeight="1" x14ac:dyDescent="0.25">
      <c r="A145" s="87"/>
      <c r="B145" s="88"/>
      <c r="C145" s="88"/>
      <c r="D145" s="88"/>
      <c r="E145" s="88"/>
      <c r="F145" s="88"/>
      <c r="G145" s="88"/>
      <c r="H145" s="88"/>
      <c r="I145" s="88"/>
      <c r="J145" s="88"/>
      <c r="K145" s="142"/>
      <c r="L145" s="141"/>
      <c r="M145" s="141"/>
      <c r="N145" s="141"/>
      <c r="O145" s="146"/>
    </row>
    <row r="146" spans="1:19" ht="17.100000000000001" customHeight="1" thickBot="1" x14ac:dyDescent="0.3">
      <c r="A146" s="148"/>
      <c r="B146" s="149"/>
      <c r="C146" s="149"/>
      <c r="D146" s="149"/>
      <c r="E146" s="149"/>
      <c r="F146" s="149"/>
      <c r="G146" s="149"/>
      <c r="H146" s="149"/>
      <c r="I146" s="149"/>
      <c r="J146" s="149"/>
      <c r="K146" s="143"/>
      <c r="L146" s="144"/>
      <c r="M146" s="144"/>
      <c r="N146" s="144"/>
      <c r="O146" s="147"/>
    </row>
    <row r="147" spans="1:19" ht="14.1" customHeight="1" x14ac:dyDescent="0.25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</row>
    <row r="148" spans="1:19" ht="14.1" customHeight="1" x14ac:dyDescent="0.25"/>
    <row r="149" spans="1:19" ht="14.1" customHeight="1" x14ac:dyDescent="0.25"/>
    <row r="150" spans="1:19" ht="14.1" customHeight="1" x14ac:dyDescent="0.25"/>
  </sheetData>
  <sortState xmlns:xlrd2="http://schemas.microsoft.com/office/spreadsheetml/2017/richdata2" ref="A32:N76">
    <sortCondition ref="E32:E76"/>
  </sortState>
  <mergeCells count="75">
    <mergeCell ref="A129:O129"/>
    <mergeCell ref="A130:F130"/>
    <mergeCell ref="G130:J130"/>
    <mergeCell ref="K130:N138"/>
    <mergeCell ref="O130:O138"/>
    <mergeCell ref="A131:F138"/>
    <mergeCell ref="G131:J138"/>
    <mergeCell ref="A147:J147"/>
    <mergeCell ref="K147:S147"/>
    <mergeCell ref="A139:O139"/>
    <mergeCell ref="A140:D141"/>
    <mergeCell ref="E140:J141"/>
    <mergeCell ref="K140:N146"/>
    <mergeCell ref="O140:O146"/>
    <mergeCell ref="A142:J146"/>
    <mergeCell ref="N105:N106"/>
    <mergeCell ref="B107:F107"/>
    <mergeCell ref="A121:G121"/>
    <mergeCell ref="J121:N121"/>
    <mergeCell ref="A122:N128"/>
    <mergeCell ref="E105:E106"/>
    <mergeCell ref="F105:F106"/>
    <mergeCell ref="G105:G106"/>
    <mergeCell ref="H105:L105"/>
    <mergeCell ref="M105:M106"/>
    <mergeCell ref="A112:N112"/>
    <mergeCell ref="A114:N114"/>
    <mergeCell ref="A116:N116"/>
    <mergeCell ref="O14:O128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105:A106"/>
    <mergeCell ref="B105:B106"/>
    <mergeCell ref="C105:C106"/>
    <mergeCell ref="D105:D106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hyperlinks>
    <hyperlink ref="E34" r:id="rId1" display="FITA VEDA ROSCA EM ROLOS DE 18 MM X 50 M (L X C)" xr:uid="{00000000-0004-0000-0000-000000000000}"/>
    <hyperlink ref="E40" r:id="rId2" display="VALVULA DE DESCARGA EM METAL CROMADO PARA MICTORIO COM ACIONAMENTO POR PRESSAO E FECHAMENTO AUTOMATICO" xr:uid="{00000000-0004-0000-0000-000001000000}"/>
    <hyperlink ref="E48" r:id="rId3" display="VALVULA DE DESCARGA EM METAL CROMADO PARA MICTORIO COM ACIONAMENTO POR PRESSAO E FECHAMENTO AUTOMATICO" xr:uid="{00000000-0004-0000-0000-000002000000}"/>
    <hyperlink ref="E61" r:id="rId4" display="VALVULA DE DESCARGA EM METAL CROMADO PARA MICTORIO COM ACIONAMENTO POR PRESSAO E FECHAMENTO AUTOMATICO" xr:uid="{00000000-0004-0000-0000-000003000000}"/>
    <hyperlink ref="E75" r:id="rId5" display="FITA VEDA ROSCA EM ROLOS DE 18 MM X 50 M (L X C)" xr:uid="{00000000-0004-0000-0000-000004000000}"/>
    <hyperlink ref="E84" r:id="rId6" display="VALVULA DE DESCARGA EM METAL CROMADO PARA MICTORIO COM ACIONAMENTO POR PRESSAO E FECHAMENTO AUTOMATICO" xr:uid="{00000000-0004-0000-0000-000005000000}"/>
  </hyperlinks>
  <pageMargins left="0.25" right="0.25" top="0.75" bottom="0.75" header="0.3" footer="0.3"/>
  <pageSetup paperSize="9" scale="53" orientation="landscape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636E4EA-763C-46E9-81A8-EC11D89465F4}"/>
</file>

<file path=customXml/itemProps2.xml><?xml version="1.0" encoding="utf-8"?>
<ds:datastoreItem xmlns:ds="http://schemas.openxmlformats.org/officeDocument/2006/customXml" ds:itemID="{9FBBF709-D075-4A70-B73F-47DD814D596F}"/>
</file>

<file path=customXml/itemProps3.xml><?xml version="1.0" encoding="utf-8"?>
<ds:datastoreItem xmlns:ds="http://schemas.openxmlformats.org/officeDocument/2006/customXml" ds:itemID="{C3B77E15-7A1E-4E78-9871-471289632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2023-11-16T12:39:58Z</cp:lastPrinted>
  <dcterms:created xsi:type="dcterms:W3CDTF">2022-01-02T19:12:46Z</dcterms:created>
  <dcterms:modified xsi:type="dcterms:W3CDTF">2023-11-16T12:41:42Z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