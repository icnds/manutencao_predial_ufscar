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08-Janeiro-23\SEI\"/>
    </mc:Choice>
  </mc:AlternateContent>
  <xr:revisionPtr revIDLastSave="0" documentId="13_ncr:1_{70157F0C-827C-4F60-9B8D-DF0F4C5F59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J32" i="1" s="1"/>
  <c r="I62" i="1"/>
  <c r="J62" i="1" s="1"/>
  <c r="I61" i="1"/>
  <c r="J61" i="1" s="1"/>
  <c r="I60" i="1"/>
  <c r="J60" i="1" s="1"/>
  <c r="I59" i="1"/>
  <c r="J59" i="1" s="1"/>
  <c r="K59" i="1" s="1"/>
  <c r="I58" i="1"/>
  <c r="J58" i="1" s="1"/>
  <c r="I57" i="1"/>
  <c r="J57" i="1" s="1"/>
  <c r="I56" i="1"/>
  <c r="J56" i="1" s="1"/>
  <c r="I55" i="1"/>
  <c r="J55" i="1" s="1"/>
  <c r="I53" i="1"/>
  <c r="J53" i="1" s="1"/>
  <c r="I50" i="1"/>
  <c r="J50" i="1" s="1"/>
  <c r="I49" i="1"/>
  <c r="J49" i="1" s="1"/>
  <c r="I47" i="1"/>
  <c r="J47" i="1" s="1"/>
  <c r="I46" i="1"/>
  <c r="J46" i="1" s="1"/>
  <c r="I45" i="1"/>
  <c r="J45" i="1" s="1"/>
  <c r="I44" i="1"/>
  <c r="J44" i="1" s="1"/>
  <c r="K32" i="1" l="1"/>
  <c r="L32" i="1" s="1"/>
  <c r="M32" i="1" s="1"/>
  <c r="K62" i="1"/>
  <c r="L62" i="1" s="1"/>
  <c r="M62" i="1" s="1"/>
  <c r="K61" i="1"/>
  <c r="L61" i="1" s="1"/>
  <c r="M61" i="1" s="1"/>
  <c r="N61" i="1" s="1"/>
  <c r="K60" i="1"/>
  <c r="L60" i="1" s="1"/>
  <c r="M60" i="1" s="1"/>
  <c r="L59" i="1"/>
  <c r="M59" i="1" s="1"/>
  <c r="N59" i="1" s="1"/>
  <c r="K58" i="1"/>
  <c r="L58" i="1" s="1"/>
  <c r="M58" i="1" s="1"/>
  <c r="N58" i="1" s="1"/>
  <c r="K57" i="1"/>
  <c r="L57" i="1" s="1"/>
  <c r="M57" i="1" s="1"/>
  <c r="K56" i="1"/>
  <c r="L56" i="1" s="1"/>
  <c r="M56" i="1" s="1"/>
  <c r="K55" i="1"/>
  <c r="L55" i="1" s="1"/>
  <c r="M55" i="1" s="1"/>
  <c r="K53" i="1"/>
  <c r="L53" i="1" s="1"/>
  <c r="M53" i="1" s="1"/>
  <c r="K50" i="1"/>
  <c r="L50" i="1" s="1"/>
  <c r="M50" i="1" s="1"/>
  <c r="K49" i="1"/>
  <c r="L49" i="1" s="1"/>
  <c r="M49" i="1" s="1"/>
  <c r="N49" i="1" s="1"/>
  <c r="K47" i="1"/>
  <c r="L47" i="1" s="1"/>
  <c r="M47" i="1" s="1"/>
  <c r="N47" i="1" s="1"/>
  <c r="K46" i="1"/>
  <c r="L46" i="1" s="1"/>
  <c r="M46" i="1" s="1"/>
  <c r="K45" i="1"/>
  <c r="L45" i="1" s="1"/>
  <c r="M45" i="1" s="1"/>
  <c r="K44" i="1"/>
  <c r="L44" i="1" s="1"/>
  <c r="M44" i="1" s="1"/>
  <c r="N55" i="1" l="1"/>
  <c r="N62" i="1"/>
  <c r="N56" i="1"/>
  <c r="N60" i="1"/>
  <c r="N46" i="1"/>
  <c r="N50" i="1"/>
  <c r="N57" i="1"/>
  <c r="I43" i="1"/>
  <c r="J43" i="1" s="1"/>
  <c r="I42" i="1"/>
  <c r="J42" i="1" s="1"/>
  <c r="I41" i="1"/>
  <c r="J41" i="1" s="1"/>
  <c r="G39" i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91" i="1"/>
  <c r="J91" i="1" s="1"/>
  <c r="K91" i="1" s="1"/>
  <c r="I89" i="1"/>
  <c r="J89" i="1" s="1"/>
  <c r="I88" i="1"/>
  <c r="J88" i="1" s="1"/>
  <c r="K43" i="1" l="1"/>
  <c r="L43" i="1" s="1"/>
  <c r="M43" i="1" s="1"/>
  <c r="K42" i="1"/>
  <c r="L42" i="1" s="1"/>
  <c r="M42" i="1" s="1"/>
  <c r="K41" i="1"/>
  <c r="L41" i="1" s="1"/>
  <c r="M41" i="1" s="1"/>
  <c r="K39" i="1"/>
  <c r="L39" i="1" s="1"/>
  <c r="M39" i="1" s="1"/>
  <c r="N39" i="1" s="1"/>
  <c r="K38" i="1"/>
  <c r="L38" i="1" s="1"/>
  <c r="M38" i="1" s="1"/>
  <c r="K37" i="1"/>
  <c r="L37" i="1" s="1"/>
  <c r="M37" i="1" s="1"/>
  <c r="K36" i="1"/>
  <c r="L36" i="1" s="1"/>
  <c r="M36" i="1" s="1"/>
  <c r="K35" i="1"/>
  <c r="L35" i="1" s="1"/>
  <c r="M35" i="1" s="1"/>
  <c r="N35" i="1" s="1"/>
  <c r="K34" i="1"/>
  <c r="L34" i="1" s="1"/>
  <c r="M34" i="1" s="1"/>
  <c r="K33" i="1"/>
  <c r="L33" i="1" s="1"/>
  <c r="M33" i="1" s="1"/>
  <c r="L91" i="1"/>
  <c r="M91" i="1" s="1"/>
  <c r="K89" i="1"/>
  <c r="L89" i="1" s="1"/>
  <c r="M89" i="1" s="1"/>
  <c r="K88" i="1"/>
  <c r="L88" i="1" s="1"/>
  <c r="M88" i="1" s="1"/>
  <c r="N36" i="1" l="1"/>
  <c r="N41" i="1"/>
  <c r="N37" i="1"/>
  <c r="N42" i="1"/>
  <c r="N34" i="1"/>
  <c r="N38" i="1"/>
  <c r="N43" i="1"/>
  <c r="N44" i="1"/>
  <c r="N45" i="1"/>
  <c r="I71" i="1"/>
  <c r="J71" i="1" s="1"/>
  <c r="I72" i="1"/>
  <c r="J72" i="1" s="1"/>
  <c r="K71" i="1" l="1"/>
  <c r="L71" i="1" s="1"/>
  <c r="M71" i="1" s="1"/>
  <c r="K72" i="1"/>
  <c r="L72" i="1" s="1"/>
  <c r="M72" i="1" s="1"/>
  <c r="N88" i="1" s="1"/>
  <c r="I74" i="1"/>
  <c r="J74" i="1" s="1"/>
  <c r="I75" i="1"/>
  <c r="J75" i="1" s="1"/>
  <c r="K75" i="1" s="1"/>
  <c r="I76" i="1"/>
  <c r="J76" i="1" s="1"/>
  <c r="K76" i="1" s="1"/>
  <c r="I78" i="1"/>
  <c r="J78" i="1" s="1"/>
  <c r="K78" i="1" s="1"/>
  <c r="I79" i="1"/>
  <c r="J79" i="1" s="1"/>
  <c r="K79" i="1" s="1"/>
  <c r="L78" i="1" l="1"/>
  <c r="M78" i="1" s="1"/>
  <c r="K74" i="1"/>
  <c r="L74" i="1" s="1"/>
  <c r="M74" i="1" s="1"/>
  <c r="L76" i="1"/>
  <c r="M76" i="1" s="1"/>
  <c r="L79" i="1"/>
  <c r="M79" i="1" s="1"/>
  <c r="L75" i="1"/>
  <c r="M75" i="1" s="1"/>
  <c r="N79" i="1" l="1"/>
  <c r="N75" i="1"/>
  <c r="N76" i="1"/>
  <c r="I82" i="1" l="1"/>
  <c r="J82" i="1" s="1"/>
  <c r="K82" i="1" s="1"/>
  <c r="L82" i="1" s="1"/>
  <c r="M82" i="1" s="1"/>
  <c r="I83" i="1"/>
  <c r="J83" i="1" s="1"/>
  <c r="K83" i="1" s="1"/>
  <c r="I84" i="1"/>
  <c r="J84" i="1" s="1"/>
  <c r="K84" i="1" s="1"/>
  <c r="I85" i="1"/>
  <c r="J85" i="1" s="1"/>
  <c r="K85" i="1" s="1"/>
  <c r="L84" i="1" l="1"/>
  <c r="M84" i="1" s="1"/>
  <c r="L85" i="1"/>
  <c r="M85" i="1" s="1"/>
  <c r="L83" i="1"/>
  <c r="M83" i="1" s="1"/>
  <c r="I54" i="1" l="1"/>
  <c r="J54" i="1" s="1"/>
  <c r="I52" i="1"/>
  <c r="J52" i="1" s="1"/>
  <c r="I51" i="1"/>
  <c r="J51" i="1" s="1"/>
  <c r="K54" i="1" l="1"/>
  <c r="L54" i="1" s="1"/>
  <c r="M54" i="1" s="1"/>
  <c r="N54" i="1" s="1"/>
  <c r="K52" i="1"/>
  <c r="L52" i="1" s="1"/>
  <c r="M52" i="1" s="1"/>
  <c r="N52" i="1" s="1"/>
  <c r="K51" i="1"/>
  <c r="L51" i="1" s="1"/>
  <c r="M51" i="1" s="1"/>
  <c r="N51" i="1" l="1"/>
  <c r="N53" i="1"/>
  <c r="I81" i="1"/>
  <c r="J81" i="1" s="1"/>
  <c r="I48" i="1"/>
  <c r="J48" i="1" s="1"/>
  <c r="I40" i="1"/>
  <c r="J40" i="1" s="1"/>
  <c r="K81" i="1" l="1"/>
  <c r="L81" i="1" s="1"/>
  <c r="M81" i="1" s="1"/>
  <c r="K48" i="1"/>
  <c r="L48" i="1" s="1"/>
  <c r="M48" i="1" s="1"/>
  <c r="N48" i="1" s="1"/>
  <c r="K40" i="1"/>
  <c r="L40" i="1" s="1"/>
  <c r="M40" i="1" s="1"/>
  <c r="N40" i="1" s="1"/>
  <c r="I92" i="1" l="1"/>
  <c r="J92" i="1" s="1"/>
  <c r="K92" i="1" l="1"/>
  <c r="L92" i="1" s="1"/>
  <c r="M92" i="1" s="1"/>
  <c r="I86" i="1" l="1"/>
  <c r="J86" i="1" s="1"/>
  <c r="K86" i="1" l="1"/>
  <c r="L86" i="1" s="1"/>
  <c r="M86" i="1" s="1"/>
  <c r="M31" i="1" l="1"/>
  <c r="N33" i="1" l="1"/>
  <c r="N32" i="1"/>
  <c r="M70" i="1"/>
  <c r="N92" i="1" l="1"/>
  <c r="N74" i="1"/>
  <c r="N78" i="1"/>
  <c r="N91" i="1"/>
  <c r="N86" i="1"/>
  <c r="I18" i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l="1"/>
  <c r="N72" i="1" l="1"/>
  <c r="N71" i="1"/>
  <c r="N81" i="1"/>
  <c r="N82" i="1"/>
  <c r="N84" i="1"/>
  <c r="N83" i="1"/>
  <c r="N85" i="1"/>
  <c r="N19" i="1"/>
  <c r="N18" i="1"/>
  <c r="N23" i="1"/>
  <c r="N21" i="1"/>
  <c r="N26" i="1"/>
  <c r="N20" i="1"/>
  <c r="N27" i="1"/>
  <c r="N25" i="1"/>
  <c r="N24" i="1"/>
  <c r="N28" i="1"/>
  <c r="N22" i="1"/>
  <c r="N17" i="1"/>
  <c r="J94" i="1"/>
  <c r="N89" i="1" s="1"/>
  <c r="N16" i="1" l="1"/>
</calcChain>
</file>

<file path=xl/sharedStrings.xml><?xml version="1.0" encoding="utf-8"?>
<sst xmlns="http://schemas.openxmlformats.org/spreadsheetml/2006/main" count="412" uniqueCount="181">
  <si>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</si>
  <si>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</si>
  <si>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</si>
  <si>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</si>
  <si>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</si>
  <si>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</si>
  <si>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</si>
  <si>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</si>
  <si>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</si>
  <si>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</si>
  <si>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</si>
  <si>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</si>
  <si>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</si>
  <si>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</si>
  <si>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</si>
  <si>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</si>
  <si>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</si>
  <si>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</si>
  <si>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</si>
  <si>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</si>
  <si>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</si>
  <si>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</si>
  <si>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</si>
  <si>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</si>
  <si>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</si>
  <si>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</si>
  <si>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</si>
  <si>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</si>
  <si>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</si>
  <si>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</si>
  <si>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</si>
  <si>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</si>
  <si>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</si>
  <si>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</si>
  <si>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</si>
  <si>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</si>
  <si>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</si>
  <si>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</si>
  <si>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</si>
  <si>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</si>
  <si>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</si>
  <si>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</si>
  <si>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</si>
  <si>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</si>
  <si>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</si>
  <si>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</si>
  <si>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</si>
  <si>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</si>
  <si>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</si>
  <si>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</si>
  <si>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</si>
  <si>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</si>
  <si>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</si>
  <si>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</si>
  <si>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</si>
  <si>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Data Orçamento: </t>
    </r>
    <r>
      <rPr>
        <sz val="8"/>
        <color rgb="FFFF0000"/>
        <rFont val="Arial"/>
        <family val="2"/>
      </rPr>
      <t>Jun/22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</si>
  <si>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</si>
  <si>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r>
      <t xml:space="preserve">Mês de referência: </t>
    </r>
    <r>
      <rPr>
        <sz val="8"/>
        <color rgb="FFFF0000"/>
        <rFont val="Arial"/>
        <family val="2"/>
      </rPr>
      <t>Maio/2022 (data da proposta)</t>
    </r>
  </si>
  <si>
    <t>DESCONTO (0,03%)</t>
  </si>
  <si>
    <t>ESCONTO (0,03%)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</si>
  <si>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05/2022)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</si>
  <si>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>SIFAO PLASTICO FLEXIVEL SAIDA VERTICAL PARA COLUNA LAVATORIO, 1 X 1.1/2 "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</si>
  <si>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</si>
  <si>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</si>
  <si>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</si>
  <si>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</si>
  <si>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</si>
  <si>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</si>
  <si>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</si>
  <si>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</si>
  <si>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</si>
  <si>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</si>
  <si>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</si>
  <si>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</si>
  <si>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</si>
  <si>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</si>
  <si>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</si>
  <si>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</si>
  <si>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</si>
  <si>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</si>
  <si>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</si>
  <si>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</si>
  <si>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</si>
  <si>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</si>
  <si>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</si>
  <si>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</si>
  <si>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</si>
  <si>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</si>
  <si>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</si>
  <si>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</si>
  <si>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</si>
  <si>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</si>
  <si>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</si>
  <si>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</si>
  <si>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</si>
  <si>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</si>
  <si>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</si>
  <si>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</si>
  <si>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</si>
  <si>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</si>
  <si>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</si>
  <si>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</si>
  <si>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</si>
  <si>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</si>
  <si>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</si>
  <si>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m²</t>
  </si>
  <si>
    <t>2.24</t>
  </si>
  <si>
    <t>2.25</t>
  </si>
  <si>
    <t>2.26</t>
  </si>
  <si>
    <t>TORNEIRA METALICA CROMADA DE MESA PARA LAVATORIO, BICA ALTA, COM AREJADOR (REF 1195)</t>
  </si>
  <si>
    <t>AREIA GROSSA - POSTO JAZIDA/FORNECEDOR (RETIRADO NA JAZIDA, SEM TRANSPORTE)</t>
  </si>
  <si>
    <t>m3</t>
  </si>
  <si>
    <t>ADAPTADOR PVC SOLDAVEL CURTO COM BOLSA E ROSCA, 25 MM X 3/4", PARA AGUA FRIA</t>
  </si>
  <si>
    <t>RUFO EM CHAPA DE AÇO GALVANIZADO NÚMERO 24, CORTE DE 25 CM, INCLUSO TRANSPORTE VERTICAL. AF_07/2019</t>
  </si>
  <si>
    <t>KG</t>
  </si>
  <si>
    <t>M</t>
  </si>
  <si>
    <t>ASSENTO SANITARIO DE PLASTICO, TIPO CONVENCIONAL</t>
  </si>
  <si>
    <t>2.31</t>
  </si>
  <si>
    <t>TORNEIRA METALICA CROMADA, DE MESA/BANCADA, PARA COZINHA, BICA MOVEL, COM AREJADOR, 1/2 " OU 3/4 " (REF 1167 / 1168)</t>
  </si>
  <si>
    <t>SELANTE ELASTICO MONOCOMPONENTE A BASE DE POLIURETANO (PU) PARA JUNTAS DIVERSAS</t>
  </si>
  <si>
    <t>LUVA PVC SOLDAVEL, 25 MM, PARA AGUA FRIA PREDIAL</t>
  </si>
  <si>
    <t>2.27</t>
  </si>
  <si>
    <t>2.28</t>
  </si>
  <si>
    <t>2.29</t>
  </si>
  <si>
    <t>2.30</t>
  </si>
  <si>
    <t>8.01.02</t>
  </si>
  <si>
    <t>ALUGUEL CAÇAMBA 4M3</t>
  </si>
  <si>
    <t>VALVULA DE DESCARGA EM METAL CROMADO PARA MICTORIO COM ACIONAMENTO POR PRESSAO E FECHAMENTO AUTOMATICO</t>
  </si>
  <si>
    <t>LIXA D'AGUA EM FOLHA, GRAO 100</t>
  </si>
  <si>
    <t>JOELHO PVC, SOLDAVEL, 90 GRAUS, 25 MM, PARA AGUA FRIA PREDIAL</t>
  </si>
  <si>
    <t>FITA ADESIVA ASFALTICA ALUMINIZADA MULTIUSO, L = 10 CM, ROLO DE 10 M</t>
  </si>
  <si>
    <t>FDE</t>
  </si>
  <si>
    <t>ADESIVO PARA TUBOS CPVC, *75* G</t>
  </si>
  <si>
    <t>RUFO EXTERNO/INTERNO EM CHAPA DE AÇO GALVANIZADO NÚMERO 26, CORTE DE 33 CM, INCLUSO IÇAMENTO. AF_07/2019</t>
  </si>
  <si>
    <t>UNID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</si>
  <si>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MÊS DE JANEIRO/2023</t>
    </r>
  </si>
  <si>
    <t xml:space="preserve"> 88489 </t>
  </si>
  <si>
    <t>APLICAÇÃO MANUAL DE PINTURA COM TINTA LÁTEX ACRÍLICA EM PAREDES, DUAS DEMÃOS. AF_06/2014</t>
  </si>
  <si>
    <t>APLICAÇÃO MANUAL DE PINTURA COM TINTA LÁTEX ACRÍLICA EM TETO, DUAS DEMÃOS. AF_06/2014</t>
  </si>
  <si>
    <t>LOCACAO DE ANDAIME METALICO TUBULAR DE ENCAIXE, TIPO DE TORRE, COM LARGURA DE 1 ATE 1,5 M E ALTURA DE *1,00* M (INCLUSO SAPATAS FIXAS OU RODIZIOS)</t>
  </si>
  <si>
    <t>M/MÊS</t>
  </si>
  <si>
    <t>Pintura Recepção Deas</t>
  </si>
  <si>
    <t>Manutenção telhado Radio - parte 02</t>
  </si>
  <si>
    <t>Pintura Fachada Clog - parte 01</t>
  </si>
  <si>
    <t>PINTURA DE PISO COM TINTA ACRÍLICA, APLICAÇÃO MANUAL, 3 DEMÃOS, INCLUSO FUNDO PREPARADOR. AF_05/2021</t>
  </si>
  <si>
    <t xml:space="preserve"> 88485 </t>
  </si>
  <si>
    <t>APLICAÇÃO DE FUNDO SELADOR ACRÍLICO EM PAREDES, UMA DEMÃO. AF_06/2014</t>
  </si>
  <si>
    <t xml:space="preserve"> 99814 </t>
  </si>
  <si>
    <t>LIMPEZA DE SUPERFÍCIE COM JATO DE ALTA PRESSÃO. AF_04/2019</t>
  </si>
  <si>
    <t>1.13</t>
  </si>
  <si>
    <t>DIVISORIA Deas</t>
  </si>
  <si>
    <t>04.80.015</t>
  </si>
  <si>
    <t>PORTAS PARA DIVISORIAS CHAPA FIBRA MAD PRENS BP COM FERRAGENS</t>
  </si>
  <si>
    <t>DIVISORIAS DE CHAPAS DURATEX OU SIMILAR,INCL ENTARUGAMENTO</t>
  </si>
  <si>
    <t>1.14</t>
  </si>
  <si>
    <t>1.15</t>
  </si>
  <si>
    <t>1.16</t>
  </si>
  <si>
    <t>DIVISORIA Proad</t>
  </si>
  <si>
    <t>ADESIVO PLASTICO PARA PVC, FRASCO COM *850* GR</t>
  </si>
  <si>
    <t>ADAPTADOR PVC SOLDAVEL CURTO COM BOLSA E ROSCA, 50 MM X1 1/2", PARA AGUA FRIA</t>
  </si>
  <si>
    <t>JOELHO DE REDUCAO, PVC, ROSCAVEL COM BUCHA DE LATAO, 90 GRAUS, 3/4" X 1/2", PARA AGUA FRIA PREDIAL</t>
  </si>
  <si>
    <t>ARGAMASSA POLIMERICA IMPERMEABILIZANTE SEMIFLEXIVEL, BICOMPONENTE (MEMBRANA IMPERMEABILIZANTE ACRILICA)</t>
  </si>
  <si>
    <t>TELA DE ARAME GALVANIZADA, HEXAGONAL, FIO 0,56 MM (24 BWG), MALHA 1/2", H = 1 M</t>
  </si>
  <si>
    <t>m2</t>
  </si>
  <si>
    <t>ABRACADEIRA DE LATAO PARA FIXACAO DE CABO PARA-RAIO, DIMENSOES 32 X 24 X 24 MM</t>
  </si>
  <si>
    <t>FECHADURA ESPELHO PARA PORTA EXTERNA, EM ACO INOX (MAQUINA, TESTA E CONTRA-TESTA) E EM ZAMAC (MACANETA, LINGUETA E TRINCOS) COM ACABAMENTO CROMADO, MAQUINA DE 40 MM, INCLUINDO CHAVE TIPO CILINDRO</t>
  </si>
  <si>
    <t>ENGATE/RABICHO FLEXIVEL PLASTICO (PVC OU ABS) BRANCO 1/2 " X 40 CM</t>
  </si>
  <si>
    <t>LUVA SIMPLES, PVC SERIE R, 100 MM, PARA ESGOTO OU AGUAS PLUVIAIS PREDIAIS</t>
  </si>
  <si>
    <t>CONJUNTO DE LIGACAO PARA BACIA SANITARIA AJUSTAVEL, EM PLASTICO BRANCO, COM TUBO, CANOPLA E ESPUDE</t>
  </si>
  <si>
    <t>MICTORIO INDICUDUAL, SIFONADO, LOUCA BRANCA, SEM COMPLEMENTOSMICTORIO INDIVIDUAL, SIFONADO, VALVULA EMBUTIDA, DE LOUCA BRANCA, SEM COMPLEMENTOS - PADRAO ALTO</t>
  </si>
  <si>
    <t>TANQUE DE LOUCA BRANCA, COM COLUNA, *30* L</t>
  </si>
  <si>
    <t>VALVULA EM METAL CROMADO PARA LAVATORIO, 1 " SEM LADRAO</t>
  </si>
  <si>
    <t>ESPUMA EXPANSIVA DE POLIURETANO, APLICACAO MANUAL - 500 ML</t>
  </si>
  <si>
    <t>FITA VEDA ROSCA EM ROLOS DE 18 MM X 50 M (L X C)</t>
  </si>
  <si>
    <t>05.01.028</t>
  </si>
  <si>
    <t>CAMINHÃO PARA EQUIPAMENTO DE LIMPEZA A SUCÇÃO, COM CAMINHÃO TRUCADO DE PESO BRUTO TOTAL 23000 KG, CARGA ÚTIL MÁXIMA 15935 KG, DISTÂNCIA ENTRE EIXOS 4,80 M, POTÊNCIA 230 CV, INCLUSIVE LIMPADORA A SUCÇÃO, TANQUE 12000 L - CHP DIURNO. AF_11/2015</t>
  </si>
  <si>
    <t>1.17</t>
  </si>
  <si>
    <t>chp</t>
  </si>
  <si>
    <t>ED-9076 (04/2022)</t>
  </si>
  <si>
    <t>SETOP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</si>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</sst>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8"/>
      <color rgb="FF333333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1"/>
    </font>
    <font>
      <sz val="8"/>
      <name val="Arial"/>
      <family val="1"/>
    </font>
    <font>
      <sz val="8"/>
      <color rgb="FF333333"/>
      <name val="Arial"/>
      <family val="1"/>
    </font>
    <font>
      <b/>
      <sz val="8"/>
      <color theme="4"/>
      <name val="Arial"/>
      <family val="2"/>
    </font>
    <font>
      <b/>
      <sz val="8"/>
      <color theme="4"/>
      <name val="Arial"/>
      <family val="1"/>
    </font>
    <font>
      <b/>
      <sz val="8"/>
      <color rgb="FFFF0000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57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4" fontId="9" fillId="0" borderId="24" xfId="2" applyNumberFormat="1" applyFont="1" applyFill="1" applyBorder="1" applyAlignment="1" applyProtection="1">
      <alignment horizontal="center" vertical="center"/>
    </xf>
    <xf numFmtId="0" fontId="8" fillId="0" borderId="3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4" fillId="2" borderId="24" xfId="1" applyFont="1" applyBorder="1"/>
    <xf numFmtId="0" fontId="11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/>
    </xf>
    <xf numFmtId="0" fontId="14" fillId="0" borderId="24" xfId="0" applyFont="1" applyBorder="1" applyAlignment="1">
      <alignment horizontal="left" vertical="center" wrapText="1"/>
    </xf>
    <xf numFmtId="0" fontId="9" fillId="0" borderId="24" xfId="0" applyFont="1" applyBorder="1"/>
    <xf numFmtId="0" fontId="16" fillId="0" borderId="24" xfId="4" applyFont="1" applyFill="1" applyBorder="1"/>
    <xf numFmtId="2" fontId="8" fillId="0" borderId="24" xfId="1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12" fillId="0" borderId="24" xfId="0" applyFont="1" applyBorder="1" applyAlignment="1">
      <alignment wrapText="1"/>
    </xf>
    <xf numFmtId="0" fontId="9" fillId="4" borderId="24" xfId="0" applyFont="1" applyFill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left" vertical="top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9" fillId="4" borderId="24" xfId="0" applyFont="1" applyFill="1" applyBorder="1" applyAlignment="1">
      <alignment horizontal="center" vertical="top" wrapText="1"/>
    </xf>
    <xf numFmtId="0" fontId="17" fillId="0" borderId="24" xfId="0" applyFont="1" applyBorder="1" applyAlignment="1">
      <alignment horizontal="right" vertical="top" wrapText="1"/>
    </xf>
    <xf numFmtId="0" fontId="17" fillId="3" borderId="24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 wrapText="1"/>
    </xf>
    <xf numFmtId="49" fontId="9" fillId="0" borderId="24" xfId="2" applyNumberFormat="1" applyFont="1" applyBorder="1" applyAlignment="1" applyProtection="1">
      <alignment horizontal="center" vertical="center"/>
    </xf>
    <xf numFmtId="1" fontId="3" fillId="0" borderId="24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1" fillId="0" borderId="24" xfId="0" applyFont="1" applyBorder="1"/>
    <xf numFmtId="0" fontId="11" fillId="0" borderId="24" xfId="0" applyFont="1" applyBorder="1" applyAlignment="1">
      <alignment vertical="center"/>
    </xf>
    <xf numFmtId="0" fontId="16" fillId="0" borderId="0" xfId="4" applyFont="1" applyFill="1" applyBorder="1"/>
    <xf numFmtId="0" fontId="16" fillId="0" borderId="24" xfId="4" applyFont="1" applyFill="1" applyBorder="1" applyAlignment="1">
      <alignment horizontal="left" vertical="center"/>
    </xf>
    <xf numFmtId="0" fontId="16" fillId="0" borderId="0" xfId="4" applyFont="1" applyFill="1" applyBorder="1" applyAlignment="1">
      <alignment horizontal="left" vertical="center"/>
    </xf>
    <xf numFmtId="4" fontId="20" fillId="0" borderId="24" xfId="2" applyNumberFormat="1" applyFont="1" applyBorder="1" applyAlignment="1" applyProtection="1">
      <alignment horizontal="center" vertical="center"/>
    </xf>
    <xf numFmtId="2" fontId="20" fillId="0" borderId="24" xfId="1" applyNumberFormat="1" applyFont="1" applyFill="1" applyBorder="1" applyAlignment="1">
      <alignment horizontal="center" vertical="center"/>
    </xf>
    <xf numFmtId="0" fontId="20" fillId="0" borderId="24" xfId="1" applyFont="1" applyFill="1" applyBorder="1" applyAlignment="1">
      <alignment horizontal="center" vertical="center"/>
    </xf>
    <xf numFmtId="2" fontId="20" fillId="0" borderId="24" xfId="2" applyNumberFormat="1" applyFont="1" applyBorder="1" applyAlignment="1" applyProtection="1">
      <alignment horizontal="center" vertical="center"/>
    </xf>
    <xf numFmtId="4" fontId="20" fillId="0" borderId="24" xfId="0" applyNumberFormat="1" applyFont="1" applyBorder="1" applyAlignment="1">
      <alignment horizontal="center" vertical="center" wrapText="1"/>
    </xf>
    <xf numFmtId="4" fontId="21" fillId="3" borderId="15" xfId="0" applyNumberFormat="1" applyFont="1" applyFill="1" applyBorder="1" applyAlignment="1">
      <alignment horizontal="center" vertical="center" wrapText="1"/>
    </xf>
    <xf numFmtId="2" fontId="22" fillId="4" borderId="24" xfId="0" applyNumberFormat="1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4" fontId="20" fillId="3" borderId="24" xfId="0" applyNumberFormat="1" applyFont="1" applyFill="1" applyBorder="1" applyAlignment="1">
      <alignment horizontal="center" vertical="center" wrapText="1"/>
    </xf>
    <xf numFmtId="4" fontId="20" fillId="3" borderId="15" xfId="0" applyNumberFormat="1" applyFont="1" applyFill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center" vertical="center"/>
    </xf>
    <xf numFmtId="4" fontId="10" fillId="3" borderId="24" xfId="0" applyNumberFormat="1" applyFont="1" applyFill="1" applyBorder="1" applyAlignment="1">
      <alignment horizontal="center" vertical="center" wrapText="1"/>
    </xf>
    <xf numFmtId="4" fontId="20" fillId="0" borderId="1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2" borderId="26" xfId="1" applyFont="1" applyBorder="1" applyAlignment="1">
      <alignment horizontal="center" vertical="center"/>
    </xf>
    <xf numFmtId="0" fontId="4" fillId="2" borderId="18" xfId="1" applyFont="1" applyBorder="1" applyAlignment="1">
      <alignment horizontal="center" vertical="center"/>
    </xf>
    <xf numFmtId="0" fontId="4" fillId="2" borderId="44" xfId="1" applyFont="1" applyBorder="1" applyAlignment="1">
      <alignment horizontal="center" vertical="center"/>
    </xf>
    <xf numFmtId="43" fontId="10" fillId="0" borderId="11" xfId="0" applyNumberFormat="1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" fontId="8" fillId="0" borderId="16" xfId="2" applyNumberFormat="1" applyFont="1" applyFill="1" applyBorder="1" applyAlignment="1" applyProtection="1">
      <alignment horizontal="left" vertical="center"/>
    </xf>
    <xf numFmtId="4" fontId="8" fillId="0" borderId="14" xfId="2" applyNumberFormat="1" applyFont="1" applyFill="1" applyBorder="1" applyAlignment="1" applyProtection="1">
      <alignment horizontal="left" vertical="center"/>
    </xf>
    <xf numFmtId="4" fontId="8" fillId="0" borderId="15" xfId="2" applyNumberFormat="1" applyFont="1" applyFill="1" applyBorder="1" applyAlignment="1" applyProtection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</cellXfs>
  <cellStyles count="5"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2022/10%20Outubro/Notas%20Fiscais/NF%20516064%20Jabu%20SA.pdf" TargetMode="External"/><Relationship Id="rId2" Type="http://schemas.openxmlformats.org/officeDocument/2006/relationships/hyperlink" Target="../2022/10%20Outubro/Notas%20Fiscais/NF%2099401%20Taurus.pdf" TargetMode="External"/><Relationship Id="rId1" Type="http://schemas.openxmlformats.org/officeDocument/2006/relationships/hyperlink" Target="../2022/10%20Outubro/Notas%20Fiscais/NF01%20Jabu%20SA.pdf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3"/>
  <sheetViews>
    <sheetView tabSelected="1" topLeftCell="A83" zoomScale="25" zoomScaleNormal="25" workbookViewId="0">
      <selection activeCell="AI103" sqref="AI103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5.710937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138" t="s">
        <v>0</v>
      </c>
      <c r="B1" s="139"/>
      <c r="C1" s="139"/>
      <c r="D1" s="139"/>
      <c r="E1" s="139"/>
      <c r="F1" s="139"/>
      <c r="G1" s="139"/>
      <c r="H1" s="139"/>
      <c r="I1" s="140"/>
      <c r="J1" s="147" t="s">
        <v>1</v>
      </c>
      <c r="K1" s="147"/>
      <c r="L1" s="147"/>
      <c r="M1" s="147"/>
      <c r="N1" s="147"/>
      <c r="O1" s="148"/>
    </row>
    <row r="2" spans="1:15" ht="17.100000000000001" customHeight="1" x14ac:dyDescent="0.25">
      <c r="A2" s="141"/>
      <c r="B2" s="142"/>
      <c r="C2" s="142"/>
      <c r="D2" s="142"/>
      <c r="E2" s="142"/>
      <c r="F2" s="142"/>
      <c r="G2" s="142"/>
      <c r="H2" s="142"/>
      <c r="I2" s="143"/>
      <c r="J2" s="149" t="s">
        <v>2</v>
      </c>
      <c r="K2" s="149"/>
      <c r="L2" s="149"/>
      <c r="M2" s="149"/>
      <c r="N2" s="149"/>
      <c r="O2" s="150"/>
    </row>
    <row r="3" spans="1:15" ht="17.100000000000001" customHeight="1" x14ac:dyDescent="0.25">
      <c r="A3" s="141"/>
      <c r="B3" s="142"/>
      <c r="C3" s="142"/>
      <c r="D3" s="142"/>
      <c r="E3" s="142"/>
      <c r="F3" s="142"/>
      <c r="G3" s="142"/>
      <c r="H3" s="142"/>
      <c r="I3" s="143"/>
      <c r="J3" s="149" t="s">
        <v>3</v>
      </c>
      <c r="K3" s="149"/>
      <c r="L3" s="149"/>
      <c r="M3" s="149" t="s">
        <v>4</v>
      </c>
      <c r="N3" s="149"/>
      <c r="O3" s="1"/>
    </row>
    <row r="4" spans="1:15" ht="17.100000000000001" customHeight="1" x14ac:dyDescent="0.25">
      <c r="A4" s="141"/>
      <c r="B4" s="142"/>
      <c r="C4" s="142"/>
      <c r="D4" s="142"/>
      <c r="E4" s="142"/>
      <c r="F4" s="142"/>
      <c r="G4" s="142"/>
      <c r="H4" s="142"/>
      <c r="I4" s="143"/>
      <c r="J4" s="149" t="s">
        <v>5</v>
      </c>
      <c r="K4" s="149"/>
      <c r="L4" s="149"/>
      <c r="M4" s="149" t="s">
        <v>6</v>
      </c>
      <c r="N4" s="149"/>
      <c r="O4" s="2"/>
    </row>
    <row r="5" spans="1:15" ht="17.100000000000001" customHeight="1" x14ac:dyDescent="0.25">
      <c r="A5" s="141"/>
      <c r="B5" s="142"/>
      <c r="C5" s="142"/>
      <c r="D5" s="142"/>
      <c r="E5" s="142"/>
      <c r="F5" s="142"/>
      <c r="G5" s="142"/>
      <c r="H5" s="142"/>
      <c r="I5" s="143"/>
      <c r="J5" s="149" t="s">
        <v>7</v>
      </c>
      <c r="K5" s="149"/>
      <c r="L5" s="149"/>
      <c r="M5" s="149" t="s">
        <v>8</v>
      </c>
      <c r="N5" s="149"/>
      <c r="O5" s="1"/>
    </row>
    <row r="6" spans="1:15" ht="17.100000000000001" customHeight="1" x14ac:dyDescent="0.25">
      <c r="A6" s="144"/>
      <c r="B6" s="145"/>
      <c r="C6" s="145"/>
      <c r="D6" s="145"/>
      <c r="E6" s="145"/>
      <c r="F6" s="145"/>
      <c r="G6" s="145"/>
      <c r="H6" s="145"/>
      <c r="I6" s="146"/>
      <c r="J6" s="149" t="s">
        <v>9</v>
      </c>
      <c r="K6" s="149"/>
      <c r="L6" s="149"/>
      <c r="M6" s="149" t="s">
        <v>10</v>
      </c>
      <c r="N6" s="149"/>
      <c r="O6" s="1"/>
    </row>
    <row r="7" spans="1:15" ht="17.100000000000001" customHeight="1" x14ac:dyDescent="0.25">
      <c r="A7" s="151" t="s">
        <v>11</v>
      </c>
      <c r="B7" s="152"/>
      <c r="C7" s="152"/>
      <c r="D7" s="152"/>
      <c r="E7" s="152"/>
      <c r="F7" s="152"/>
      <c r="G7" s="152"/>
      <c r="H7" s="152"/>
      <c r="I7" s="153"/>
      <c r="J7" s="154" t="s">
        <v>56</v>
      </c>
      <c r="K7" s="155"/>
      <c r="L7" s="155"/>
      <c r="M7" s="155"/>
      <c r="N7" s="156"/>
      <c r="O7" s="106" t="s">
        <v>12</v>
      </c>
    </row>
    <row r="8" spans="1:15" ht="17.100000000000001" customHeight="1" x14ac:dyDescent="0.25">
      <c r="A8" s="90" t="s">
        <v>135</v>
      </c>
      <c r="B8" s="91"/>
      <c r="C8" s="91"/>
      <c r="D8" s="91"/>
      <c r="E8" s="91"/>
      <c r="F8" s="91"/>
      <c r="G8" s="91"/>
      <c r="H8" s="91"/>
      <c r="I8" s="124"/>
      <c r="J8" s="154" t="s">
        <v>13</v>
      </c>
      <c r="K8" s="155"/>
      <c r="L8" s="155"/>
      <c r="M8" s="155"/>
      <c r="N8" s="156"/>
      <c r="O8" s="106"/>
    </row>
    <row r="9" spans="1:15" ht="17.100000000000001" customHeight="1" x14ac:dyDescent="0.25">
      <c r="A9" s="92"/>
      <c r="B9" s="75"/>
      <c r="C9" s="75"/>
      <c r="D9" s="75"/>
      <c r="E9" s="75"/>
      <c r="F9" s="75"/>
      <c r="G9" s="75"/>
      <c r="H9" s="75"/>
      <c r="I9" s="76"/>
      <c r="J9" s="154" t="s">
        <v>14</v>
      </c>
      <c r="K9" s="155"/>
      <c r="L9" s="155"/>
      <c r="M9" s="155"/>
      <c r="N9" s="156"/>
      <c r="O9" s="106"/>
    </row>
    <row r="10" spans="1:15" ht="17.100000000000001" customHeight="1" x14ac:dyDescent="0.25">
      <c r="A10" s="92"/>
      <c r="B10" s="75"/>
      <c r="C10" s="75"/>
      <c r="D10" s="75"/>
      <c r="E10" s="75"/>
      <c r="F10" s="75"/>
      <c r="G10" s="75"/>
      <c r="H10" s="75"/>
      <c r="I10" s="76"/>
      <c r="J10" s="154" t="s">
        <v>15</v>
      </c>
      <c r="K10" s="155"/>
      <c r="L10" s="155"/>
      <c r="M10" s="155"/>
      <c r="N10" s="156"/>
      <c r="O10" s="106"/>
    </row>
    <row r="11" spans="1:15" ht="17.100000000000001" customHeight="1" x14ac:dyDescent="0.25">
      <c r="A11" s="92"/>
      <c r="B11" s="75"/>
      <c r="C11" s="75"/>
      <c r="D11" s="75"/>
      <c r="E11" s="75"/>
      <c r="F11" s="75"/>
      <c r="G11" s="75"/>
      <c r="H11" s="75"/>
      <c r="I11" s="76"/>
      <c r="J11" s="154" t="s">
        <v>54</v>
      </c>
      <c r="K11" s="155"/>
      <c r="L11" s="155"/>
      <c r="M11" s="155"/>
      <c r="N11" s="156"/>
      <c r="O11" s="106"/>
    </row>
    <row r="12" spans="1:15" ht="17.100000000000001" customHeight="1" x14ac:dyDescent="0.25">
      <c r="A12" s="92"/>
      <c r="B12" s="75"/>
      <c r="C12" s="75"/>
      <c r="D12" s="75"/>
      <c r="E12" s="75"/>
      <c r="F12" s="75"/>
      <c r="G12" s="75"/>
      <c r="H12" s="75"/>
      <c r="I12" s="76"/>
      <c r="J12" s="154" t="s">
        <v>55</v>
      </c>
      <c r="K12" s="155"/>
      <c r="L12" s="155"/>
      <c r="M12" s="155"/>
      <c r="N12" s="156"/>
      <c r="O12" s="106"/>
    </row>
    <row r="13" spans="1:15" ht="17.100000000000001" customHeight="1" x14ac:dyDescent="0.25">
      <c r="A13" s="77"/>
      <c r="B13" s="78"/>
      <c r="C13" s="78"/>
      <c r="D13" s="78"/>
      <c r="E13" s="78"/>
      <c r="F13" s="78"/>
      <c r="G13" s="78"/>
      <c r="H13" s="78"/>
      <c r="I13" s="79"/>
      <c r="J13" s="154" t="s">
        <v>57</v>
      </c>
      <c r="K13" s="155"/>
      <c r="L13" s="155"/>
      <c r="M13" s="155"/>
      <c r="N13" s="156"/>
      <c r="O13" s="106"/>
    </row>
    <row r="14" spans="1:15" ht="17.100000000000001" customHeight="1" x14ac:dyDescent="0.25">
      <c r="A14" s="134" t="s">
        <v>16</v>
      </c>
      <c r="B14" s="116" t="s">
        <v>17</v>
      </c>
      <c r="C14" s="116" t="s">
        <v>18</v>
      </c>
      <c r="D14" s="116" t="s">
        <v>19</v>
      </c>
      <c r="E14" s="116" t="s">
        <v>20</v>
      </c>
      <c r="F14" s="116" t="s">
        <v>21</v>
      </c>
      <c r="G14" s="116" t="s">
        <v>22</v>
      </c>
      <c r="H14" s="125" t="s">
        <v>23</v>
      </c>
      <c r="I14" s="125"/>
      <c r="J14" s="125"/>
      <c r="K14" s="125"/>
      <c r="L14" s="126"/>
      <c r="M14" s="116" t="s">
        <v>24</v>
      </c>
      <c r="N14" s="116" t="s">
        <v>25</v>
      </c>
      <c r="O14" s="106" t="s">
        <v>26</v>
      </c>
    </row>
    <row r="15" spans="1:15" ht="17.100000000000001" customHeight="1" x14ac:dyDescent="0.25">
      <c r="A15" s="135"/>
      <c r="B15" s="117"/>
      <c r="C15" s="117"/>
      <c r="D15" s="117"/>
      <c r="E15" s="117"/>
      <c r="F15" s="117"/>
      <c r="G15" s="117"/>
      <c r="H15" s="3" t="s">
        <v>27</v>
      </c>
      <c r="I15" s="4" t="s">
        <v>28</v>
      </c>
      <c r="J15" s="3" t="s">
        <v>29</v>
      </c>
      <c r="K15" s="4" t="s">
        <v>58</v>
      </c>
      <c r="L15" s="3" t="s">
        <v>30</v>
      </c>
      <c r="M15" s="117"/>
      <c r="N15" s="117"/>
      <c r="O15" s="106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6">
        <f>SUM(M17:M30)</f>
        <v>70558.444674432016</v>
      </c>
      <c r="N16" s="10">
        <f>SUM(N17:N28)</f>
        <v>0.99999999999999989</v>
      </c>
      <c r="O16" s="106"/>
    </row>
    <row r="17" spans="1:15" ht="26.25" customHeight="1" x14ac:dyDescent="0.25">
      <c r="A17" s="17" t="s">
        <v>32</v>
      </c>
      <c r="B17" s="17" t="s">
        <v>33</v>
      </c>
      <c r="C17" s="11" t="s">
        <v>70</v>
      </c>
      <c r="D17" s="11" t="s">
        <v>34</v>
      </c>
      <c r="E17" s="25" t="s">
        <v>71</v>
      </c>
      <c r="F17" s="13" t="s">
        <v>35</v>
      </c>
      <c r="G17" s="17">
        <v>180</v>
      </c>
      <c r="H17" s="57">
        <v>33.69</v>
      </c>
      <c r="I17" s="14">
        <f>H17*0.2232</f>
        <v>7.5196079999999998</v>
      </c>
      <c r="J17" s="14">
        <f t="shared" ref="J17" si="0">H17+I17</f>
        <v>41.209607999999996</v>
      </c>
      <c r="K17" s="14">
        <f>J17*(0.03%)</f>
        <v>1.2362882399999997E-2</v>
      </c>
      <c r="L17" s="14">
        <f t="shared" ref="L17" si="1">J17-K17</f>
        <v>41.197245117599998</v>
      </c>
      <c r="M17" s="14">
        <f t="shared" ref="M17" si="2">L17*G17</f>
        <v>7415.504121168</v>
      </c>
      <c r="N17" s="14">
        <f>M17/M$16</f>
        <v>0.1050973296730721</v>
      </c>
      <c r="O17" s="133"/>
    </row>
    <row r="18" spans="1:15" ht="26.25" customHeight="1" x14ac:dyDescent="0.25">
      <c r="A18" s="17" t="s">
        <v>74</v>
      </c>
      <c r="B18" s="17" t="s">
        <v>33</v>
      </c>
      <c r="C18" s="11" t="s">
        <v>62</v>
      </c>
      <c r="D18" s="11" t="s">
        <v>34</v>
      </c>
      <c r="E18" s="25" t="s">
        <v>63</v>
      </c>
      <c r="F18" s="13" t="s">
        <v>35</v>
      </c>
      <c r="G18" s="17">
        <v>180</v>
      </c>
      <c r="H18" s="57">
        <v>29.01</v>
      </c>
      <c r="I18" s="14">
        <f t="shared" ref="I18:I28" si="3">H18*0.2232</f>
        <v>6.4750320000000006</v>
      </c>
      <c r="J18" s="14">
        <f t="shared" ref="J18:J28" si="4">H18+I18</f>
        <v>35.485032000000004</v>
      </c>
      <c r="K18" s="14">
        <f t="shared" ref="K18:K28" si="5">J18*(0.03%)</f>
        <v>1.06455096E-2</v>
      </c>
      <c r="L18" s="14">
        <f t="shared" ref="L18:L28" si="6">J18-K18</f>
        <v>35.474386490400001</v>
      </c>
      <c r="M18" s="14">
        <f t="shared" ref="M18:M28" si="7">L18*G18</f>
        <v>6385.3895682720004</v>
      </c>
      <c r="N18" s="14">
        <f t="shared" ref="N18:N28" si="8">M18/M$16</f>
        <v>9.0497878712253538E-2</v>
      </c>
      <c r="O18" s="133"/>
    </row>
    <row r="19" spans="1:15" ht="26.25" customHeight="1" x14ac:dyDescent="0.25">
      <c r="A19" s="17" t="s">
        <v>75</v>
      </c>
      <c r="B19" s="17" t="s">
        <v>33</v>
      </c>
      <c r="C19" s="11" t="s">
        <v>62</v>
      </c>
      <c r="D19" s="11" t="s">
        <v>34</v>
      </c>
      <c r="E19" s="25" t="s">
        <v>63</v>
      </c>
      <c r="F19" s="13" t="s">
        <v>35</v>
      </c>
      <c r="G19" s="17">
        <v>180</v>
      </c>
      <c r="H19" s="57">
        <v>29.01</v>
      </c>
      <c r="I19" s="14">
        <f t="shared" si="3"/>
        <v>6.4750320000000006</v>
      </c>
      <c r="J19" s="14">
        <f t="shared" si="4"/>
        <v>35.485032000000004</v>
      </c>
      <c r="K19" s="14">
        <f t="shared" si="5"/>
        <v>1.06455096E-2</v>
      </c>
      <c r="L19" s="14">
        <f t="shared" si="6"/>
        <v>35.474386490400001</v>
      </c>
      <c r="M19" s="14">
        <f t="shared" si="7"/>
        <v>6385.3895682720004</v>
      </c>
      <c r="N19" s="14">
        <f t="shared" si="8"/>
        <v>9.0497878712253538E-2</v>
      </c>
      <c r="O19" s="133"/>
    </row>
    <row r="20" spans="1:15" ht="26.25" customHeight="1" x14ac:dyDescent="0.25">
      <c r="A20" s="17" t="s">
        <v>76</v>
      </c>
      <c r="B20" s="17" t="s">
        <v>33</v>
      </c>
      <c r="C20" s="11" t="s">
        <v>64</v>
      </c>
      <c r="D20" s="11" t="s">
        <v>34</v>
      </c>
      <c r="E20" s="25" t="s">
        <v>65</v>
      </c>
      <c r="F20" s="13" t="s">
        <v>35</v>
      </c>
      <c r="G20" s="17">
        <v>180</v>
      </c>
      <c r="H20" s="57">
        <v>24.94</v>
      </c>
      <c r="I20" s="14">
        <f t="shared" si="3"/>
        <v>5.5666080000000004</v>
      </c>
      <c r="J20" s="14">
        <f t="shared" si="4"/>
        <v>30.506608</v>
      </c>
      <c r="K20" s="14">
        <f t="shared" si="5"/>
        <v>9.1519823999999996E-3</v>
      </c>
      <c r="L20" s="14">
        <f t="shared" si="6"/>
        <v>30.497456017600001</v>
      </c>
      <c r="M20" s="14">
        <f t="shared" si="7"/>
        <v>5489.5420831680003</v>
      </c>
      <c r="N20" s="14">
        <f t="shared" si="8"/>
        <v>7.7801347641627133E-2</v>
      </c>
      <c r="O20" s="133"/>
    </row>
    <row r="21" spans="1:15" ht="26.25" customHeight="1" x14ac:dyDescent="0.25">
      <c r="A21" s="17" t="s">
        <v>77</v>
      </c>
      <c r="B21" s="17" t="s">
        <v>33</v>
      </c>
      <c r="C21" s="11" t="s">
        <v>64</v>
      </c>
      <c r="D21" s="11" t="s">
        <v>34</v>
      </c>
      <c r="E21" s="25" t="s">
        <v>65</v>
      </c>
      <c r="F21" s="13" t="s">
        <v>35</v>
      </c>
      <c r="G21" s="17">
        <v>180</v>
      </c>
      <c r="H21" s="57">
        <v>24.94</v>
      </c>
      <c r="I21" s="14">
        <f t="shared" si="3"/>
        <v>5.5666080000000004</v>
      </c>
      <c r="J21" s="14">
        <f t="shared" si="4"/>
        <v>30.506608</v>
      </c>
      <c r="K21" s="14">
        <f t="shared" si="5"/>
        <v>9.1519823999999996E-3</v>
      </c>
      <c r="L21" s="14">
        <f t="shared" si="6"/>
        <v>30.497456017600001</v>
      </c>
      <c r="M21" s="14">
        <f t="shared" si="7"/>
        <v>5489.5420831680003</v>
      </c>
      <c r="N21" s="14">
        <f t="shared" si="8"/>
        <v>7.7801347641627133E-2</v>
      </c>
      <c r="O21" s="133"/>
    </row>
    <row r="22" spans="1:15" ht="26.25" customHeight="1" x14ac:dyDescent="0.25">
      <c r="A22" s="17" t="s">
        <v>78</v>
      </c>
      <c r="B22" s="17" t="s">
        <v>33</v>
      </c>
      <c r="C22" s="11" t="s">
        <v>66</v>
      </c>
      <c r="D22" s="11" t="s">
        <v>34</v>
      </c>
      <c r="E22" s="25" t="s">
        <v>67</v>
      </c>
      <c r="F22" s="13" t="s">
        <v>35</v>
      </c>
      <c r="G22" s="17">
        <v>180</v>
      </c>
      <c r="H22" s="57">
        <v>28.4</v>
      </c>
      <c r="I22" s="14">
        <f t="shared" si="3"/>
        <v>6.3388799999999996</v>
      </c>
      <c r="J22" s="14">
        <f t="shared" si="4"/>
        <v>34.738879999999995</v>
      </c>
      <c r="K22" s="14">
        <f t="shared" si="5"/>
        <v>1.0421663999999997E-2</v>
      </c>
      <c r="L22" s="14">
        <f t="shared" si="6"/>
        <v>34.728458335999996</v>
      </c>
      <c r="M22" s="14">
        <f t="shared" si="7"/>
        <v>6251.122500479999</v>
      </c>
      <c r="N22" s="14">
        <f t="shared" si="8"/>
        <v>8.8594958822061365E-2</v>
      </c>
      <c r="O22" s="133"/>
    </row>
    <row r="23" spans="1:15" ht="26.25" customHeight="1" x14ac:dyDescent="0.25">
      <c r="A23" s="17" t="s">
        <v>79</v>
      </c>
      <c r="B23" s="17" t="s">
        <v>33</v>
      </c>
      <c r="C23" s="11" t="s">
        <v>66</v>
      </c>
      <c r="D23" s="11" t="s">
        <v>34</v>
      </c>
      <c r="E23" s="25" t="s">
        <v>67</v>
      </c>
      <c r="F23" s="13" t="s">
        <v>35</v>
      </c>
      <c r="G23" s="17">
        <v>180</v>
      </c>
      <c r="H23" s="57">
        <v>28.4</v>
      </c>
      <c r="I23" s="14">
        <f t="shared" si="3"/>
        <v>6.3388799999999996</v>
      </c>
      <c r="J23" s="14">
        <f t="shared" si="4"/>
        <v>34.738879999999995</v>
      </c>
      <c r="K23" s="14">
        <f t="shared" si="5"/>
        <v>1.0421663999999997E-2</v>
      </c>
      <c r="L23" s="14">
        <f t="shared" si="6"/>
        <v>34.728458335999996</v>
      </c>
      <c r="M23" s="14">
        <f t="shared" si="7"/>
        <v>6251.122500479999</v>
      </c>
      <c r="N23" s="14">
        <f t="shared" si="8"/>
        <v>8.8594958822061365E-2</v>
      </c>
      <c r="O23" s="133"/>
    </row>
    <row r="24" spans="1:15" ht="26.25" customHeight="1" x14ac:dyDescent="0.25">
      <c r="A24" s="17" t="s">
        <v>80</v>
      </c>
      <c r="B24" s="17" t="s">
        <v>33</v>
      </c>
      <c r="C24" s="11" t="s">
        <v>68</v>
      </c>
      <c r="D24" s="11" t="s">
        <v>34</v>
      </c>
      <c r="E24" s="25" t="s">
        <v>69</v>
      </c>
      <c r="F24" s="13" t="s">
        <v>35</v>
      </c>
      <c r="G24" s="17">
        <v>180</v>
      </c>
      <c r="H24" s="57">
        <v>24.45</v>
      </c>
      <c r="I24" s="14">
        <f t="shared" si="3"/>
        <v>5.4572399999999996</v>
      </c>
      <c r="J24" s="14">
        <f t="shared" si="4"/>
        <v>29.907239999999998</v>
      </c>
      <c r="K24" s="14">
        <f t="shared" si="5"/>
        <v>8.9721719999999987E-3</v>
      </c>
      <c r="L24" s="14">
        <f t="shared" si="6"/>
        <v>29.898267827999998</v>
      </c>
      <c r="M24" s="14">
        <f t="shared" si="7"/>
        <v>5381.6882090399995</v>
      </c>
      <c r="N24" s="14">
        <f t="shared" si="8"/>
        <v>7.6272772647866208E-2</v>
      </c>
      <c r="O24" s="133"/>
    </row>
    <row r="25" spans="1:15" ht="26.25" customHeight="1" x14ac:dyDescent="0.25">
      <c r="A25" s="17" t="s">
        <v>81</v>
      </c>
      <c r="B25" s="17" t="s">
        <v>33</v>
      </c>
      <c r="C25" s="11" t="s">
        <v>68</v>
      </c>
      <c r="D25" s="11" t="s">
        <v>34</v>
      </c>
      <c r="E25" s="25" t="s">
        <v>69</v>
      </c>
      <c r="F25" s="13" t="s">
        <v>35</v>
      </c>
      <c r="G25" s="17">
        <v>180</v>
      </c>
      <c r="H25" s="57">
        <v>24.45</v>
      </c>
      <c r="I25" s="14">
        <f t="shared" si="3"/>
        <v>5.4572399999999996</v>
      </c>
      <c r="J25" s="14">
        <f t="shared" si="4"/>
        <v>29.907239999999998</v>
      </c>
      <c r="K25" s="14">
        <f t="shared" si="5"/>
        <v>8.9721719999999987E-3</v>
      </c>
      <c r="L25" s="14">
        <f t="shared" si="6"/>
        <v>29.898267827999998</v>
      </c>
      <c r="M25" s="14">
        <f t="shared" si="7"/>
        <v>5381.6882090399995</v>
      </c>
      <c r="N25" s="14">
        <f t="shared" si="8"/>
        <v>7.6272772647866208E-2</v>
      </c>
      <c r="O25" s="133"/>
    </row>
    <row r="26" spans="1:15" ht="26.25" customHeight="1" x14ac:dyDescent="0.25">
      <c r="A26" s="17" t="s">
        <v>82</v>
      </c>
      <c r="B26" s="17" t="s">
        <v>33</v>
      </c>
      <c r="C26" s="11" t="s">
        <v>68</v>
      </c>
      <c r="D26" s="11" t="s">
        <v>34</v>
      </c>
      <c r="E26" s="25" t="s">
        <v>69</v>
      </c>
      <c r="F26" s="13" t="s">
        <v>35</v>
      </c>
      <c r="G26" s="17">
        <v>180</v>
      </c>
      <c r="H26" s="57">
        <v>24.45</v>
      </c>
      <c r="I26" s="14">
        <f t="shared" si="3"/>
        <v>5.4572399999999996</v>
      </c>
      <c r="J26" s="14">
        <f t="shared" si="4"/>
        <v>29.907239999999998</v>
      </c>
      <c r="K26" s="14">
        <f t="shared" si="5"/>
        <v>8.9721719999999987E-3</v>
      </c>
      <c r="L26" s="14">
        <f t="shared" si="6"/>
        <v>29.898267827999998</v>
      </c>
      <c r="M26" s="14">
        <f t="shared" si="7"/>
        <v>5381.6882090399995</v>
      </c>
      <c r="N26" s="14">
        <f t="shared" si="8"/>
        <v>7.6272772647866208E-2</v>
      </c>
      <c r="O26" s="133"/>
    </row>
    <row r="27" spans="1:15" ht="26.25" customHeight="1" x14ac:dyDescent="0.25">
      <c r="A27" s="17" t="s">
        <v>83</v>
      </c>
      <c r="B27" s="17" t="s">
        <v>33</v>
      </c>
      <c r="C27" s="11" t="s">
        <v>72</v>
      </c>
      <c r="D27" s="11" t="s">
        <v>34</v>
      </c>
      <c r="E27" s="12" t="s">
        <v>73</v>
      </c>
      <c r="F27" s="13" t="s">
        <v>35</v>
      </c>
      <c r="G27" s="17">
        <v>180</v>
      </c>
      <c r="H27" s="57">
        <v>24.41</v>
      </c>
      <c r="I27" s="14">
        <f t="shared" si="3"/>
        <v>5.4483120000000005</v>
      </c>
      <c r="J27" s="14">
        <f t="shared" si="4"/>
        <v>29.858312000000002</v>
      </c>
      <c r="K27" s="14">
        <f t="shared" si="5"/>
        <v>8.9574935999999997E-3</v>
      </c>
      <c r="L27" s="14">
        <f t="shared" si="6"/>
        <v>29.849354506400001</v>
      </c>
      <c r="M27" s="14">
        <f t="shared" si="7"/>
        <v>5372.8838111519999</v>
      </c>
      <c r="N27" s="14">
        <f t="shared" si="8"/>
        <v>7.6147991015722463E-2</v>
      </c>
      <c r="O27" s="133"/>
    </row>
    <row r="28" spans="1:15" ht="26.25" customHeight="1" x14ac:dyDescent="0.25">
      <c r="A28" s="17" t="s">
        <v>84</v>
      </c>
      <c r="B28" s="17" t="s">
        <v>33</v>
      </c>
      <c r="C28" s="11" t="s">
        <v>72</v>
      </c>
      <c r="D28" s="11" t="s">
        <v>34</v>
      </c>
      <c r="E28" s="12" t="s">
        <v>73</v>
      </c>
      <c r="F28" s="13" t="s">
        <v>35</v>
      </c>
      <c r="G28" s="17">
        <v>180</v>
      </c>
      <c r="H28" s="57">
        <v>24.41</v>
      </c>
      <c r="I28" s="14">
        <f t="shared" si="3"/>
        <v>5.4483120000000005</v>
      </c>
      <c r="J28" s="14">
        <f t="shared" si="4"/>
        <v>29.858312000000002</v>
      </c>
      <c r="K28" s="14">
        <f t="shared" si="5"/>
        <v>8.9574935999999997E-3</v>
      </c>
      <c r="L28" s="14">
        <f t="shared" si="6"/>
        <v>29.849354506400001</v>
      </c>
      <c r="M28" s="14">
        <f t="shared" si="7"/>
        <v>5372.8838111519999</v>
      </c>
      <c r="N28" s="14">
        <f t="shared" si="8"/>
        <v>7.6147991015722463E-2</v>
      </c>
      <c r="O28" s="133"/>
    </row>
    <row r="29" spans="1:15" x14ac:dyDescent="0.25">
      <c r="A29" s="134" t="s">
        <v>16</v>
      </c>
      <c r="B29" s="116" t="s">
        <v>17</v>
      </c>
      <c r="C29" s="116" t="s">
        <v>18</v>
      </c>
      <c r="D29" s="116" t="s">
        <v>19</v>
      </c>
      <c r="E29" s="116" t="s">
        <v>20</v>
      </c>
      <c r="F29" s="116" t="s">
        <v>21</v>
      </c>
      <c r="G29" s="116" t="s">
        <v>22</v>
      </c>
      <c r="H29" s="125" t="s">
        <v>23</v>
      </c>
      <c r="I29" s="125"/>
      <c r="J29" s="125"/>
      <c r="K29" s="125"/>
      <c r="L29" s="126"/>
      <c r="M29" s="116" t="s">
        <v>24</v>
      </c>
      <c r="N29" s="116" t="s">
        <v>25</v>
      </c>
      <c r="O29" s="133"/>
    </row>
    <row r="30" spans="1:15" ht="17.100000000000001" customHeight="1" x14ac:dyDescent="0.25">
      <c r="A30" s="135"/>
      <c r="B30" s="117"/>
      <c r="C30" s="117"/>
      <c r="D30" s="117"/>
      <c r="E30" s="117"/>
      <c r="F30" s="117"/>
      <c r="G30" s="117"/>
      <c r="H30" s="3" t="s">
        <v>27</v>
      </c>
      <c r="I30" s="4" t="s">
        <v>36</v>
      </c>
      <c r="J30" s="3" t="s">
        <v>29</v>
      </c>
      <c r="K30" s="4" t="s">
        <v>58</v>
      </c>
      <c r="L30" s="3" t="s">
        <v>30</v>
      </c>
      <c r="M30" s="117"/>
      <c r="N30" s="117"/>
      <c r="O30" s="106"/>
    </row>
    <row r="31" spans="1:15" ht="17.100000000000001" customHeight="1" x14ac:dyDescent="0.25">
      <c r="A31" s="15">
        <v>2</v>
      </c>
      <c r="B31" s="136" t="s">
        <v>37</v>
      </c>
      <c r="C31" s="136"/>
      <c r="D31" s="137"/>
      <c r="E31" s="137"/>
      <c r="F31" s="137"/>
      <c r="G31" s="16"/>
      <c r="H31" s="16"/>
      <c r="I31" s="16"/>
      <c r="J31" s="16"/>
      <c r="K31" s="16"/>
      <c r="L31" s="16"/>
      <c r="M31" s="27">
        <f>SUM(M32:M67)</f>
        <v>17974.525944023997</v>
      </c>
      <c r="N31" s="16"/>
      <c r="O31" s="133"/>
    </row>
    <row r="32" spans="1:15" s="19" customFormat="1" ht="17.100000000000001" customHeight="1" x14ac:dyDescent="0.2">
      <c r="A32" s="18" t="s">
        <v>50</v>
      </c>
      <c r="B32" s="18" t="s">
        <v>53</v>
      </c>
      <c r="C32" s="11">
        <v>122</v>
      </c>
      <c r="D32" s="11" t="s">
        <v>34</v>
      </c>
      <c r="E32" s="31" t="s">
        <v>158</v>
      </c>
      <c r="F32" s="49" t="s">
        <v>21</v>
      </c>
      <c r="G32" s="50">
        <v>2</v>
      </c>
      <c r="H32" s="57">
        <v>58.09</v>
      </c>
      <c r="I32" s="14">
        <f t="shared" ref="I32:I39" si="9">H32*0.1532</f>
        <v>8.8993880000000001</v>
      </c>
      <c r="J32" s="14">
        <f t="shared" ref="J32:J33" si="10">H32+I32</f>
        <v>66.989388000000005</v>
      </c>
      <c r="K32" s="14">
        <f t="shared" ref="K32:K39" si="11">J32*(0.03%)</f>
        <v>2.0096816399999998E-2</v>
      </c>
      <c r="L32" s="14">
        <f t="shared" ref="L32:L33" si="12">J32-K32</f>
        <v>66.969291183600006</v>
      </c>
      <c r="M32" s="14">
        <f t="shared" ref="M32:M33" si="13">L32*G32</f>
        <v>133.93858236720001</v>
      </c>
      <c r="N32" s="14">
        <f>M32/M31</f>
        <v>7.4515780157045344E-3</v>
      </c>
      <c r="O32" s="133"/>
    </row>
    <row r="33" spans="1:15" s="19" customFormat="1" ht="17.100000000000001" customHeight="1" x14ac:dyDescent="0.2">
      <c r="A33" s="18" t="s">
        <v>51</v>
      </c>
      <c r="B33" s="18" t="s">
        <v>53</v>
      </c>
      <c r="C33" s="18">
        <v>142</v>
      </c>
      <c r="D33" s="18" t="s">
        <v>34</v>
      </c>
      <c r="E33" s="51" t="s">
        <v>119</v>
      </c>
      <c r="F33" s="18" t="s">
        <v>21</v>
      </c>
      <c r="G33" s="18">
        <v>40</v>
      </c>
      <c r="H33" s="58">
        <v>36.299999999999997</v>
      </c>
      <c r="I33" s="14">
        <f t="shared" si="9"/>
        <v>5.5611600000000001</v>
      </c>
      <c r="J33" s="14">
        <f t="shared" si="10"/>
        <v>41.861159999999998</v>
      </c>
      <c r="K33" s="14">
        <f t="shared" si="11"/>
        <v>1.2558347999999999E-2</v>
      </c>
      <c r="L33" s="14">
        <f t="shared" si="12"/>
        <v>41.848601651999999</v>
      </c>
      <c r="M33" s="14">
        <f t="shared" si="13"/>
        <v>1673.9440660800001</v>
      </c>
      <c r="N33" s="14">
        <f>M33/M31</f>
        <v>9.3128690642132764E-2</v>
      </c>
      <c r="O33" s="133"/>
    </row>
    <row r="34" spans="1:15" s="19" customFormat="1" ht="17.100000000000001" customHeight="1" x14ac:dyDescent="0.2">
      <c r="A34" s="18" t="s">
        <v>52</v>
      </c>
      <c r="B34" s="18" t="s">
        <v>53</v>
      </c>
      <c r="C34" s="18">
        <v>142</v>
      </c>
      <c r="D34" s="18" t="s">
        <v>34</v>
      </c>
      <c r="E34" s="51" t="s">
        <v>119</v>
      </c>
      <c r="F34" s="18" t="s">
        <v>21</v>
      </c>
      <c r="G34" s="18">
        <v>60</v>
      </c>
      <c r="H34" s="58">
        <v>36.299999999999997</v>
      </c>
      <c r="I34" s="14">
        <f t="shared" si="9"/>
        <v>5.5611600000000001</v>
      </c>
      <c r="J34" s="14">
        <f t="shared" ref="J34:J39" si="14">H34+I34</f>
        <v>41.861159999999998</v>
      </c>
      <c r="K34" s="14">
        <f t="shared" si="11"/>
        <v>1.2558347999999999E-2</v>
      </c>
      <c r="L34" s="14">
        <f t="shared" ref="L34:L39" si="15">J34-K34</f>
        <v>41.848601651999999</v>
      </c>
      <c r="M34" s="14">
        <f t="shared" ref="M34:M39" si="16">L34*G34</f>
        <v>2510.9160991200001</v>
      </c>
      <c r="N34" s="14">
        <f t="shared" ref="N34" si="17">M34/M33</f>
        <v>1.5</v>
      </c>
      <c r="O34" s="133"/>
    </row>
    <row r="35" spans="1:15" s="19" customFormat="1" ht="17.100000000000001" customHeight="1" x14ac:dyDescent="0.2">
      <c r="A35" s="18" t="s">
        <v>85</v>
      </c>
      <c r="B35" s="18" t="s">
        <v>53</v>
      </c>
      <c r="C35" s="18">
        <v>112</v>
      </c>
      <c r="D35" s="18" t="s">
        <v>34</v>
      </c>
      <c r="E35" s="52" t="s">
        <v>159</v>
      </c>
      <c r="F35" s="18" t="s">
        <v>21</v>
      </c>
      <c r="G35" s="18">
        <v>10</v>
      </c>
      <c r="H35" s="58">
        <v>6.11</v>
      </c>
      <c r="I35" s="14">
        <f t="shared" si="9"/>
        <v>0.93605200000000011</v>
      </c>
      <c r="J35" s="14">
        <f t="shared" si="14"/>
        <v>7.0460520000000004</v>
      </c>
      <c r="K35" s="14">
        <f t="shared" si="11"/>
        <v>2.1138156E-3</v>
      </c>
      <c r="L35" s="14">
        <f t="shared" si="15"/>
        <v>7.0439381844000009</v>
      </c>
      <c r="M35" s="14">
        <f t="shared" si="16"/>
        <v>70.43938184400001</v>
      </c>
      <c r="N35" s="14">
        <f t="shared" ref="N35" si="18">M35/M33</f>
        <v>4.207988980716254E-2</v>
      </c>
      <c r="O35" s="133"/>
    </row>
    <row r="36" spans="1:15" s="19" customFormat="1" ht="17.100000000000001" customHeight="1" x14ac:dyDescent="0.2">
      <c r="A36" s="18" t="s">
        <v>86</v>
      </c>
      <c r="B36" s="18" t="s">
        <v>53</v>
      </c>
      <c r="C36" s="18">
        <v>3497</v>
      </c>
      <c r="D36" s="18" t="s">
        <v>34</v>
      </c>
      <c r="E36" s="52" t="s">
        <v>160</v>
      </c>
      <c r="F36" s="18" t="s">
        <v>21</v>
      </c>
      <c r="G36" s="18">
        <v>15</v>
      </c>
      <c r="H36" s="58">
        <v>20.32</v>
      </c>
      <c r="I36" s="14">
        <f t="shared" si="9"/>
        <v>3.1130240000000002</v>
      </c>
      <c r="J36" s="14">
        <f t="shared" si="14"/>
        <v>23.433024</v>
      </c>
      <c r="K36" s="14">
        <f t="shared" si="11"/>
        <v>7.0299071999999994E-3</v>
      </c>
      <c r="L36" s="14">
        <f t="shared" si="15"/>
        <v>23.4259940928</v>
      </c>
      <c r="M36" s="14">
        <f t="shared" si="16"/>
        <v>351.38991139199999</v>
      </c>
      <c r="N36" s="14">
        <f t="shared" ref="N36" si="19">M36/M35</f>
        <v>4.9885433715220939</v>
      </c>
      <c r="O36" s="133"/>
    </row>
    <row r="37" spans="1:15" s="19" customFormat="1" ht="17.100000000000001" customHeight="1" x14ac:dyDescent="0.2">
      <c r="A37" s="18" t="s">
        <v>87</v>
      </c>
      <c r="B37" s="18" t="s">
        <v>53</v>
      </c>
      <c r="C37" s="18">
        <v>3529</v>
      </c>
      <c r="D37" s="18" t="s">
        <v>34</v>
      </c>
      <c r="E37" s="53" t="s">
        <v>129</v>
      </c>
      <c r="F37" s="18" t="s">
        <v>21</v>
      </c>
      <c r="G37" s="18">
        <v>15</v>
      </c>
      <c r="H37" s="58">
        <v>1.01</v>
      </c>
      <c r="I37" s="14">
        <f t="shared" si="9"/>
        <v>0.15473200000000001</v>
      </c>
      <c r="J37" s="14">
        <f t="shared" si="14"/>
        <v>1.1647320000000001</v>
      </c>
      <c r="K37" s="14">
        <f t="shared" si="11"/>
        <v>3.494196E-4</v>
      </c>
      <c r="L37" s="14">
        <f t="shared" si="15"/>
        <v>1.1643825804000001</v>
      </c>
      <c r="M37" s="14">
        <f t="shared" si="16"/>
        <v>17.465738706</v>
      </c>
      <c r="N37" s="14">
        <f t="shared" ref="N37" si="20">M37/M35</f>
        <v>0.24795417348608834</v>
      </c>
      <c r="O37" s="133"/>
    </row>
    <row r="38" spans="1:15" s="19" customFormat="1" ht="17.100000000000001" customHeight="1" x14ac:dyDescent="0.2">
      <c r="A38" s="18" t="s">
        <v>88</v>
      </c>
      <c r="B38" s="18" t="s">
        <v>53</v>
      </c>
      <c r="C38" s="18">
        <v>3904</v>
      </c>
      <c r="D38" s="18" t="s">
        <v>34</v>
      </c>
      <c r="E38" s="31" t="s">
        <v>120</v>
      </c>
      <c r="F38" s="18" t="s">
        <v>21</v>
      </c>
      <c r="G38" s="18">
        <v>10</v>
      </c>
      <c r="H38" s="59">
        <v>1.0900000000000001</v>
      </c>
      <c r="I38" s="14">
        <f t="shared" si="9"/>
        <v>0.16698800000000003</v>
      </c>
      <c r="J38" s="14">
        <f t="shared" si="14"/>
        <v>1.2569880000000002</v>
      </c>
      <c r="K38" s="14">
        <f t="shared" si="11"/>
        <v>3.7709640000000002E-4</v>
      </c>
      <c r="L38" s="14">
        <f t="shared" si="15"/>
        <v>1.2566109036000002</v>
      </c>
      <c r="M38" s="14">
        <f t="shared" si="16"/>
        <v>12.566109036000002</v>
      </c>
      <c r="N38" s="14">
        <f t="shared" ref="N38" si="21">M38/M37</f>
        <v>0.71947194719471963</v>
      </c>
      <c r="O38" s="133"/>
    </row>
    <row r="39" spans="1:15" s="19" customFormat="1" ht="17.100000000000001" customHeight="1" x14ac:dyDescent="0.2">
      <c r="A39" s="18" t="s">
        <v>89</v>
      </c>
      <c r="B39" s="18" t="s">
        <v>53</v>
      </c>
      <c r="C39" s="18">
        <v>135</v>
      </c>
      <c r="D39" s="18" t="s">
        <v>34</v>
      </c>
      <c r="E39" s="53" t="s">
        <v>161</v>
      </c>
      <c r="F39" s="18" t="s">
        <v>114</v>
      </c>
      <c r="G39" s="18">
        <f>4*18</f>
        <v>72</v>
      </c>
      <c r="H39" s="58">
        <v>3.47</v>
      </c>
      <c r="I39" s="14">
        <f t="shared" si="9"/>
        <v>0.53160400000000008</v>
      </c>
      <c r="J39" s="14">
        <f t="shared" si="14"/>
        <v>4.0016040000000004</v>
      </c>
      <c r="K39" s="14">
        <f t="shared" si="11"/>
        <v>1.2004812000000001E-3</v>
      </c>
      <c r="L39" s="14">
        <f t="shared" si="15"/>
        <v>4.0004035188000007</v>
      </c>
      <c r="M39" s="14">
        <f t="shared" si="16"/>
        <v>288.02905335360003</v>
      </c>
      <c r="N39" s="14">
        <f t="shared" ref="N39" si="22">M39/M37</f>
        <v>16.491089108910892</v>
      </c>
      <c r="O39" s="133"/>
    </row>
    <row r="40" spans="1:15" s="19" customFormat="1" ht="17.100000000000001" customHeight="1" x14ac:dyDescent="0.2">
      <c r="A40" s="18" t="s">
        <v>90</v>
      </c>
      <c r="B40" s="18" t="s">
        <v>53</v>
      </c>
      <c r="C40" s="18">
        <v>10931</v>
      </c>
      <c r="D40" s="18" t="s">
        <v>34</v>
      </c>
      <c r="E40" s="31" t="s">
        <v>162</v>
      </c>
      <c r="F40" s="18" t="s">
        <v>163</v>
      </c>
      <c r="G40" s="18">
        <v>10</v>
      </c>
      <c r="H40" s="57">
        <v>16.53</v>
      </c>
      <c r="I40" s="14">
        <f>H40*0.1532</f>
        <v>2.5323960000000003</v>
      </c>
      <c r="J40" s="14">
        <f>H40+I40</f>
        <v>19.062396</v>
      </c>
      <c r="K40" s="14">
        <f>J40*(0.03%)</f>
        <v>5.7187187999999996E-3</v>
      </c>
      <c r="L40" s="14">
        <f>J40-K40</f>
        <v>19.056677281199999</v>
      </c>
      <c r="M40" s="14">
        <f>L40*G40</f>
        <v>190.56677281199998</v>
      </c>
      <c r="N40" s="14">
        <f t="shared" ref="N40" si="23">M40/M39</f>
        <v>0.66162343900096043</v>
      </c>
      <c r="O40" s="133"/>
    </row>
    <row r="41" spans="1:15" s="19" customFormat="1" ht="17.100000000000001" customHeight="1" x14ac:dyDescent="0.2">
      <c r="A41" s="18" t="s">
        <v>91</v>
      </c>
      <c r="B41" s="18" t="s">
        <v>53</v>
      </c>
      <c r="C41" s="18">
        <v>11270</v>
      </c>
      <c r="D41" s="18" t="s">
        <v>34</v>
      </c>
      <c r="E41" s="32" t="s">
        <v>164</v>
      </c>
      <c r="F41" s="18" t="s">
        <v>21</v>
      </c>
      <c r="G41" s="18">
        <v>15</v>
      </c>
      <c r="H41" s="58">
        <v>2.79</v>
      </c>
      <c r="I41" s="14">
        <f t="shared" ref="I41:I47" si="24">H41*0.1532</f>
        <v>0.42742800000000003</v>
      </c>
      <c r="J41" s="14">
        <f t="shared" ref="J41:J47" si="25">H41+I41</f>
        <v>3.217428</v>
      </c>
      <c r="K41" s="14">
        <f t="shared" ref="K41:K47" si="26">J41*(0.03%)</f>
        <v>9.6522839999999986E-4</v>
      </c>
      <c r="L41" s="14">
        <f t="shared" ref="L41:L47" si="27">J41-K41</f>
        <v>3.2164627715999998</v>
      </c>
      <c r="M41" s="14">
        <f t="shared" ref="M41:M47" si="28">L41*G41</f>
        <v>48.246941573999997</v>
      </c>
      <c r="N41" s="14">
        <f t="shared" ref="N41" si="29">M41/M39</f>
        <v>0.16750720461095098</v>
      </c>
      <c r="O41" s="133"/>
    </row>
    <row r="42" spans="1:15" s="19" customFormat="1" ht="17.100000000000001" customHeight="1" x14ac:dyDescent="0.2">
      <c r="A42" s="18" t="s">
        <v>92</v>
      </c>
      <c r="B42" s="18" t="s">
        <v>53</v>
      </c>
      <c r="C42" s="18">
        <v>367</v>
      </c>
      <c r="D42" s="18" t="s">
        <v>34</v>
      </c>
      <c r="E42" s="52" t="s">
        <v>110</v>
      </c>
      <c r="F42" s="18" t="s">
        <v>111</v>
      </c>
      <c r="G42" s="18">
        <v>5</v>
      </c>
      <c r="H42" s="59">
        <v>53.13</v>
      </c>
      <c r="I42" s="14">
        <f t="shared" si="24"/>
        <v>8.1395160000000004</v>
      </c>
      <c r="J42" s="14">
        <f t="shared" si="25"/>
        <v>61.269516000000003</v>
      </c>
      <c r="K42" s="14">
        <f t="shared" si="26"/>
        <v>1.8380854799999999E-2</v>
      </c>
      <c r="L42" s="14">
        <f t="shared" si="27"/>
        <v>61.251135145200003</v>
      </c>
      <c r="M42" s="14">
        <f t="shared" si="28"/>
        <v>306.25567572599999</v>
      </c>
      <c r="N42" s="14">
        <f t="shared" ref="N42" si="30">M42/M41</f>
        <v>6.3476702508960576</v>
      </c>
      <c r="O42" s="133"/>
    </row>
    <row r="43" spans="1:15" s="19" customFormat="1" ht="17.100000000000001" customHeight="1" x14ac:dyDescent="0.2">
      <c r="A43" s="18" t="s">
        <v>93</v>
      </c>
      <c r="B43" s="18" t="s">
        <v>53</v>
      </c>
      <c r="C43" s="18">
        <v>3080</v>
      </c>
      <c r="D43" s="18" t="s">
        <v>34</v>
      </c>
      <c r="E43" s="32" t="s">
        <v>165</v>
      </c>
      <c r="F43" s="18" t="s">
        <v>21</v>
      </c>
      <c r="G43" s="18">
        <v>5</v>
      </c>
      <c r="H43" s="58">
        <v>79.430000000000007</v>
      </c>
      <c r="I43" s="14">
        <f t="shared" si="24"/>
        <v>12.168676000000001</v>
      </c>
      <c r="J43" s="14">
        <f t="shared" si="25"/>
        <v>91.598676000000012</v>
      </c>
      <c r="K43" s="14">
        <f t="shared" si="26"/>
        <v>2.7479602800000003E-2</v>
      </c>
      <c r="L43" s="14">
        <f t="shared" si="27"/>
        <v>91.571196397200012</v>
      </c>
      <c r="M43" s="14">
        <f t="shared" si="28"/>
        <v>457.85598198600007</v>
      </c>
      <c r="N43" s="14">
        <f t="shared" ref="N43" si="31">M43/M41</f>
        <v>9.4898446833930734</v>
      </c>
      <c r="O43" s="133"/>
    </row>
    <row r="44" spans="1:15" s="19" customFormat="1" ht="17.100000000000001" customHeight="1" x14ac:dyDescent="0.2">
      <c r="A44" s="18" t="s">
        <v>94</v>
      </c>
      <c r="B44" s="18" t="s">
        <v>53</v>
      </c>
      <c r="C44" s="18">
        <v>39701</v>
      </c>
      <c r="D44" s="18" t="s">
        <v>34</v>
      </c>
      <c r="E44" s="31" t="s">
        <v>130</v>
      </c>
      <c r="F44" s="18" t="s">
        <v>21</v>
      </c>
      <c r="G44" s="18">
        <v>38</v>
      </c>
      <c r="H44" s="58">
        <v>98.43</v>
      </c>
      <c r="I44" s="14">
        <f t="shared" si="24"/>
        <v>15.079476000000001</v>
      </c>
      <c r="J44" s="14">
        <f t="shared" si="25"/>
        <v>113.50947600000001</v>
      </c>
      <c r="K44" s="14">
        <f t="shared" si="26"/>
        <v>3.4052842799999997E-2</v>
      </c>
      <c r="L44" s="14">
        <f t="shared" si="27"/>
        <v>113.47542315720001</v>
      </c>
      <c r="M44" s="14">
        <f t="shared" si="28"/>
        <v>4312.0660799736006</v>
      </c>
      <c r="N44" s="14">
        <f t="shared" ref="N44" si="32">M44/M43</f>
        <v>9.4179529145159258</v>
      </c>
      <c r="O44" s="133"/>
    </row>
    <row r="45" spans="1:15" s="19" customFormat="1" ht="17.100000000000001" customHeight="1" x14ac:dyDescent="0.2">
      <c r="A45" s="18" t="s">
        <v>95</v>
      </c>
      <c r="B45" s="18" t="s">
        <v>53</v>
      </c>
      <c r="C45" s="29">
        <v>377</v>
      </c>
      <c r="D45" s="18" t="s">
        <v>34</v>
      </c>
      <c r="E45" s="52" t="s">
        <v>116</v>
      </c>
      <c r="F45" s="18" t="s">
        <v>21</v>
      </c>
      <c r="G45" s="18">
        <v>20</v>
      </c>
      <c r="H45" s="60">
        <v>42.48</v>
      </c>
      <c r="I45" s="14">
        <f t="shared" si="24"/>
        <v>6.5079359999999999</v>
      </c>
      <c r="J45" s="14">
        <f t="shared" si="25"/>
        <v>48.987935999999998</v>
      </c>
      <c r="K45" s="14">
        <f t="shared" si="26"/>
        <v>1.4696380799999999E-2</v>
      </c>
      <c r="L45" s="14">
        <f t="shared" si="27"/>
        <v>48.973239619200001</v>
      </c>
      <c r="M45" s="14">
        <f t="shared" si="28"/>
        <v>979.46479238400002</v>
      </c>
      <c r="N45" s="14">
        <f t="shared" ref="N45" si="33">M45/M43</f>
        <v>2.1392420999622308</v>
      </c>
      <c r="O45" s="133"/>
    </row>
    <row r="46" spans="1:15" s="19" customFormat="1" ht="17.100000000000001" customHeight="1" x14ac:dyDescent="0.2">
      <c r="A46" s="18" t="s">
        <v>96</v>
      </c>
      <c r="B46" s="18" t="s">
        <v>53</v>
      </c>
      <c r="C46" s="18">
        <v>21112</v>
      </c>
      <c r="D46" s="18" t="s">
        <v>34</v>
      </c>
      <c r="E46" s="54" t="s">
        <v>127</v>
      </c>
      <c r="F46" s="18" t="s">
        <v>21</v>
      </c>
      <c r="G46" s="18">
        <v>3</v>
      </c>
      <c r="H46" s="58">
        <v>266.76</v>
      </c>
      <c r="I46" s="14">
        <f t="shared" si="24"/>
        <v>40.867632</v>
      </c>
      <c r="J46" s="14">
        <f t="shared" si="25"/>
        <v>307.62763200000001</v>
      </c>
      <c r="K46" s="14">
        <f t="shared" si="26"/>
        <v>9.228828959999999E-2</v>
      </c>
      <c r="L46" s="14">
        <f t="shared" si="27"/>
        <v>307.53534371040001</v>
      </c>
      <c r="M46" s="14">
        <f t="shared" si="28"/>
        <v>922.6060311312001</v>
      </c>
      <c r="N46" s="14">
        <f t="shared" ref="N46" si="34">M46/M45</f>
        <v>0.94194915254237299</v>
      </c>
      <c r="O46" s="133"/>
    </row>
    <row r="47" spans="1:15" s="19" customFormat="1" ht="17.100000000000001" customHeight="1" x14ac:dyDescent="0.2">
      <c r="A47" s="18" t="s">
        <v>97</v>
      </c>
      <c r="B47" s="18" t="s">
        <v>53</v>
      </c>
      <c r="C47" s="18">
        <v>6148</v>
      </c>
      <c r="D47" s="18" t="s">
        <v>34</v>
      </c>
      <c r="E47" s="55" t="s">
        <v>61</v>
      </c>
      <c r="F47" s="18" t="s">
        <v>21</v>
      </c>
      <c r="G47" s="18">
        <v>10</v>
      </c>
      <c r="H47" s="58">
        <v>10.8</v>
      </c>
      <c r="I47" s="14">
        <f t="shared" si="24"/>
        <v>1.65456</v>
      </c>
      <c r="J47" s="14">
        <f t="shared" si="25"/>
        <v>12.454560000000001</v>
      </c>
      <c r="K47" s="14">
        <f t="shared" si="26"/>
        <v>3.7363679999999999E-3</v>
      </c>
      <c r="L47" s="14">
        <f t="shared" si="27"/>
        <v>12.450823632000001</v>
      </c>
      <c r="M47" s="14">
        <f t="shared" si="28"/>
        <v>124.50823632000001</v>
      </c>
      <c r="N47" s="14">
        <f t="shared" ref="N47" si="35">M47/M45</f>
        <v>0.1271186440677966</v>
      </c>
      <c r="O47" s="133"/>
    </row>
    <row r="48" spans="1:15" s="19" customFormat="1" ht="17.100000000000001" customHeight="1" x14ac:dyDescent="0.2">
      <c r="A48" s="18" t="s">
        <v>98</v>
      </c>
      <c r="B48" s="18" t="s">
        <v>53</v>
      </c>
      <c r="C48" s="18">
        <v>21114</v>
      </c>
      <c r="D48" s="18" t="s">
        <v>34</v>
      </c>
      <c r="E48" s="31" t="s">
        <v>132</v>
      </c>
      <c r="F48" s="18" t="s">
        <v>21</v>
      </c>
      <c r="G48" s="18">
        <v>3</v>
      </c>
      <c r="H48" s="58">
        <v>29.79</v>
      </c>
      <c r="I48" s="14">
        <f t="shared" ref="I48:I51" si="36">H48*0.1532</f>
        <v>4.563828</v>
      </c>
      <c r="J48" s="14">
        <f t="shared" ref="J48:J51" si="37">H48+I48</f>
        <v>34.353828</v>
      </c>
      <c r="K48" s="14">
        <f t="shared" ref="K48:K51" si="38">J48*(0.03%)</f>
        <v>1.0306148399999999E-2</v>
      </c>
      <c r="L48" s="14">
        <f t="shared" ref="L48:L51" si="39">J48-K48</f>
        <v>34.343521851600002</v>
      </c>
      <c r="M48" s="14">
        <f t="shared" ref="M48:M51" si="40">L48*G48</f>
        <v>103.03056555480001</v>
      </c>
      <c r="N48" s="14">
        <f t="shared" ref="N48" si="41">M48/M47</f>
        <v>0.82750000000000001</v>
      </c>
      <c r="O48" s="133"/>
    </row>
    <row r="49" spans="1:15" s="19" customFormat="1" ht="17.100000000000001" customHeight="1" x14ac:dyDescent="0.2">
      <c r="A49" s="18" t="s">
        <v>99</v>
      </c>
      <c r="B49" s="18" t="s">
        <v>53</v>
      </c>
      <c r="C49" s="18">
        <v>11681</v>
      </c>
      <c r="D49" s="18" t="s">
        <v>34</v>
      </c>
      <c r="E49" s="53" t="s">
        <v>166</v>
      </c>
      <c r="F49" s="18" t="s">
        <v>21</v>
      </c>
      <c r="G49" s="18">
        <v>10</v>
      </c>
      <c r="H49" s="58">
        <v>9.0500000000000007</v>
      </c>
      <c r="I49" s="14">
        <f t="shared" si="36"/>
        <v>1.38646</v>
      </c>
      <c r="J49" s="14">
        <f t="shared" si="37"/>
        <v>10.43646</v>
      </c>
      <c r="K49" s="14">
        <f t="shared" si="38"/>
        <v>3.1309379999999998E-3</v>
      </c>
      <c r="L49" s="14">
        <f t="shared" si="39"/>
        <v>10.433329062</v>
      </c>
      <c r="M49" s="14">
        <f t="shared" si="40"/>
        <v>104.33329062</v>
      </c>
      <c r="N49" s="14">
        <f t="shared" ref="N49" si="42">M49/M47</f>
        <v>0.83796296296296291</v>
      </c>
      <c r="O49" s="133"/>
    </row>
    <row r="50" spans="1:15" s="19" customFormat="1" ht="17.100000000000001" customHeight="1" x14ac:dyDescent="0.2">
      <c r="A50" s="18" t="s">
        <v>100</v>
      </c>
      <c r="B50" s="18" t="s">
        <v>53</v>
      </c>
      <c r="C50" s="18">
        <v>20170</v>
      </c>
      <c r="D50" s="18" t="s">
        <v>34</v>
      </c>
      <c r="E50" s="55" t="s">
        <v>167</v>
      </c>
      <c r="F50" s="18" t="s">
        <v>21</v>
      </c>
      <c r="G50" s="18">
        <v>5</v>
      </c>
      <c r="H50" s="58">
        <v>18.73</v>
      </c>
      <c r="I50" s="14">
        <f t="shared" si="36"/>
        <v>2.8694360000000003</v>
      </c>
      <c r="J50" s="14">
        <f t="shared" si="37"/>
        <v>21.599436000000001</v>
      </c>
      <c r="K50" s="14">
        <f t="shared" si="38"/>
        <v>6.4798308000000001E-3</v>
      </c>
      <c r="L50" s="14">
        <f t="shared" si="39"/>
        <v>21.592956169200001</v>
      </c>
      <c r="M50" s="14">
        <f t="shared" si="40"/>
        <v>107.964780846</v>
      </c>
      <c r="N50" s="14">
        <f t="shared" ref="N50" si="43">M50/M49</f>
        <v>1.0348066298342542</v>
      </c>
      <c r="O50" s="133"/>
    </row>
    <row r="51" spans="1:15" s="19" customFormat="1" ht="16.5" customHeight="1" x14ac:dyDescent="0.2">
      <c r="A51" s="18" t="s">
        <v>101</v>
      </c>
      <c r="B51" s="18" t="s">
        <v>53</v>
      </c>
      <c r="C51" s="18">
        <v>6142</v>
      </c>
      <c r="D51" s="18" t="s">
        <v>34</v>
      </c>
      <c r="E51" s="31" t="s">
        <v>168</v>
      </c>
      <c r="F51" s="18" t="s">
        <v>21</v>
      </c>
      <c r="G51" s="18">
        <v>3</v>
      </c>
      <c r="H51" s="57">
        <v>10.14</v>
      </c>
      <c r="I51" s="14">
        <f t="shared" si="36"/>
        <v>1.5534480000000002</v>
      </c>
      <c r="J51" s="14">
        <f t="shared" si="37"/>
        <v>11.693448</v>
      </c>
      <c r="K51" s="14">
        <f t="shared" si="38"/>
        <v>3.5080343999999999E-3</v>
      </c>
      <c r="L51" s="14">
        <f t="shared" si="39"/>
        <v>11.689939965600001</v>
      </c>
      <c r="M51" s="14">
        <f t="shared" si="40"/>
        <v>35.069819896799999</v>
      </c>
      <c r="N51" s="14">
        <f t="shared" ref="N51" si="44">M51/M49</f>
        <v>0.33613259668508289</v>
      </c>
      <c r="O51" s="133"/>
    </row>
    <row r="52" spans="1:15" s="24" customFormat="1" ht="16.5" customHeight="1" x14ac:dyDescent="0.2">
      <c r="A52" s="18" t="s">
        <v>102</v>
      </c>
      <c r="B52" s="18" t="s">
        <v>53</v>
      </c>
      <c r="C52" s="34" t="s">
        <v>125</v>
      </c>
      <c r="D52" s="34" t="s">
        <v>131</v>
      </c>
      <c r="E52" s="35" t="s">
        <v>126</v>
      </c>
      <c r="F52" s="34" t="s">
        <v>180</v>
      </c>
      <c r="G52" s="34">
        <v>1</v>
      </c>
      <c r="H52" s="61">
        <v>415.62</v>
      </c>
      <c r="I52" s="20">
        <f t="shared" ref="I52" si="45">H52*0.2232</f>
        <v>92.766384000000002</v>
      </c>
      <c r="J52" s="20">
        <f t="shared" ref="J52:J53" si="46">H52+I52</f>
        <v>508.38638400000002</v>
      </c>
      <c r="K52" s="20">
        <f t="shared" ref="K52:K53" si="47">J52*(0.03%)</f>
        <v>0.15251591519999999</v>
      </c>
      <c r="L52" s="20">
        <f t="shared" ref="L52:L53" si="48">J52-K52</f>
        <v>508.23386808480001</v>
      </c>
      <c r="M52" s="20">
        <f t="shared" ref="M52:M53" si="49">L52*G52</f>
        <v>508.23386808480001</v>
      </c>
      <c r="N52" s="14">
        <f t="shared" ref="N52" si="50">M52/M51</f>
        <v>14.492058116647888</v>
      </c>
      <c r="O52" s="133"/>
    </row>
    <row r="53" spans="1:15" s="19" customFormat="1" ht="17.100000000000001" customHeight="1" x14ac:dyDescent="0.2">
      <c r="A53" s="18" t="s">
        <v>103</v>
      </c>
      <c r="B53" s="18" t="s">
        <v>53</v>
      </c>
      <c r="C53" s="18">
        <v>10432</v>
      </c>
      <c r="D53" s="18" t="s">
        <v>34</v>
      </c>
      <c r="E53" s="53" t="s">
        <v>169</v>
      </c>
      <c r="F53" s="18" t="s">
        <v>21</v>
      </c>
      <c r="G53" s="18">
        <v>3</v>
      </c>
      <c r="H53" s="58">
        <v>269.69</v>
      </c>
      <c r="I53" s="14">
        <f t="shared" ref="I53" si="51">H53*0.1532</f>
        <v>41.316507999999999</v>
      </c>
      <c r="J53" s="14">
        <f t="shared" si="46"/>
        <v>311.006508</v>
      </c>
      <c r="K53" s="14">
        <f t="shared" si="47"/>
        <v>9.3301952399999985E-2</v>
      </c>
      <c r="L53" s="14">
        <f t="shared" si="48"/>
        <v>310.9132060476</v>
      </c>
      <c r="M53" s="14">
        <f t="shared" si="49"/>
        <v>932.73961814280005</v>
      </c>
      <c r="N53" s="14">
        <f t="shared" ref="N53" si="52">M53/M51</f>
        <v>26.596646942800792</v>
      </c>
      <c r="O53" s="133"/>
    </row>
    <row r="54" spans="1:15" s="19" customFormat="1" ht="17.100000000000001" customHeight="1" x14ac:dyDescent="0.2">
      <c r="A54" s="18" t="s">
        <v>104</v>
      </c>
      <c r="B54" s="18" t="s">
        <v>53</v>
      </c>
      <c r="C54" s="18">
        <v>20271</v>
      </c>
      <c r="D54" s="18" t="s">
        <v>34</v>
      </c>
      <c r="E54" s="31" t="s">
        <v>170</v>
      </c>
      <c r="F54" s="18" t="s">
        <v>21</v>
      </c>
      <c r="G54" s="18">
        <v>1</v>
      </c>
      <c r="H54" s="58">
        <v>404.07</v>
      </c>
      <c r="I54" s="14">
        <f t="shared" ref="I54:I62" si="53">H54*0.1532</f>
        <v>61.903523999999997</v>
      </c>
      <c r="J54" s="14">
        <f t="shared" ref="J54:J62" si="54">H54+I54</f>
        <v>465.973524</v>
      </c>
      <c r="K54" s="14">
        <f t="shared" ref="K54:K62" si="55">J54*(0.03%)</f>
        <v>0.13979205719999999</v>
      </c>
      <c r="L54" s="14">
        <f t="shared" ref="L54:L62" si="56">J54-K54</f>
        <v>465.8337319428</v>
      </c>
      <c r="M54" s="14">
        <f t="shared" ref="M54:M62" si="57">L54*G54</f>
        <v>465.8337319428</v>
      </c>
      <c r="N54" s="14">
        <f t="shared" ref="N54" si="58">M54/M53</f>
        <v>0.49942526604620119</v>
      </c>
      <c r="O54" s="133"/>
    </row>
    <row r="55" spans="1:15" s="19" customFormat="1" ht="17.100000000000001" customHeight="1" x14ac:dyDescent="0.2">
      <c r="A55" s="18" t="s">
        <v>106</v>
      </c>
      <c r="B55" s="18" t="s">
        <v>53</v>
      </c>
      <c r="C55" s="18">
        <v>38383</v>
      </c>
      <c r="D55" s="18" t="s">
        <v>34</v>
      </c>
      <c r="E55" s="55" t="s">
        <v>128</v>
      </c>
      <c r="F55" s="18" t="s">
        <v>21</v>
      </c>
      <c r="G55" s="18">
        <v>10</v>
      </c>
      <c r="H55" s="58">
        <v>2.54</v>
      </c>
      <c r="I55" s="14">
        <f t="shared" si="53"/>
        <v>0.38912800000000003</v>
      </c>
      <c r="J55" s="14">
        <f t="shared" si="54"/>
        <v>2.929128</v>
      </c>
      <c r="K55" s="14">
        <f t="shared" si="55"/>
        <v>8.7873839999999992E-4</v>
      </c>
      <c r="L55" s="14">
        <f t="shared" si="56"/>
        <v>2.9282492616</v>
      </c>
      <c r="M55" s="14">
        <f t="shared" si="57"/>
        <v>29.282492615999999</v>
      </c>
      <c r="N55" s="14">
        <f t="shared" ref="N55" si="59">M55/M53</f>
        <v>3.1394069734386389E-2</v>
      </c>
      <c r="O55" s="133"/>
    </row>
    <row r="56" spans="1:15" s="19" customFormat="1" ht="17.100000000000001" customHeight="1" x14ac:dyDescent="0.2">
      <c r="A56" s="18" t="s">
        <v>107</v>
      </c>
      <c r="B56" s="18" t="s">
        <v>53</v>
      </c>
      <c r="C56" s="18">
        <v>11772</v>
      </c>
      <c r="D56" s="18" t="s">
        <v>34</v>
      </c>
      <c r="E56" s="53" t="s">
        <v>118</v>
      </c>
      <c r="F56" s="18" t="s">
        <v>21</v>
      </c>
      <c r="G56" s="18">
        <v>10</v>
      </c>
      <c r="H56" s="58">
        <v>104.06</v>
      </c>
      <c r="I56" s="14">
        <f t="shared" si="53"/>
        <v>15.941992000000001</v>
      </c>
      <c r="J56" s="14">
        <f t="shared" si="54"/>
        <v>120.001992</v>
      </c>
      <c r="K56" s="14">
        <f t="shared" si="55"/>
        <v>3.6000597599999996E-2</v>
      </c>
      <c r="L56" s="14">
        <f t="shared" si="56"/>
        <v>119.96599140240001</v>
      </c>
      <c r="M56" s="14">
        <f t="shared" si="57"/>
        <v>1199.659914024</v>
      </c>
      <c r="N56" s="14">
        <f t="shared" ref="N56" si="60">M56/M55</f>
        <v>40.968503937007874</v>
      </c>
      <c r="O56" s="133"/>
    </row>
    <row r="57" spans="1:15" s="19" customFormat="1" ht="17.100000000000001" customHeight="1" x14ac:dyDescent="0.2">
      <c r="A57" s="18" t="s">
        <v>108</v>
      </c>
      <c r="B57" s="18" t="s">
        <v>53</v>
      </c>
      <c r="C57" s="18">
        <v>36791</v>
      </c>
      <c r="D57" s="18" t="s">
        <v>34</v>
      </c>
      <c r="E57" s="56" t="s">
        <v>109</v>
      </c>
      <c r="F57" s="18" t="s">
        <v>21</v>
      </c>
      <c r="G57" s="18">
        <v>10</v>
      </c>
      <c r="H57" s="59">
        <v>117.09</v>
      </c>
      <c r="I57" s="14">
        <f t="shared" si="53"/>
        <v>17.938188</v>
      </c>
      <c r="J57" s="14">
        <f t="shared" si="54"/>
        <v>135.028188</v>
      </c>
      <c r="K57" s="14">
        <f t="shared" si="55"/>
        <v>4.0508456399999997E-2</v>
      </c>
      <c r="L57" s="14">
        <f t="shared" si="56"/>
        <v>134.9876795436</v>
      </c>
      <c r="M57" s="14">
        <f t="shared" si="57"/>
        <v>1349.8767954360001</v>
      </c>
      <c r="N57" s="14">
        <f t="shared" ref="N57" si="61">M57/M55</f>
        <v>46.0984251968504</v>
      </c>
      <c r="O57" s="133"/>
    </row>
    <row r="58" spans="1:15" s="19" customFormat="1" ht="17.100000000000001" customHeight="1" x14ac:dyDescent="0.2">
      <c r="A58" s="18" t="s">
        <v>121</v>
      </c>
      <c r="B58" s="18" t="s">
        <v>53</v>
      </c>
      <c r="C58" s="18">
        <v>38643</v>
      </c>
      <c r="D58" s="18" t="s">
        <v>34</v>
      </c>
      <c r="E58" s="52" t="s">
        <v>171</v>
      </c>
      <c r="F58" s="18" t="s">
        <v>21</v>
      </c>
      <c r="G58" s="18">
        <v>10</v>
      </c>
      <c r="H58" s="58">
        <v>41.22</v>
      </c>
      <c r="I58" s="14">
        <f t="shared" si="53"/>
        <v>6.3149040000000003</v>
      </c>
      <c r="J58" s="14">
        <f t="shared" si="54"/>
        <v>47.534903999999997</v>
      </c>
      <c r="K58" s="14">
        <f t="shared" si="55"/>
        <v>1.4260471199999998E-2</v>
      </c>
      <c r="L58" s="14">
        <f t="shared" si="56"/>
        <v>47.520643528800001</v>
      </c>
      <c r="M58" s="14">
        <f t="shared" si="57"/>
        <v>475.20643528800002</v>
      </c>
      <c r="N58" s="14">
        <f t="shared" ref="N58" si="62">M58/M57</f>
        <v>0.35203689469638738</v>
      </c>
      <c r="O58" s="133"/>
    </row>
    <row r="59" spans="1:15" s="19" customFormat="1" ht="17.100000000000001" customHeight="1" x14ac:dyDescent="0.2">
      <c r="A59" s="18" t="s">
        <v>122</v>
      </c>
      <c r="B59" s="18" t="s">
        <v>53</v>
      </c>
      <c r="C59" s="18">
        <v>65</v>
      </c>
      <c r="D59" s="18" t="s">
        <v>34</v>
      </c>
      <c r="E59" s="52" t="s">
        <v>112</v>
      </c>
      <c r="F59" s="18" t="s">
        <v>21</v>
      </c>
      <c r="G59" s="18">
        <v>10</v>
      </c>
      <c r="H59" s="58">
        <v>1.22</v>
      </c>
      <c r="I59" s="14">
        <f t="shared" si="53"/>
        <v>0.18690399999999999</v>
      </c>
      <c r="J59" s="14">
        <f t="shared" si="54"/>
        <v>1.4069039999999999</v>
      </c>
      <c r="K59" s="14">
        <f t="shared" si="55"/>
        <v>4.2207119999999995E-4</v>
      </c>
      <c r="L59" s="14">
        <f t="shared" si="56"/>
        <v>1.4064819287999999</v>
      </c>
      <c r="M59" s="14">
        <f t="shared" si="57"/>
        <v>14.064819287999999</v>
      </c>
      <c r="N59" s="14">
        <f t="shared" ref="N59" si="63">M59/M57</f>
        <v>1.0419335553847466E-2</v>
      </c>
      <c r="O59" s="133"/>
    </row>
    <row r="60" spans="1:15" s="19" customFormat="1" ht="17.100000000000001" customHeight="1" x14ac:dyDescent="0.2">
      <c r="A60" s="18" t="s">
        <v>123</v>
      </c>
      <c r="B60" s="18" t="s">
        <v>53</v>
      </c>
      <c r="C60" s="18">
        <v>112</v>
      </c>
      <c r="D60" s="18" t="s">
        <v>34</v>
      </c>
      <c r="E60" s="52" t="s">
        <v>159</v>
      </c>
      <c r="F60" s="18" t="s">
        <v>21</v>
      </c>
      <c r="G60" s="18">
        <v>10</v>
      </c>
      <c r="H60" s="58">
        <v>6.11</v>
      </c>
      <c r="I60" s="14">
        <f t="shared" si="53"/>
        <v>0.93605200000000011</v>
      </c>
      <c r="J60" s="14">
        <f t="shared" si="54"/>
        <v>7.0460520000000004</v>
      </c>
      <c r="K60" s="14">
        <f t="shared" si="55"/>
        <v>2.1138156E-3</v>
      </c>
      <c r="L60" s="14">
        <f t="shared" si="56"/>
        <v>7.0439381844000009</v>
      </c>
      <c r="M60" s="14">
        <f t="shared" si="57"/>
        <v>70.43938184400001</v>
      </c>
      <c r="N60" s="14">
        <f t="shared" ref="N60" si="64">M60/M59</f>
        <v>5.0081967213114762</v>
      </c>
      <c r="O60" s="133"/>
    </row>
    <row r="61" spans="1:15" s="19" customFormat="1" ht="17.100000000000001" customHeight="1" x14ac:dyDescent="0.2">
      <c r="A61" s="18" t="s">
        <v>124</v>
      </c>
      <c r="B61" s="18" t="s">
        <v>53</v>
      </c>
      <c r="C61" s="18">
        <v>38124</v>
      </c>
      <c r="D61" s="18" t="s">
        <v>34</v>
      </c>
      <c r="E61" s="53" t="s">
        <v>172</v>
      </c>
      <c r="F61" s="18" t="s">
        <v>21</v>
      </c>
      <c r="G61" s="18">
        <v>2</v>
      </c>
      <c r="H61" s="58">
        <v>32.83</v>
      </c>
      <c r="I61" s="14">
        <f t="shared" si="53"/>
        <v>5.0295559999999995</v>
      </c>
      <c r="J61" s="14">
        <f t="shared" si="54"/>
        <v>37.859555999999998</v>
      </c>
      <c r="K61" s="14">
        <f t="shared" si="55"/>
        <v>1.1357866799999998E-2</v>
      </c>
      <c r="L61" s="14">
        <f t="shared" si="56"/>
        <v>37.8481981332</v>
      </c>
      <c r="M61" s="14">
        <f t="shared" si="57"/>
        <v>75.696396266400001</v>
      </c>
      <c r="N61" s="14">
        <f t="shared" ref="N61" si="65">M61/M59</f>
        <v>5.3819672131147547</v>
      </c>
      <c r="O61" s="133"/>
    </row>
    <row r="62" spans="1:15" s="19" customFormat="1" ht="17.100000000000001" customHeight="1" x14ac:dyDescent="0.2">
      <c r="A62" s="18" t="s">
        <v>117</v>
      </c>
      <c r="B62" s="18" t="s">
        <v>53</v>
      </c>
      <c r="C62" s="18">
        <v>3148</v>
      </c>
      <c r="D62" s="18" t="s">
        <v>34</v>
      </c>
      <c r="E62" s="52" t="s">
        <v>173</v>
      </c>
      <c r="F62" s="18" t="s">
        <v>21</v>
      </c>
      <c r="G62" s="18">
        <v>10</v>
      </c>
      <c r="H62" s="58">
        <v>8.92</v>
      </c>
      <c r="I62" s="14">
        <f t="shared" si="53"/>
        <v>1.366544</v>
      </c>
      <c r="J62" s="14">
        <f t="shared" si="54"/>
        <v>10.286543999999999</v>
      </c>
      <c r="K62" s="14">
        <f t="shared" si="55"/>
        <v>3.0859631999999994E-3</v>
      </c>
      <c r="L62" s="14">
        <f t="shared" si="56"/>
        <v>10.283458036799999</v>
      </c>
      <c r="M62" s="14">
        <f t="shared" si="57"/>
        <v>102.83458036799999</v>
      </c>
      <c r="N62" s="14">
        <f t="shared" ref="N62" si="66">M62/M61</f>
        <v>1.3585135546756015</v>
      </c>
      <c r="O62" s="133"/>
    </row>
    <row r="63" spans="1:15" s="19" customFormat="1" ht="17.100000000000001" customHeight="1" x14ac:dyDescent="0.2">
      <c r="A63" s="18"/>
      <c r="B63" s="18"/>
      <c r="C63" s="18"/>
      <c r="D63" s="18"/>
      <c r="E63" s="31"/>
      <c r="F63" s="18"/>
      <c r="G63" s="18"/>
      <c r="H63" s="33"/>
      <c r="I63" s="14"/>
      <c r="J63" s="14"/>
      <c r="K63" s="14"/>
      <c r="L63" s="14"/>
      <c r="M63" s="14"/>
      <c r="N63" s="14"/>
      <c r="O63" s="133"/>
    </row>
    <row r="64" spans="1:15" s="19" customFormat="1" ht="17.100000000000001" customHeight="1" x14ac:dyDescent="0.2">
      <c r="A64" s="18"/>
      <c r="B64" s="18"/>
      <c r="C64" s="18"/>
      <c r="D64" s="18"/>
      <c r="E64" s="31"/>
      <c r="F64" s="18"/>
      <c r="G64" s="18"/>
      <c r="H64" s="33"/>
      <c r="I64" s="14"/>
      <c r="J64" s="14"/>
      <c r="K64" s="14"/>
      <c r="L64" s="14"/>
      <c r="M64" s="14"/>
      <c r="N64" s="14"/>
      <c r="O64" s="133"/>
    </row>
    <row r="65" spans="1:15" s="19" customFormat="1" ht="17.100000000000001" customHeight="1" x14ac:dyDescent="0.2">
      <c r="A65" s="18"/>
      <c r="B65" s="18"/>
      <c r="C65" s="18"/>
      <c r="D65" s="18"/>
      <c r="E65" s="31"/>
      <c r="F65" s="18"/>
      <c r="G65" s="18"/>
      <c r="H65" s="33"/>
      <c r="I65" s="14"/>
      <c r="J65" s="14"/>
      <c r="K65" s="14"/>
      <c r="L65" s="14"/>
      <c r="M65" s="14"/>
      <c r="N65" s="14"/>
      <c r="O65" s="133"/>
    </row>
    <row r="66" spans="1:15" s="19" customFormat="1" ht="17.100000000000001" customHeight="1" x14ac:dyDescent="0.2">
      <c r="A66" s="18"/>
      <c r="B66" s="18"/>
      <c r="C66" s="18"/>
      <c r="D66" s="18"/>
      <c r="E66" s="31"/>
      <c r="F66" s="18"/>
      <c r="G66" s="18"/>
      <c r="H66" s="33"/>
      <c r="I66" s="14"/>
      <c r="J66" s="14"/>
      <c r="K66" s="14"/>
      <c r="L66" s="14"/>
      <c r="M66" s="14"/>
      <c r="N66" s="14"/>
      <c r="O66" s="133"/>
    </row>
    <row r="67" spans="1:15" s="19" customFormat="1" ht="17.100000000000001" customHeight="1" x14ac:dyDescent="0.2">
      <c r="A67" s="18"/>
      <c r="B67" s="18"/>
      <c r="C67" s="18"/>
      <c r="D67" s="18"/>
      <c r="E67" s="31"/>
      <c r="F67" s="18"/>
      <c r="G67" s="18"/>
      <c r="H67" s="33"/>
      <c r="I67" s="14"/>
      <c r="J67" s="14"/>
      <c r="K67" s="14"/>
      <c r="L67" s="14"/>
      <c r="M67" s="14"/>
      <c r="N67" s="14"/>
      <c r="O67" s="133"/>
    </row>
    <row r="68" spans="1:15" ht="17.100000000000001" customHeight="1" x14ac:dyDescent="0.25">
      <c r="A68" s="134" t="s">
        <v>16</v>
      </c>
      <c r="B68" s="116" t="s">
        <v>17</v>
      </c>
      <c r="C68" s="116" t="s">
        <v>18</v>
      </c>
      <c r="D68" s="116" t="s">
        <v>19</v>
      </c>
      <c r="E68" s="116" t="s">
        <v>20</v>
      </c>
      <c r="F68" s="116" t="s">
        <v>21</v>
      </c>
      <c r="G68" s="116" t="s">
        <v>22</v>
      </c>
      <c r="H68" s="125" t="s">
        <v>23</v>
      </c>
      <c r="I68" s="125"/>
      <c r="J68" s="125"/>
      <c r="K68" s="125"/>
      <c r="L68" s="126"/>
      <c r="M68" s="116" t="s">
        <v>24</v>
      </c>
      <c r="N68" s="116" t="s">
        <v>25</v>
      </c>
      <c r="O68" s="106"/>
    </row>
    <row r="69" spans="1:15" ht="17.100000000000001" customHeight="1" x14ac:dyDescent="0.25">
      <c r="A69" s="135"/>
      <c r="B69" s="117"/>
      <c r="C69" s="117"/>
      <c r="D69" s="117"/>
      <c r="E69" s="117"/>
      <c r="F69" s="117"/>
      <c r="G69" s="117"/>
      <c r="H69" s="3" t="s">
        <v>27</v>
      </c>
      <c r="I69" s="4" t="s">
        <v>28</v>
      </c>
      <c r="J69" s="3" t="s">
        <v>29</v>
      </c>
      <c r="K69" s="4" t="s">
        <v>59</v>
      </c>
      <c r="L69" s="3" t="s">
        <v>30</v>
      </c>
      <c r="M69" s="117"/>
      <c r="N69" s="117"/>
      <c r="O69" s="106"/>
    </row>
    <row r="70" spans="1:15" ht="17.100000000000001" customHeight="1" x14ac:dyDescent="0.25">
      <c r="A70" s="5">
        <v>3</v>
      </c>
      <c r="B70" s="118" t="s">
        <v>38</v>
      </c>
      <c r="C70" s="119"/>
      <c r="D70" s="119"/>
      <c r="E70" s="119"/>
      <c r="F70" s="120"/>
      <c r="G70" s="9"/>
      <c r="H70" s="9"/>
      <c r="I70" s="9"/>
      <c r="J70" s="9"/>
      <c r="K70" s="9"/>
      <c r="L70" s="9"/>
      <c r="M70" s="26">
        <f>SUM(M71:M92)</f>
        <v>35966.283675920313</v>
      </c>
      <c r="N70" s="9"/>
      <c r="O70" s="106"/>
    </row>
    <row r="71" spans="1:15" ht="26.25" customHeight="1" x14ac:dyDescent="0.25">
      <c r="A71" s="17" t="s">
        <v>32</v>
      </c>
      <c r="B71" s="17" t="s">
        <v>33</v>
      </c>
      <c r="C71" s="11" t="s">
        <v>66</v>
      </c>
      <c r="D71" s="11" t="s">
        <v>34</v>
      </c>
      <c r="E71" s="25" t="s">
        <v>67</v>
      </c>
      <c r="F71" s="13" t="s">
        <v>35</v>
      </c>
      <c r="G71" s="17">
        <v>180</v>
      </c>
      <c r="H71" s="57">
        <v>28.4</v>
      </c>
      <c r="I71" s="14">
        <f t="shared" ref="I71" si="67">H71*0.2232</f>
        <v>6.3388799999999996</v>
      </c>
      <c r="J71" s="14">
        <f t="shared" ref="J71" si="68">H71+I71</f>
        <v>34.738879999999995</v>
      </c>
      <c r="K71" s="14">
        <f t="shared" ref="K71" si="69">J71*(0.03%)</f>
        <v>1.0421663999999997E-2</v>
      </c>
      <c r="L71" s="14">
        <f t="shared" ref="L71" si="70">J71-K71</f>
        <v>34.728458335999996</v>
      </c>
      <c r="M71" s="14">
        <f t="shared" ref="M71" si="71">L71*G71</f>
        <v>6251.122500479999</v>
      </c>
      <c r="N71" s="14">
        <f t="shared" ref="N71" si="72">M71/M$16</f>
        <v>8.8594958822061365E-2</v>
      </c>
      <c r="O71" s="133"/>
    </row>
    <row r="72" spans="1:15" ht="26.25" customHeight="1" x14ac:dyDescent="0.25">
      <c r="A72" s="17" t="s">
        <v>74</v>
      </c>
      <c r="B72" s="17" t="s">
        <v>33</v>
      </c>
      <c r="C72" s="11" t="s">
        <v>68</v>
      </c>
      <c r="D72" s="11" t="s">
        <v>34</v>
      </c>
      <c r="E72" s="25" t="s">
        <v>69</v>
      </c>
      <c r="F72" s="13" t="s">
        <v>35</v>
      </c>
      <c r="G72" s="17">
        <v>180</v>
      </c>
      <c r="H72" s="57">
        <v>24.45</v>
      </c>
      <c r="I72" s="14">
        <f t="shared" ref="I72" si="73">H72*0.2232</f>
        <v>5.4572399999999996</v>
      </c>
      <c r="J72" s="14">
        <f t="shared" ref="J72" si="74">H72+I72</f>
        <v>29.907239999999998</v>
      </c>
      <c r="K72" s="14">
        <f t="shared" ref="K72" si="75">J72*(0.03%)</f>
        <v>8.9721719999999987E-3</v>
      </c>
      <c r="L72" s="14">
        <f t="shared" ref="L72" si="76">J72-K72</f>
        <v>29.898267827999998</v>
      </c>
      <c r="M72" s="14">
        <f t="shared" ref="M72" si="77">L72*G72</f>
        <v>5381.6882090399995</v>
      </c>
      <c r="N72" s="14">
        <f t="shared" ref="N72" si="78">M72/M$16</f>
        <v>7.6272772647866208E-2</v>
      </c>
      <c r="O72" s="133"/>
    </row>
    <row r="73" spans="1:15" s="24" customFormat="1" ht="29.25" customHeight="1" x14ac:dyDescent="0.2">
      <c r="A73" s="127" t="s">
        <v>141</v>
      </c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9"/>
      <c r="O73" s="133"/>
    </row>
    <row r="74" spans="1:15" s="24" customFormat="1" ht="30" customHeight="1" x14ac:dyDescent="0.2">
      <c r="A74" s="11" t="s">
        <v>75</v>
      </c>
      <c r="B74" s="17" t="s">
        <v>33</v>
      </c>
      <c r="C74" s="38" t="s">
        <v>136</v>
      </c>
      <c r="D74" s="38" t="s">
        <v>34</v>
      </c>
      <c r="E74" s="39" t="s">
        <v>137</v>
      </c>
      <c r="F74" s="38" t="s">
        <v>105</v>
      </c>
      <c r="G74" s="38">
        <v>54.08</v>
      </c>
      <c r="H74" s="62">
        <v>16.190000000000001</v>
      </c>
      <c r="I74" s="20">
        <f t="shared" ref="I74:I79" si="79">H74*0.2232</f>
        <v>3.6136080000000006</v>
      </c>
      <c r="J74" s="20">
        <f t="shared" ref="J74:J79" si="80">H74+I74</f>
        <v>19.803608000000001</v>
      </c>
      <c r="K74" s="20">
        <f t="shared" ref="K74:K79" si="81">J74*(0.03%)</f>
        <v>5.9410823999999996E-3</v>
      </c>
      <c r="L74" s="20">
        <f t="shared" ref="L74:L79" si="82">J74-K74</f>
        <v>19.797666917600001</v>
      </c>
      <c r="M74" s="20">
        <f t="shared" ref="M74:M79" si="83">L74*G74</f>
        <v>1070.657826903808</v>
      </c>
      <c r="N74" s="20">
        <f>M74/M70</f>
        <v>2.9768375196924254E-2</v>
      </c>
      <c r="O74" s="133"/>
    </row>
    <row r="75" spans="1:15" s="24" customFormat="1" ht="29.25" customHeight="1" x14ac:dyDescent="0.2">
      <c r="A75" s="11" t="s">
        <v>76</v>
      </c>
      <c r="B75" s="17" t="s">
        <v>33</v>
      </c>
      <c r="C75" s="38">
        <v>88488</v>
      </c>
      <c r="D75" s="38" t="s">
        <v>34</v>
      </c>
      <c r="E75" s="39" t="s">
        <v>138</v>
      </c>
      <c r="F75" s="38" t="s">
        <v>105</v>
      </c>
      <c r="G75" s="38">
        <v>43.75</v>
      </c>
      <c r="H75" s="62">
        <v>18.53</v>
      </c>
      <c r="I75" s="20">
        <f t="shared" si="79"/>
        <v>4.1358960000000007</v>
      </c>
      <c r="J75" s="20">
        <f t="shared" si="80"/>
        <v>22.665896000000004</v>
      </c>
      <c r="K75" s="20">
        <f t="shared" si="81"/>
        <v>6.7997688000000006E-3</v>
      </c>
      <c r="L75" s="20">
        <f t="shared" si="82"/>
        <v>22.659096231200003</v>
      </c>
      <c r="M75" s="20">
        <f t="shared" si="83"/>
        <v>991.33546011500016</v>
      </c>
      <c r="N75" s="20">
        <f t="shared" ref="N75:N79" si="84">M75/M74</f>
        <v>0.92591249529441455</v>
      </c>
      <c r="O75" s="133"/>
    </row>
    <row r="76" spans="1:15" s="24" customFormat="1" ht="23.25" customHeight="1" x14ac:dyDescent="0.2">
      <c r="A76" s="11" t="s">
        <v>77</v>
      </c>
      <c r="B76" s="17" t="s">
        <v>33</v>
      </c>
      <c r="C76" s="40" t="s">
        <v>178</v>
      </c>
      <c r="D76" s="40" t="s">
        <v>179</v>
      </c>
      <c r="E76" s="41" t="s">
        <v>139</v>
      </c>
      <c r="F76" s="40" t="s">
        <v>140</v>
      </c>
      <c r="G76" s="40">
        <v>5</v>
      </c>
      <c r="H76" s="63">
        <v>20</v>
      </c>
      <c r="I76" s="20">
        <f t="shared" si="79"/>
        <v>4.4640000000000004</v>
      </c>
      <c r="J76" s="20">
        <f t="shared" si="80"/>
        <v>24.463999999999999</v>
      </c>
      <c r="K76" s="20">
        <f t="shared" si="81"/>
        <v>7.3391999999999988E-3</v>
      </c>
      <c r="L76" s="20">
        <f t="shared" si="82"/>
        <v>24.456660799999998</v>
      </c>
      <c r="M76" s="20">
        <f t="shared" si="83"/>
        <v>122.28330399999999</v>
      </c>
      <c r="N76" s="20">
        <f t="shared" si="84"/>
        <v>0.12335209313083029</v>
      </c>
      <c r="O76" s="133"/>
    </row>
    <row r="77" spans="1:15" s="24" customFormat="1" ht="33" customHeight="1" x14ac:dyDescent="0.2">
      <c r="A77" s="127" t="s">
        <v>142</v>
      </c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9"/>
      <c r="O77" s="133"/>
    </row>
    <row r="78" spans="1:15" s="24" customFormat="1" ht="23.25" customHeight="1" x14ac:dyDescent="0.2">
      <c r="A78" s="11" t="s">
        <v>78</v>
      </c>
      <c r="B78" s="17" t="s">
        <v>33</v>
      </c>
      <c r="C78" s="42">
        <v>100327</v>
      </c>
      <c r="D78" s="37" t="s">
        <v>34</v>
      </c>
      <c r="E78" s="43" t="s">
        <v>133</v>
      </c>
      <c r="F78" s="44" t="s">
        <v>115</v>
      </c>
      <c r="G78" s="37">
        <v>22</v>
      </c>
      <c r="H78" s="64">
        <v>73.040000000000006</v>
      </c>
      <c r="I78" s="20">
        <f t="shared" si="79"/>
        <v>16.302528000000002</v>
      </c>
      <c r="J78" s="20">
        <f t="shared" si="80"/>
        <v>89.342528000000016</v>
      </c>
      <c r="K78" s="20">
        <f t="shared" si="81"/>
        <v>2.6802758400000001E-2</v>
      </c>
      <c r="L78" s="20">
        <f t="shared" si="82"/>
        <v>89.31572524160002</v>
      </c>
      <c r="M78" s="20">
        <f t="shared" si="83"/>
        <v>1964.9459553152005</v>
      </c>
      <c r="N78" s="20">
        <f>M78/M70</f>
        <v>5.4632999423033138E-2</v>
      </c>
      <c r="O78" s="133"/>
    </row>
    <row r="79" spans="1:15" s="24" customFormat="1" ht="23.25" customHeight="1" x14ac:dyDescent="0.2">
      <c r="A79" s="11" t="s">
        <v>79</v>
      </c>
      <c r="B79" s="17" t="s">
        <v>33</v>
      </c>
      <c r="C79" s="37">
        <v>94231</v>
      </c>
      <c r="D79" s="37" t="s">
        <v>34</v>
      </c>
      <c r="E79" s="36" t="s">
        <v>113</v>
      </c>
      <c r="F79" s="28" t="s">
        <v>115</v>
      </c>
      <c r="G79" s="28">
        <v>50</v>
      </c>
      <c r="H79" s="65">
        <v>64.540000000000006</v>
      </c>
      <c r="I79" s="20">
        <f t="shared" si="79"/>
        <v>14.405328000000003</v>
      </c>
      <c r="J79" s="20">
        <f t="shared" si="80"/>
        <v>78.945328000000003</v>
      </c>
      <c r="K79" s="20">
        <f t="shared" si="81"/>
        <v>2.3683598399999999E-2</v>
      </c>
      <c r="L79" s="20">
        <f t="shared" si="82"/>
        <v>78.921644401600005</v>
      </c>
      <c r="M79" s="20">
        <f t="shared" si="83"/>
        <v>3946.0822200800003</v>
      </c>
      <c r="N79" s="20">
        <f t="shared" si="84"/>
        <v>2.0082395698496462</v>
      </c>
      <c r="O79" s="133"/>
    </row>
    <row r="80" spans="1:15" s="24" customFormat="1" ht="23.25" customHeight="1" x14ac:dyDescent="0.2">
      <c r="A80" s="127" t="s">
        <v>143</v>
      </c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9"/>
      <c r="O80" s="133"/>
    </row>
    <row r="81" spans="1:15" ht="26.25" customHeight="1" x14ac:dyDescent="0.25">
      <c r="A81" s="11" t="s">
        <v>80</v>
      </c>
      <c r="B81" s="17" t="s">
        <v>33</v>
      </c>
      <c r="C81" s="40" t="s">
        <v>178</v>
      </c>
      <c r="D81" s="40" t="s">
        <v>179</v>
      </c>
      <c r="E81" s="41" t="s">
        <v>139</v>
      </c>
      <c r="F81" s="40" t="s">
        <v>140</v>
      </c>
      <c r="G81" s="40">
        <v>3</v>
      </c>
      <c r="H81" s="63">
        <v>20</v>
      </c>
      <c r="I81" s="14">
        <f t="shared" ref="I81:I86" si="85">H81*0.2232</f>
        <v>4.4640000000000004</v>
      </c>
      <c r="J81" s="14">
        <f t="shared" ref="J81:J86" si="86">H81+I81</f>
        <v>24.463999999999999</v>
      </c>
      <c r="K81" s="14">
        <f t="shared" ref="K81:K86" si="87">J81*(0.03%)</f>
        <v>7.3391999999999988E-3</v>
      </c>
      <c r="L81" s="14">
        <f t="shared" ref="L81:L86" si="88">J81-K81</f>
        <v>24.456660799999998</v>
      </c>
      <c r="M81" s="14">
        <f t="shared" ref="M81:M86" si="89">L81*G81</f>
        <v>73.369982399999998</v>
      </c>
      <c r="N81" s="14">
        <f t="shared" ref="N81" si="90">M81/M$16</f>
        <v>1.0398469345312368E-3</v>
      </c>
      <c r="O81" s="133"/>
    </row>
    <row r="82" spans="1:15" ht="26.25" customHeight="1" x14ac:dyDescent="0.25">
      <c r="A82" s="11" t="s">
        <v>81</v>
      </c>
      <c r="B82" s="17" t="s">
        <v>33</v>
      </c>
      <c r="C82" s="45" t="s">
        <v>136</v>
      </c>
      <c r="D82" s="39" t="s">
        <v>34</v>
      </c>
      <c r="E82" s="39" t="s">
        <v>137</v>
      </c>
      <c r="F82" s="38" t="s">
        <v>105</v>
      </c>
      <c r="G82" s="38">
        <v>157.12</v>
      </c>
      <c r="H82" s="66">
        <v>16.190000000000001</v>
      </c>
      <c r="I82" s="14">
        <f t="shared" ref="I82:I85" si="91">H82*0.2232</f>
        <v>3.6136080000000006</v>
      </c>
      <c r="J82" s="14">
        <f t="shared" ref="J82:J85" si="92">H82+I82</f>
        <v>19.803608000000001</v>
      </c>
      <c r="K82" s="14">
        <f t="shared" ref="K82:K85" si="93">J82*(0.03%)</f>
        <v>5.9410823999999996E-3</v>
      </c>
      <c r="L82" s="14">
        <f t="shared" ref="L82:L85" si="94">J82-K82</f>
        <v>19.797666917600001</v>
      </c>
      <c r="M82" s="14">
        <f t="shared" ref="M82:M85" si="95">L82*G82</f>
        <v>3110.6094260933123</v>
      </c>
      <c r="N82" s="14">
        <f t="shared" ref="N82:N85" si="96">M82/M$16</f>
        <v>4.4085572470399022E-2</v>
      </c>
      <c r="O82" s="133"/>
    </row>
    <row r="83" spans="1:15" ht="26.25" customHeight="1" x14ac:dyDescent="0.25">
      <c r="A83" s="67" t="s">
        <v>82</v>
      </c>
      <c r="B83" s="17" t="s">
        <v>33</v>
      </c>
      <c r="C83" s="45" t="s">
        <v>136</v>
      </c>
      <c r="D83" s="39" t="s">
        <v>34</v>
      </c>
      <c r="E83" s="39" t="s">
        <v>137</v>
      </c>
      <c r="F83" s="38" t="s">
        <v>105</v>
      </c>
      <c r="G83" s="38">
        <v>157.12</v>
      </c>
      <c r="H83" s="69">
        <v>16.190000000000001</v>
      </c>
      <c r="I83" s="14">
        <f t="shared" si="91"/>
        <v>3.6136080000000006</v>
      </c>
      <c r="J83" s="14">
        <f t="shared" si="92"/>
        <v>19.803608000000001</v>
      </c>
      <c r="K83" s="14">
        <f t="shared" si="93"/>
        <v>5.9410823999999996E-3</v>
      </c>
      <c r="L83" s="14">
        <f t="shared" si="94"/>
        <v>19.797666917600001</v>
      </c>
      <c r="M83" s="14">
        <f t="shared" si="95"/>
        <v>3110.6094260933123</v>
      </c>
      <c r="N83" s="14">
        <f t="shared" si="96"/>
        <v>4.4085572470399022E-2</v>
      </c>
      <c r="O83" s="133"/>
    </row>
    <row r="84" spans="1:15" ht="26.25" customHeight="1" x14ac:dyDescent="0.25">
      <c r="A84" s="11" t="s">
        <v>83</v>
      </c>
      <c r="B84" s="17" t="s">
        <v>33</v>
      </c>
      <c r="C84" s="45">
        <v>102492</v>
      </c>
      <c r="D84" s="39" t="s">
        <v>34</v>
      </c>
      <c r="E84" s="39" t="s">
        <v>144</v>
      </c>
      <c r="F84" s="38" t="s">
        <v>105</v>
      </c>
      <c r="G84" s="38">
        <v>143.49</v>
      </c>
      <c r="H84" s="66">
        <v>24.54</v>
      </c>
      <c r="I84" s="14">
        <f t="shared" si="91"/>
        <v>5.477328</v>
      </c>
      <c r="J84" s="14">
        <f t="shared" si="92"/>
        <v>30.017327999999999</v>
      </c>
      <c r="K84" s="14">
        <f t="shared" si="93"/>
        <v>9.0051983999999991E-3</v>
      </c>
      <c r="L84" s="14">
        <f t="shared" si="94"/>
        <v>30.008322801599999</v>
      </c>
      <c r="M84" s="14">
        <f t="shared" si="95"/>
        <v>4305.8942388015839</v>
      </c>
      <c r="N84" s="14">
        <f t="shared" si="96"/>
        <v>6.1025923384077849E-2</v>
      </c>
      <c r="O84" s="133"/>
    </row>
    <row r="85" spans="1:15" s="24" customFormat="1" ht="23.25" customHeight="1" x14ac:dyDescent="0.2">
      <c r="A85" s="11" t="s">
        <v>84</v>
      </c>
      <c r="B85" s="17" t="s">
        <v>33</v>
      </c>
      <c r="C85" s="45" t="s">
        <v>145</v>
      </c>
      <c r="D85" s="39" t="s">
        <v>34</v>
      </c>
      <c r="E85" s="39" t="s">
        <v>146</v>
      </c>
      <c r="F85" s="38" t="s">
        <v>105</v>
      </c>
      <c r="G85" s="38">
        <v>157.12</v>
      </c>
      <c r="H85" s="66">
        <v>3.18</v>
      </c>
      <c r="I85" s="14">
        <f t="shared" si="91"/>
        <v>0.70977600000000007</v>
      </c>
      <c r="J85" s="14">
        <f t="shared" si="92"/>
        <v>3.8897760000000003</v>
      </c>
      <c r="K85" s="14">
        <f t="shared" si="93"/>
        <v>1.1669327999999999E-3</v>
      </c>
      <c r="L85" s="14">
        <f t="shared" si="94"/>
        <v>3.8886090672000004</v>
      </c>
      <c r="M85" s="14">
        <f t="shared" si="95"/>
        <v>610.97825663846413</v>
      </c>
      <c r="N85" s="14">
        <f t="shared" si="96"/>
        <v>8.6591797687380415E-3</v>
      </c>
      <c r="O85" s="133"/>
    </row>
    <row r="86" spans="1:15" s="24" customFormat="1" ht="23.25" customHeight="1" x14ac:dyDescent="0.2">
      <c r="A86" s="11" t="s">
        <v>149</v>
      </c>
      <c r="B86" s="17" t="s">
        <v>33</v>
      </c>
      <c r="C86" s="45" t="s">
        <v>147</v>
      </c>
      <c r="D86" s="39" t="s">
        <v>34</v>
      </c>
      <c r="E86" s="39" t="s">
        <v>148</v>
      </c>
      <c r="F86" s="38" t="s">
        <v>105</v>
      </c>
      <c r="G86" s="38">
        <v>157.12</v>
      </c>
      <c r="H86" s="66">
        <v>2.2200000000000002</v>
      </c>
      <c r="I86" s="20">
        <f t="shared" si="85"/>
        <v>0.49550400000000006</v>
      </c>
      <c r="J86" s="20">
        <f t="shared" si="86"/>
        <v>2.7155040000000001</v>
      </c>
      <c r="K86" s="20">
        <f t="shared" si="87"/>
        <v>8.1465119999999996E-4</v>
      </c>
      <c r="L86" s="20">
        <f t="shared" si="88"/>
        <v>2.7146893488000003</v>
      </c>
      <c r="M86" s="20">
        <f t="shared" si="89"/>
        <v>426.53199048345607</v>
      </c>
      <c r="N86" s="20">
        <f>M86/M70</f>
        <v>1.1859217769808738E-2</v>
      </c>
      <c r="O86" s="133"/>
    </row>
    <row r="87" spans="1:15" s="24" customFormat="1" ht="23.25" customHeight="1" x14ac:dyDescent="0.2">
      <c r="A87" s="130" t="s">
        <v>150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2"/>
      <c r="O87" s="133"/>
    </row>
    <row r="88" spans="1:15" s="24" customFormat="1" ht="23.25" customHeight="1" x14ac:dyDescent="0.2">
      <c r="A88" s="11" t="s">
        <v>154</v>
      </c>
      <c r="B88" s="17" t="s">
        <v>33</v>
      </c>
      <c r="C88" s="46" t="s">
        <v>174</v>
      </c>
      <c r="D88" s="46" t="s">
        <v>131</v>
      </c>
      <c r="E88" s="48" t="s">
        <v>152</v>
      </c>
      <c r="F88" s="46" t="s">
        <v>134</v>
      </c>
      <c r="G88" s="46">
        <v>2</v>
      </c>
      <c r="H88" s="68">
        <v>493.78</v>
      </c>
      <c r="I88" s="20">
        <f t="shared" ref="I88:I89" si="97">H88*0.2232</f>
        <v>110.211696</v>
      </c>
      <c r="J88" s="20">
        <f t="shared" ref="J88:J89" si="98">H88+I88</f>
        <v>603.99169599999993</v>
      </c>
      <c r="K88" s="20">
        <f t="shared" ref="K88:K89" si="99">J88*(0.03%)</f>
        <v>0.18119750879999996</v>
      </c>
      <c r="L88" s="20">
        <f t="shared" ref="L88:L89" si="100">J88-K88</f>
        <v>603.81049849119995</v>
      </c>
      <c r="M88" s="20">
        <f t="shared" ref="M88:M89" si="101">L88*G88</f>
        <v>1207.6209969823999</v>
      </c>
      <c r="N88" s="20">
        <f>M88/M72</f>
        <v>0.22439445580549874</v>
      </c>
      <c r="O88" s="133"/>
    </row>
    <row r="89" spans="1:15" s="24" customFormat="1" ht="23.25" customHeight="1" x14ac:dyDescent="0.2">
      <c r="A89" s="11" t="s">
        <v>155</v>
      </c>
      <c r="B89" s="17" t="s">
        <v>33</v>
      </c>
      <c r="C89" s="46" t="s">
        <v>151</v>
      </c>
      <c r="D89" s="46" t="s">
        <v>131</v>
      </c>
      <c r="E89" s="47" t="s">
        <v>153</v>
      </c>
      <c r="F89" s="46" t="s">
        <v>105</v>
      </c>
      <c r="G89" s="46">
        <v>4.3099999999999996</v>
      </c>
      <c r="H89" s="65">
        <v>123.24</v>
      </c>
      <c r="I89" s="20">
        <f t="shared" si="97"/>
        <v>27.507168</v>
      </c>
      <c r="J89" s="20">
        <f t="shared" si="98"/>
        <v>150.74716799999999</v>
      </c>
      <c r="K89" s="20">
        <f t="shared" si="99"/>
        <v>4.5224150399999989E-2</v>
      </c>
      <c r="L89" s="20">
        <f t="shared" si="100"/>
        <v>150.70194384959999</v>
      </c>
      <c r="M89" s="20">
        <f t="shared" si="101"/>
        <v>649.52537799177583</v>
      </c>
      <c r="N89" s="20">
        <f>M89/J94</f>
        <v>5.2171025575461225E-3</v>
      </c>
      <c r="O89" s="133"/>
    </row>
    <row r="90" spans="1:15" s="24" customFormat="1" ht="23.25" customHeight="1" x14ac:dyDescent="0.2">
      <c r="A90" s="130" t="s">
        <v>157</v>
      </c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2"/>
      <c r="O90" s="133"/>
    </row>
    <row r="91" spans="1:15" s="24" customFormat="1" ht="23.25" customHeight="1" x14ac:dyDescent="0.2">
      <c r="A91" s="11" t="s">
        <v>156</v>
      </c>
      <c r="B91" s="17" t="s">
        <v>33</v>
      </c>
      <c r="C91" s="46" t="s">
        <v>151</v>
      </c>
      <c r="D91" s="46" t="s">
        <v>131</v>
      </c>
      <c r="E91" s="47" t="s">
        <v>153</v>
      </c>
      <c r="F91" s="46" t="s">
        <v>105</v>
      </c>
      <c r="G91" s="46">
        <v>11.25</v>
      </c>
      <c r="H91" s="68">
        <v>123.24</v>
      </c>
      <c r="I91" s="20">
        <f t="shared" ref="I91" si="102">H91*0.2232</f>
        <v>27.507168</v>
      </c>
      <c r="J91" s="20">
        <f t="shared" ref="J91" si="103">H91+I91</f>
        <v>150.74716799999999</v>
      </c>
      <c r="K91" s="20">
        <f t="shared" ref="K91" si="104">J91*(0.03%)</f>
        <v>4.5224150399999989E-2</v>
      </c>
      <c r="L91" s="20">
        <f t="shared" ref="L91" si="105">J91-K91</f>
        <v>150.70194384959999</v>
      </c>
      <c r="M91" s="20">
        <f t="shared" ref="M91" si="106">L91*G91</f>
        <v>1695.3968683079997</v>
      </c>
      <c r="N91" s="20">
        <f>M91/M70</f>
        <v>4.7138505706751134E-2</v>
      </c>
      <c r="O91" s="133"/>
    </row>
    <row r="92" spans="1:15" s="24" customFormat="1" ht="33" customHeight="1" x14ac:dyDescent="0.2">
      <c r="A92" s="11" t="s">
        <v>176</v>
      </c>
      <c r="B92" s="17" t="s">
        <v>33</v>
      </c>
      <c r="C92" s="28">
        <v>92106</v>
      </c>
      <c r="D92" s="28" t="s">
        <v>34</v>
      </c>
      <c r="E92" s="30" t="s">
        <v>175</v>
      </c>
      <c r="F92" s="28" t="s">
        <v>177</v>
      </c>
      <c r="G92" s="28">
        <v>2.5</v>
      </c>
      <c r="H92" s="61">
        <v>342.69</v>
      </c>
      <c r="I92" s="20">
        <f t="shared" ref="I92" si="107">H92*0.2232</f>
        <v>76.488408000000007</v>
      </c>
      <c r="J92" s="20">
        <f t="shared" ref="J92" si="108">H92+I92</f>
        <v>419.17840799999999</v>
      </c>
      <c r="K92" s="20">
        <f t="shared" ref="K92" si="109">J92*(0.03%)</f>
        <v>0.12575352239999998</v>
      </c>
      <c r="L92" s="20">
        <f t="shared" ref="L92" si="110">J92-K92</f>
        <v>419.05265447760002</v>
      </c>
      <c r="M92" s="20">
        <f t="shared" ref="M92" si="111">L92*G92</f>
        <v>1047.6316361940001</v>
      </c>
      <c r="N92" s="20">
        <f>M92/M70</f>
        <v>2.9128159184692106E-2</v>
      </c>
      <c r="O92" s="133"/>
    </row>
    <row r="93" spans="1:15" ht="17.100000000000001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133"/>
    </row>
    <row r="94" spans="1:15" ht="17.100000000000001" customHeight="1" x14ac:dyDescent="0.25">
      <c r="A94" s="95"/>
      <c r="B94" s="83"/>
      <c r="C94" s="83"/>
      <c r="D94" s="83"/>
      <c r="E94" s="83"/>
      <c r="F94" s="83"/>
      <c r="G94" s="83"/>
      <c r="H94" s="21" t="s">
        <v>39</v>
      </c>
      <c r="I94" s="22"/>
      <c r="J94" s="121">
        <f>M16+M31+M70</f>
        <v>124499.25429437633</v>
      </c>
      <c r="K94" s="122"/>
      <c r="L94" s="122"/>
      <c r="M94" s="122"/>
      <c r="N94" s="123"/>
      <c r="O94" s="106"/>
    </row>
    <row r="95" spans="1:15" ht="17.100000000000001" customHeight="1" x14ac:dyDescent="0.25">
      <c r="A95" s="74" t="s">
        <v>60</v>
      </c>
      <c r="B95" s="75"/>
      <c r="C95" s="75"/>
      <c r="D95" s="75"/>
      <c r="E95" s="75"/>
      <c r="F95" s="75"/>
      <c r="G95" s="75"/>
      <c r="H95" s="91"/>
      <c r="I95" s="91"/>
      <c r="J95" s="91"/>
      <c r="K95" s="91"/>
      <c r="L95" s="91"/>
      <c r="M95" s="91"/>
      <c r="N95" s="124"/>
      <c r="O95" s="106"/>
    </row>
    <row r="96" spans="1:15" ht="17.100000000000001" customHeight="1" x14ac:dyDescent="0.25">
      <c r="A96" s="92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6"/>
      <c r="O96" s="106"/>
    </row>
    <row r="97" spans="1:15" ht="17.100000000000001" customHeight="1" x14ac:dyDescent="0.25">
      <c r="A97" s="92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6"/>
      <c r="O97" s="106"/>
    </row>
    <row r="98" spans="1:15" ht="17.100000000000001" customHeight="1" x14ac:dyDescent="0.25">
      <c r="A98" s="92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6"/>
      <c r="O98" s="106"/>
    </row>
    <row r="99" spans="1:15" ht="17.100000000000001" customHeight="1" x14ac:dyDescent="0.25">
      <c r="A99" s="92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6"/>
      <c r="O99" s="106"/>
    </row>
    <row r="100" spans="1:15" ht="17.100000000000001" customHeight="1" x14ac:dyDescent="0.25">
      <c r="A100" s="92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6"/>
      <c r="O100" s="106"/>
    </row>
    <row r="101" spans="1:15" ht="17.100000000000001" customHeight="1" x14ac:dyDescent="0.25">
      <c r="A101" s="77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9"/>
      <c r="O101" s="106"/>
    </row>
    <row r="102" spans="1:15" ht="17.100000000000001" customHeight="1" x14ac:dyDescent="0.25">
      <c r="A102" s="95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96"/>
    </row>
    <row r="103" spans="1:15" ht="17.100000000000001" customHeight="1" x14ac:dyDescent="0.25">
      <c r="A103" s="97" t="s">
        <v>40</v>
      </c>
      <c r="B103" s="98"/>
      <c r="C103" s="98"/>
      <c r="D103" s="98"/>
      <c r="E103" s="98"/>
      <c r="F103" s="98"/>
      <c r="G103" s="99" t="s">
        <v>41</v>
      </c>
      <c r="H103" s="99"/>
      <c r="I103" s="99"/>
      <c r="J103" s="99"/>
      <c r="K103" s="100"/>
      <c r="L103" s="101"/>
      <c r="M103" s="101"/>
      <c r="N103" s="102"/>
      <c r="O103" s="106" t="s">
        <v>42</v>
      </c>
    </row>
    <row r="104" spans="1:15" ht="17.100000000000001" customHeight="1" x14ac:dyDescent="0.25">
      <c r="A104" s="108" t="s">
        <v>43</v>
      </c>
      <c r="B104" s="109"/>
      <c r="C104" s="109"/>
      <c r="D104" s="109"/>
      <c r="E104" s="109"/>
      <c r="F104" s="110"/>
      <c r="G104" s="114" t="s">
        <v>44</v>
      </c>
      <c r="H104" s="109"/>
      <c r="I104" s="109"/>
      <c r="J104" s="110"/>
      <c r="K104" s="103"/>
      <c r="L104" s="104"/>
      <c r="M104" s="104"/>
      <c r="N104" s="105"/>
      <c r="O104" s="106"/>
    </row>
    <row r="105" spans="1:15" ht="17.100000000000001" customHeight="1" x14ac:dyDescent="0.25">
      <c r="A105" s="111"/>
      <c r="B105" s="112"/>
      <c r="C105" s="112"/>
      <c r="D105" s="112"/>
      <c r="E105" s="112"/>
      <c r="F105" s="113"/>
      <c r="G105" s="115"/>
      <c r="H105" s="112"/>
      <c r="I105" s="112"/>
      <c r="J105" s="113"/>
      <c r="K105" s="103"/>
      <c r="L105" s="104"/>
      <c r="M105" s="104"/>
      <c r="N105" s="105"/>
      <c r="O105" s="106"/>
    </row>
    <row r="106" spans="1:15" ht="17.100000000000001" customHeight="1" x14ac:dyDescent="0.25">
      <c r="A106" s="111"/>
      <c r="B106" s="112"/>
      <c r="C106" s="112"/>
      <c r="D106" s="112"/>
      <c r="E106" s="112"/>
      <c r="F106" s="113"/>
      <c r="G106" s="115"/>
      <c r="H106" s="112"/>
      <c r="I106" s="112"/>
      <c r="J106" s="113"/>
      <c r="K106" s="103"/>
      <c r="L106" s="104"/>
      <c r="M106" s="104"/>
      <c r="N106" s="105"/>
      <c r="O106" s="106"/>
    </row>
    <row r="107" spans="1:15" ht="17.100000000000001" customHeight="1" x14ac:dyDescent="0.25">
      <c r="A107" s="111"/>
      <c r="B107" s="112"/>
      <c r="C107" s="112"/>
      <c r="D107" s="112"/>
      <c r="E107" s="112"/>
      <c r="F107" s="113"/>
      <c r="G107" s="115"/>
      <c r="H107" s="112"/>
      <c r="I107" s="112"/>
      <c r="J107" s="113"/>
      <c r="K107" s="103"/>
      <c r="L107" s="104"/>
      <c r="M107" s="104"/>
      <c r="N107" s="105"/>
      <c r="O107" s="106"/>
    </row>
    <row r="108" spans="1:15" ht="17.100000000000001" customHeight="1" x14ac:dyDescent="0.25">
      <c r="A108" s="111"/>
      <c r="B108" s="112"/>
      <c r="C108" s="112"/>
      <c r="D108" s="112"/>
      <c r="E108" s="112"/>
      <c r="F108" s="113"/>
      <c r="G108" s="115"/>
      <c r="H108" s="112"/>
      <c r="I108" s="112"/>
      <c r="J108" s="113"/>
      <c r="K108" s="103"/>
      <c r="L108" s="104"/>
      <c r="M108" s="104"/>
      <c r="N108" s="105"/>
      <c r="O108" s="106"/>
    </row>
    <row r="109" spans="1:15" ht="17.100000000000001" customHeight="1" x14ac:dyDescent="0.25">
      <c r="A109" s="111"/>
      <c r="B109" s="112"/>
      <c r="C109" s="112"/>
      <c r="D109" s="112"/>
      <c r="E109" s="112"/>
      <c r="F109" s="113"/>
      <c r="G109" s="115"/>
      <c r="H109" s="112"/>
      <c r="I109" s="112"/>
      <c r="J109" s="113"/>
      <c r="K109" s="103"/>
      <c r="L109" s="104"/>
      <c r="M109" s="104"/>
      <c r="N109" s="105"/>
      <c r="O109" s="106"/>
    </row>
    <row r="110" spans="1:15" ht="17.100000000000001" customHeight="1" x14ac:dyDescent="0.25">
      <c r="A110" s="111"/>
      <c r="B110" s="112"/>
      <c r="C110" s="112"/>
      <c r="D110" s="112"/>
      <c r="E110" s="112"/>
      <c r="F110" s="113"/>
      <c r="G110" s="115"/>
      <c r="H110" s="112"/>
      <c r="I110" s="112"/>
      <c r="J110" s="113"/>
      <c r="K110" s="103"/>
      <c r="L110" s="104"/>
      <c r="M110" s="104"/>
      <c r="N110" s="105"/>
      <c r="O110" s="106"/>
    </row>
    <row r="111" spans="1:15" ht="17.100000000000001" customHeight="1" thickBot="1" x14ac:dyDescent="0.3">
      <c r="A111" s="111"/>
      <c r="B111" s="112"/>
      <c r="C111" s="112"/>
      <c r="D111" s="112"/>
      <c r="E111" s="112"/>
      <c r="F111" s="113"/>
      <c r="G111" s="115"/>
      <c r="H111" s="112"/>
      <c r="I111" s="112"/>
      <c r="J111" s="113"/>
      <c r="K111" s="103"/>
      <c r="L111" s="104"/>
      <c r="M111" s="104"/>
      <c r="N111" s="105"/>
      <c r="O111" s="107"/>
    </row>
    <row r="112" spans="1:15" ht="17.100000000000001" customHeight="1" thickBot="1" x14ac:dyDescent="0.3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3"/>
    </row>
    <row r="113" spans="1:19" ht="17.100000000000001" customHeight="1" x14ac:dyDescent="0.25">
      <c r="A113" s="74" t="s">
        <v>45</v>
      </c>
      <c r="B113" s="75"/>
      <c r="C113" s="75"/>
      <c r="D113" s="76"/>
      <c r="E113" s="80" t="s">
        <v>46</v>
      </c>
      <c r="F113" s="75"/>
      <c r="G113" s="75"/>
      <c r="H113" s="75"/>
      <c r="I113" s="75"/>
      <c r="J113" s="75"/>
      <c r="K113" s="82" t="s">
        <v>47</v>
      </c>
      <c r="L113" s="83"/>
      <c r="M113" s="83"/>
      <c r="N113" s="83"/>
      <c r="O113" s="87" t="s">
        <v>48</v>
      </c>
    </row>
    <row r="114" spans="1:19" ht="17.100000000000001" customHeight="1" x14ac:dyDescent="0.25">
      <c r="A114" s="77"/>
      <c r="B114" s="78"/>
      <c r="C114" s="78"/>
      <c r="D114" s="79"/>
      <c r="E114" s="81"/>
      <c r="F114" s="78"/>
      <c r="G114" s="78"/>
      <c r="H114" s="78"/>
      <c r="I114" s="78"/>
      <c r="J114" s="78"/>
      <c r="K114" s="84"/>
      <c r="L114" s="83"/>
      <c r="M114" s="83"/>
      <c r="N114" s="83"/>
      <c r="O114" s="88"/>
    </row>
    <row r="115" spans="1:19" ht="17.100000000000001" customHeight="1" x14ac:dyDescent="0.25">
      <c r="A115" s="90" t="s">
        <v>49</v>
      </c>
      <c r="B115" s="91"/>
      <c r="C115" s="91"/>
      <c r="D115" s="91"/>
      <c r="E115" s="91"/>
      <c r="F115" s="91"/>
      <c r="G115" s="91"/>
      <c r="H115" s="91"/>
      <c r="I115" s="91"/>
      <c r="J115" s="91"/>
      <c r="K115" s="84"/>
      <c r="L115" s="83"/>
      <c r="M115" s="83"/>
      <c r="N115" s="83"/>
      <c r="O115" s="88"/>
    </row>
    <row r="116" spans="1:19" ht="17.100000000000001" customHeight="1" x14ac:dyDescent="0.25">
      <c r="A116" s="92"/>
      <c r="B116" s="75"/>
      <c r="C116" s="75"/>
      <c r="D116" s="75"/>
      <c r="E116" s="75"/>
      <c r="F116" s="75"/>
      <c r="G116" s="75"/>
      <c r="H116" s="75"/>
      <c r="I116" s="75"/>
      <c r="J116" s="75"/>
      <c r="K116" s="84"/>
      <c r="L116" s="83"/>
      <c r="M116" s="83"/>
      <c r="N116" s="83"/>
      <c r="O116" s="88"/>
    </row>
    <row r="117" spans="1:19" ht="17.100000000000001" customHeight="1" x14ac:dyDescent="0.25">
      <c r="A117" s="92"/>
      <c r="B117" s="75"/>
      <c r="C117" s="75"/>
      <c r="D117" s="75"/>
      <c r="E117" s="75"/>
      <c r="F117" s="75"/>
      <c r="G117" s="75"/>
      <c r="H117" s="75"/>
      <c r="I117" s="75"/>
      <c r="J117" s="75"/>
      <c r="K117" s="84"/>
      <c r="L117" s="83"/>
      <c r="M117" s="83"/>
      <c r="N117" s="83"/>
      <c r="O117" s="88"/>
    </row>
    <row r="118" spans="1:19" ht="17.100000000000001" customHeight="1" x14ac:dyDescent="0.25">
      <c r="A118" s="92"/>
      <c r="B118" s="75"/>
      <c r="C118" s="75"/>
      <c r="D118" s="75"/>
      <c r="E118" s="75"/>
      <c r="F118" s="75"/>
      <c r="G118" s="75"/>
      <c r="H118" s="75"/>
      <c r="I118" s="75"/>
      <c r="J118" s="75"/>
      <c r="K118" s="84"/>
      <c r="L118" s="83"/>
      <c r="M118" s="83"/>
      <c r="N118" s="83"/>
      <c r="O118" s="88"/>
    </row>
    <row r="119" spans="1:19" ht="17.100000000000001" customHeight="1" thickBot="1" x14ac:dyDescent="0.3">
      <c r="A119" s="93"/>
      <c r="B119" s="94"/>
      <c r="C119" s="94"/>
      <c r="D119" s="94"/>
      <c r="E119" s="94"/>
      <c r="F119" s="94"/>
      <c r="G119" s="94"/>
      <c r="H119" s="94"/>
      <c r="I119" s="94"/>
      <c r="J119" s="94"/>
      <c r="K119" s="85"/>
      <c r="L119" s="86"/>
      <c r="M119" s="86"/>
      <c r="N119" s="86"/>
      <c r="O119" s="89"/>
    </row>
    <row r="120" spans="1:19" ht="14.1" customHeight="1" x14ac:dyDescent="0.25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</row>
    <row r="121" spans="1:19" ht="14.1" customHeight="1" x14ac:dyDescent="0.25"/>
    <row r="122" spans="1:19" ht="14.1" customHeight="1" x14ac:dyDescent="0.25"/>
    <row r="123" spans="1:19" ht="14.1" customHeight="1" x14ac:dyDescent="0.25"/>
  </sheetData>
  <sortState xmlns:xlrd2="http://schemas.microsoft.com/office/spreadsheetml/2017/richdata2" ref="A32:N57">
    <sortCondition ref="E32:E57"/>
  </sortState>
  <mergeCells count="77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101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68:A69"/>
    <mergeCell ref="B68:B69"/>
    <mergeCell ref="C68:C69"/>
    <mergeCell ref="D68:D69"/>
    <mergeCell ref="N68:N69"/>
    <mergeCell ref="B70:F70"/>
    <mergeCell ref="A94:G94"/>
    <mergeCell ref="J94:N94"/>
    <mergeCell ref="A95:N101"/>
    <mergeCell ref="E68:E69"/>
    <mergeCell ref="F68:F69"/>
    <mergeCell ref="G68:G69"/>
    <mergeCell ref="H68:L68"/>
    <mergeCell ref="M68:M69"/>
    <mergeCell ref="A73:N73"/>
    <mergeCell ref="A77:N77"/>
    <mergeCell ref="A80:N80"/>
    <mergeCell ref="A87:N87"/>
    <mergeCell ref="A90:N90"/>
    <mergeCell ref="A102:O102"/>
    <mergeCell ref="A103:F103"/>
    <mergeCell ref="G103:J103"/>
    <mergeCell ref="K103:N111"/>
    <mergeCell ref="O103:O111"/>
    <mergeCell ref="A104:F111"/>
    <mergeCell ref="G104:J111"/>
    <mergeCell ref="A120:J120"/>
    <mergeCell ref="K120:S120"/>
    <mergeCell ref="A112:O112"/>
    <mergeCell ref="A113:D114"/>
    <mergeCell ref="E113:J114"/>
    <mergeCell ref="K113:N119"/>
    <mergeCell ref="O113:O119"/>
    <mergeCell ref="A115:J119"/>
  </mergeCells>
  <hyperlinks>
    <hyperlink ref="E47" r:id="rId1" display="FITA VEDA ROSCA EM ROLOS DE 18 MM X 50 M (L X C)" xr:uid="{00000000-0004-0000-0000-000000000000}"/>
    <hyperlink ref="E50" r:id="rId2" display="CIMENTO PORTLAND COMPOSTO CP II-32" xr:uid="{00000000-0004-0000-0000-000001000000}"/>
    <hyperlink ref="E53" r:id="rId3" display="VALVULA DE DESCARGA EM METAL CROMADO PARA MICTORIO COM ACIONAMENTO POR PRESSAO E FECHAMENTO AUTOMATICO" xr:uid="{00000000-0004-0000-0000-000002000000}"/>
  </hyperlinks>
  <pageMargins left="0.25" right="0.25" top="0.75" bottom="0.75" header="0.3" footer="0.3"/>
  <pageSetup paperSize="9" scale="53" orientation="landscape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DBCFD50-0AC7-4B38-BEF8-C14A1598C01F}"/>
</file>

<file path=customXml/itemProps2.xml><?xml version="1.0" encoding="utf-8"?>
<ds:datastoreItem xmlns:ds="http://schemas.openxmlformats.org/officeDocument/2006/customXml" ds:itemID="{A262AC5C-138B-43FE-BA93-C0721A66108A}"/>
</file>

<file path=customXml/itemProps3.xml><?xml version="1.0" encoding="utf-8"?>
<ds:datastoreItem xmlns:ds="http://schemas.openxmlformats.org/officeDocument/2006/customXml" ds:itemID="{7F8C4C58-71B1-435A-B335-042DAE2844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2023-02-17T13:14:57Z</cp:lastPrinted>
  <dcterms:created xsi:type="dcterms:W3CDTF">2022-01-02T19:12:46Z</dcterms:created>
  <dcterms:modified xsi:type="dcterms:W3CDTF">2023-02-17T13:15:07Z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