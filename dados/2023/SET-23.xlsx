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16-Setembro-23\"/>
    </mc:Choice>
  </mc:AlternateContent>
  <xr:revisionPtr revIDLastSave="0" documentId="13_ncr:1_{D4F82957-36AC-4BC5-A4DF-52C9BE9586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</sheets>
  <definedNames>
    <definedName name="_xlnm.Print_Area" localSheetId="0">'São Carlos'!$A$1:$O$118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" i="1" l="1"/>
  <c r="I32" i="1" l="1"/>
  <c r="J32" i="1" s="1"/>
  <c r="I33" i="1"/>
  <c r="J33" i="1" s="1"/>
  <c r="G54" i="1"/>
  <c r="I42" i="1"/>
  <c r="J42" i="1" s="1"/>
  <c r="K32" i="1" l="1"/>
  <c r="L32" i="1" s="1"/>
  <c r="M32" i="1" s="1"/>
  <c r="K33" i="1"/>
  <c r="L33" i="1" s="1"/>
  <c r="M33" i="1" s="1"/>
  <c r="K42" i="1"/>
  <c r="L42" i="1" s="1"/>
  <c r="M42" i="1" s="1"/>
  <c r="N33" i="1" l="1"/>
  <c r="I87" i="1"/>
  <c r="J87" i="1" s="1"/>
  <c r="I86" i="1"/>
  <c r="J86" i="1" s="1"/>
  <c r="I82" i="1"/>
  <c r="J82" i="1" s="1"/>
  <c r="I81" i="1"/>
  <c r="J81" i="1" s="1"/>
  <c r="I79" i="1"/>
  <c r="J79" i="1" s="1"/>
  <c r="I78" i="1"/>
  <c r="J78" i="1" s="1"/>
  <c r="I77" i="1"/>
  <c r="J77" i="1" s="1"/>
  <c r="G69" i="1"/>
  <c r="G68" i="1"/>
  <c r="I68" i="1"/>
  <c r="J68" i="1" s="1"/>
  <c r="I66" i="1"/>
  <c r="J66" i="1" s="1"/>
  <c r="G65" i="1"/>
  <c r="I65" i="1"/>
  <c r="J65" i="1" s="1"/>
  <c r="I71" i="1"/>
  <c r="J71" i="1" s="1"/>
  <c r="G75" i="1"/>
  <c r="G73" i="1"/>
  <c r="G74" i="1"/>
  <c r="I75" i="1"/>
  <c r="J75" i="1" s="1"/>
  <c r="I74" i="1"/>
  <c r="J74" i="1" s="1"/>
  <c r="I73" i="1"/>
  <c r="J73" i="1" s="1"/>
  <c r="I63" i="1"/>
  <c r="J63" i="1" s="1"/>
  <c r="I60" i="1"/>
  <c r="J60" i="1" s="1"/>
  <c r="G56" i="1"/>
  <c r="I56" i="1"/>
  <c r="J56" i="1" s="1"/>
  <c r="K87" i="1" l="1"/>
  <c r="L87" i="1" s="1"/>
  <c r="M87" i="1" s="1"/>
  <c r="K86" i="1"/>
  <c r="L86" i="1" s="1"/>
  <c r="M86" i="1" s="1"/>
  <c r="K81" i="1"/>
  <c r="L81" i="1" s="1"/>
  <c r="M81" i="1" s="1"/>
  <c r="K82" i="1"/>
  <c r="L82" i="1" s="1"/>
  <c r="M82" i="1" s="1"/>
  <c r="K79" i="1"/>
  <c r="L79" i="1" s="1"/>
  <c r="M79" i="1" s="1"/>
  <c r="K78" i="1"/>
  <c r="L78" i="1" s="1"/>
  <c r="M78" i="1" s="1"/>
  <c r="K77" i="1"/>
  <c r="L77" i="1" s="1"/>
  <c r="M77" i="1" s="1"/>
  <c r="K68" i="1"/>
  <c r="L68" i="1" s="1"/>
  <c r="M68" i="1" s="1"/>
  <c r="K66" i="1"/>
  <c r="L66" i="1" s="1"/>
  <c r="M66" i="1" s="1"/>
  <c r="K65" i="1"/>
  <c r="L65" i="1" s="1"/>
  <c r="M65" i="1" s="1"/>
  <c r="K71" i="1"/>
  <c r="L71" i="1" s="1"/>
  <c r="M71" i="1" s="1"/>
  <c r="K73" i="1"/>
  <c r="L73" i="1" s="1"/>
  <c r="M73" i="1" s="1"/>
  <c r="K74" i="1"/>
  <c r="L74" i="1" s="1"/>
  <c r="M74" i="1" s="1"/>
  <c r="K75" i="1"/>
  <c r="L75" i="1" s="1"/>
  <c r="M75" i="1" s="1"/>
  <c r="K63" i="1"/>
  <c r="L63" i="1" s="1"/>
  <c r="M63" i="1" s="1"/>
  <c r="K60" i="1"/>
  <c r="L60" i="1" s="1"/>
  <c r="M60" i="1" s="1"/>
  <c r="K56" i="1"/>
  <c r="L56" i="1" s="1"/>
  <c r="M56" i="1" s="1"/>
  <c r="I85" i="1" l="1"/>
  <c r="J85" i="1" s="1"/>
  <c r="K85" i="1" l="1"/>
  <c r="L85" i="1" s="1"/>
  <c r="M85" i="1" s="1"/>
  <c r="I54" i="1" l="1"/>
  <c r="J54" i="1" s="1"/>
  <c r="K54" i="1" l="1"/>
  <c r="L54" i="1" s="1"/>
  <c r="M54" i="1" s="1"/>
  <c r="I45" i="1" l="1"/>
  <c r="J45" i="1" s="1"/>
  <c r="K45" i="1" l="1"/>
  <c r="L45" i="1" s="1"/>
  <c r="M45" i="1" s="1"/>
  <c r="N45" i="1" s="1"/>
  <c r="I43" i="1" l="1"/>
  <c r="J43" i="1" s="1"/>
  <c r="K43" i="1" s="1"/>
  <c r="L43" i="1" s="1"/>
  <c r="M43" i="1" s="1"/>
  <c r="I41" i="1"/>
  <c r="J41" i="1" s="1"/>
  <c r="I40" i="1"/>
  <c r="J40" i="1" s="1"/>
  <c r="I39" i="1"/>
  <c r="J39" i="1" s="1"/>
  <c r="I38" i="1"/>
  <c r="J38" i="1" s="1"/>
  <c r="K41" i="1" l="1"/>
  <c r="L41" i="1" s="1"/>
  <c r="M41" i="1" s="1"/>
  <c r="N41" i="1" s="1"/>
  <c r="K40" i="1"/>
  <c r="L40" i="1" s="1"/>
  <c r="M40" i="1" s="1"/>
  <c r="K39" i="1"/>
  <c r="L39" i="1" s="1"/>
  <c r="M39" i="1" s="1"/>
  <c r="K38" i="1"/>
  <c r="L38" i="1" s="1"/>
  <c r="M38" i="1" s="1"/>
  <c r="I89" i="1"/>
  <c r="J89" i="1" s="1"/>
  <c r="I90" i="1"/>
  <c r="J90" i="1" s="1"/>
  <c r="K90" i="1" s="1"/>
  <c r="I58" i="1"/>
  <c r="J58" i="1" s="1"/>
  <c r="K58" i="1" s="1"/>
  <c r="L58" i="1" s="1"/>
  <c r="I59" i="1"/>
  <c r="J59" i="1" s="1"/>
  <c r="K59" i="1" s="1"/>
  <c r="I61" i="1"/>
  <c r="J61" i="1" s="1"/>
  <c r="K61" i="1" s="1"/>
  <c r="L61" i="1" s="1"/>
  <c r="M61" i="1" s="1"/>
  <c r="I83" i="1"/>
  <c r="J83" i="1" s="1"/>
  <c r="K83" i="1" s="1"/>
  <c r="N42" i="1" l="1"/>
  <c r="N43" i="1"/>
  <c r="M58" i="1"/>
  <c r="K89" i="1"/>
  <c r="L89" i="1" s="1"/>
  <c r="M89" i="1" s="1"/>
  <c r="L90" i="1"/>
  <c r="M90" i="1" s="1"/>
  <c r="L83" i="1"/>
  <c r="M83" i="1" s="1"/>
  <c r="L59" i="1"/>
  <c r="M59" i="1" s="1"/>
  <c r="I44" i="1" l="1"/>
  <c r="J44" i="1" s="1"/>
  <c r="I37" i="1"/>
  <c r="J37" i="1" s="1"/>
  <c r="I53" i="1"/>
  <c r="J53" i="1" s="1"/>
  <c r="K53" i="1" s="1"/>
  <c r="K44" i="1" l="1"/>
  <c r="L44" i="1" s="1"/>
  <c r="M44" i="1" s="1"/>
  <c r="N44" i="1" s="1"/>
  <c r="K37" i="1"/>
  <c r="L37" i="1" s="1"/>
  <c r="M37" i="1" s="1"/>
  <c r="L53" i="1"/>
  <c r="M53" i="1" s="1"/>
  <c r="N40" i="1" l="1"/>
  <c r="I91" i="1"/>
  <c r="J91" i="1" s="1"/>
  <c r="K91" i="1" l="1"/>
  <c r="L91" i="1" s="1"/>
  <c r="M91" i="1" s="1"/>
  <c r="I36" i="1" l="1"/>
  <c r="J36" i="1" s="1"/>
  <c r="K36" i="1" l="1"/>
  <c r="L36" i="1" s="1"/>
  <c r="M36" i="1" s="1"/>
  <c r="N36" i="1" l="1"/>
  <c r="N39" i="1"/>
  <c r="I35" i="1"/>
  <c r="J35" i="1" s="1"/>
  <c r="I34" i="1"/>
  <c r="J34" i="1" s="1"/>
  <c r="K35" i="1" l="1"/>
  <c r="L35" i="1" s="1"/>
  <c r="M35" i="1" s="1"/>
  <c r="K34" i="1"/>
  <c r="L34" i="1" s="1"/>
  <c r="M34" i="1" s="1"/>
  <c r="N37" i="1" s="1"/>
  <c r="N35" i="1" l="1"/>
  <c r="N38" i="1"/>
  <c r="I52" i="1"/>
  <c r="J52" i="1" s="1"/>
  <c r="K52" i="1" l="1"/>
  <c r="L52" i="1" s="1"/>
  <c r="M52" i="1" s="1"/>
  <c r="M51" i="1" s="1"/>
  <c r="N34" i="1" l="1"/>
  <c r="N32" i="1"/>
  <c r="I18" i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86" i="1" l="1"/>
  <c r="N87" i="1"/>
  <c r="N82" i="1"/>
  <c r="N79" i="1"/>
  <c r="N81" i="1"/>
  <c r="N68" i="1"/>
  <c r="N77" i="1"/>
  <c r="N78" i="1"/>
  <c r="N65" i="1"/>
  <c r="N66" i="1"/>
  <c r="N71" i="1"/>
  <c r="N75" i="1"/>
  <c r="N74" i="1"/>
  <c r="N73" i="1"/>
  <c r="N56" i="1"/>
  <c r="N60" i="1"/>
  <c r="N63" i="1"/>
  <c r="N85" i="1"/>
  <c r="N54" i="1"/>
  <c r="N90" i="1"/>
  <c r="N89" i="1"/>
  <c r="N58" i="1"/>
  <c r="N61" i="1"/>
  <c r="N59" i="1"/>
  <c r="N83" i="1"/>
  <c r="N91" i="1"/>
  <c r="N52" i="1"/>
  <c r="N19" i="1"/>
  <c r="N18" i="1"/>
  <c r="N23" i="1"/>
  <c r="N21" i="1"/>
  <c r="N26" i="1"/>
  <c r="N20" i="1"/>
  <c r="N27" i="1"/>
  <c r="N25" i="1"/>
  <c r="N24" i="1"/>
  <c r="N28" i="1"/>
  <c r="N22" i="1"/>
  <c r="N17" i="1"/>
  <c r="J93" i="1"/>
  <c r="S95" i="1" s="1"/>
  <c r="N16" i="1" l="1"/>
</calcChain>
</file>

<file path=xl/sharedStrings.xml><?xml version="1.0" encoding="utf-8"?>
<sst xmlns="http://schemas.openxmlformats.org/spreadsheetml/2006/main" count="392" uniqueCount="172">
  <si>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</si>
  <si>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</si>
  <si>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</si>
  <si>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</si>
  <si>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</si>
  <si>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</si>
  <si>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</si>
  <si>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</si>
  <si>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</si>
  <si>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</si>
  <si>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</si>
  <si>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</si>
  <si>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</si>
  <si>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</si>
  <si>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</si>
  <si>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</si>
  <si>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</si>
  <si>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</si>
  <si>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</si>
  <si>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</si>
  <si>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</si>
  <si>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</si>
  <si>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</si>
  <si>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</si>
  <si>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</si>
  <si>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</si>
  <si>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</si>
  <si>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</si>
  <si>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</si>
  <si>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</si>
  <si>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</si>
  <si>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</si>
  <si>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</si>
  <si>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</si>
  <si>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</si>
  <si>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</si>
  <si>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</si>
  <si>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</si>
  <si>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</si>
  <si>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</si>
  <si>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</si>
  <si>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</si>
  <si>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</si>
  <si>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</si>
  <si>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</si>
  <si>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</si>
  <si>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</si>
  <si>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</si>
  <si>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</si>
  <si>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</si>
  <si>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</si>
  <si>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</si>
  <si>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</si>
  <si>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</si>
  <si>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</si>
  <si>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</si>
  <si>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</si>
  <si>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</si>
  <si>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</si>
  <si>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</si>
  <si>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</si>
  <si>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</si>
  <si>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</si>
  <si>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</si>
  <si>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</si>
  <si>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</si>
  <si>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</si>
  <si>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</si>
  <si>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</si>
  <si>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</si>
  <si>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</si>
  <si>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</si>
  <si>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</si>
  <si>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</si>
  <si>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</si>
  <si>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</si>
  <si>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</si>
  <si>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</si>
  <si>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</si>
  <si>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</si>
  <si>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</si>
  <si>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2.8</t>
  </si>
  <si>
    <t>2.9</t>
  </si>
  <si>
    <t>2.13</t>
  </si>
  <si>
    <t>2.20</t>
  </si>
  <si>
    <t>SELANTE ELASTICO MONOCOMPONENTE A BASE DE POLIURETANO (PU) PARA JUNTAS DIVERSAS</t>
  </si>
  <si>
    <t>TORNEIRA METALICA CROMADA PARA JARDIM / TANQUE, COM BICO PLASTICO, CANO LONGO, DE PAREDE, PADRAO POPULAR / USO GERAL , 1/2 " OU 3/4 " (REF 1153 / 1130)</t>
  </si>
  <si>
    <t>CIMENTO PORTLAND COMPOSTO CP II-32</t>
  </si>
  <si>
    <t>3.1</t>
  </si>
  <si>
    <t>3.3</t>
  </si>
  <si>
    <t>3.4</t>
  </si>
  <si>
    <t>MANTA ASFALTICA ELASTOMERICA EM POLIESTER ALUMINIZADA 3 MM, TIPO III, CLASSE B (NBR 9952)</t>
  </si>
  <si>
    <t>M2</t>
  </si>
  <si>
    <t>2.21</t>
  </si>
  <si>
    <t>2.25</t>
  </si>
  <si>
    <t>2.33</t>
  </si>
  <si>
    <t>2.35</t>
  </si>
  <si>
    <t>2.36</t>
  </si>
  <si>
    <t>3.5</t>
  </si>
  <si>
    <t>m²</t>
  </si>
  <si>
    <t>3.6</t>
  </si>
  <si>
    <t>3.7</t>
  </si>
  <si>
    <t>PINTURA COM TINTA ALQUÍDICA DE ACABAMENTO (ESMALTE SINTÉTICO BRILHANTE) APLICADA A ROLO OU PINCEL SOBRE SUPERFÍCIES METÁLICAS (EXCETO PERFIL) EXECUTADO EM OBRA (POR DEMÃO). AF_01/2020</t>
  </si>
  <si>
    <t>3.8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</si>
  <si>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</si>
  <si>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</si>
  <si>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</si>
  <si>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M</t>
  </si>
  <si>
    <t>8.01.02</t>
  </si>
  <si>
    <t>FDE</t>
  </si>
  <si>
    <t>ALUGUEL CAÇAMBA 4M3</t>
  </si>
  <si>
    <t>3.2</t>
  </si>
  <si>
    <t>SIFAO / TUBO SINFONADO EXTENSIVEL/SANFONADO, UNIVERSAL/ SIMPLES, ENTRE *50 A 70* CM, DE PLASTICO BRANCO</t>
  </si>
  <si>
    <t>APLICAÇÃO MANUAL DE PINTURA COM TINTA LÁTEX ACRÍLICA EM TETO, DUAS DEMÃOS. AF_06/2014</t>
  </si>
  <si>
    <t xml:space="preserve"> 88489 </t>
  </si>
  <si>
    <t>PINTURA LÁTEX ACRÍLICA PREMIUM, APLICAÇÃO MANUAL EM PAREDES, DUAS DEMÃOS. AF_04/2023</t>
  </si>
  <si>
    <t>APLICAÇÃO DE FUNDO SELADOR ACRÍLICO EM PAREDES, UMA DEMÃO. AF_06/2014</t>
  </si>
  <si>
    <t>3.9</t>
  </si>
  <si>
    <t>3.10</t>
  </si>
  <si>
    <t>3.11</t>
  </si>
  <si>
    <t>3.12</t>
  </si>
  <si>
    <t>3.13</t>
  </si>
  <si>
    <t>3.14</t>
  </si>
  <si>
    <t>3.15</t>
  </si>
  <si>
    <t>PEDRA BRITADA N. 0, OU PEDRISCO (4,8 A 9,5 MM) POSTO PEDREIRA/FORNECEDOR, SEM FRETE</t>
  </si>
  <si>
    <t>m3</t>
  </si>
  <si>
    <t>PARAFUSO ZINCADO, AUTOBROCANTE, FLANGEADO, 4,2 MM X 19 MM</t>
  </si>
  <si>
    <t>CENTO</t>
  </si>
  <si>
    <t>ENGATE/RABICHO FLEXIVEL PLASTICO (PVC OU ABS) BRANCO 1/2 " X 40 CM</t>
  </si>
  <si>
    <t>FITA VEDA ROSCA EM ROLOS DE 18 MM X 50 M (L X C)</t>
  </si>
  <si>
    <t>CHAPA/PAINEL DE MADEIRA COMPENSADA PLASTIFICADA (MADEIRITE PLASTIFICADO) PARA FORMA DE CONCRETO, DE 2200 x 1100 MM, E = *17* MM</t>
  </si>
  <si>
    <t>TRANSPORTE COM CAMINHÃO BASCULANTE DE 10 M³, EM VIA URBANA EM LEITO NATURAL (UNIDADE: M3XKM). AF_07/2020</t>
  </si>
  <si>
    <t>M3XKM</t>
  </si>
  <si>
    <t>AREIA FINA - POSTO JAZIDA/FORNECEDOR (RETIRADO NA JAZIDA, SEM TRANSPORTE)</t>
  </si>
  <si>
    <t>TELA DE ACO SOLDADA NERVURADA, CA-60, Q-92, (1,48 KG/M2), DIAMETRO DO FIO = 4,2 MM, LARGURA = 2,45 X 60 M DE COMPRIMENTO, ESPACAMENTO DA MALHA = 15 X 15 CM</t>
  </si>
  <si>
    <t>PAREDE COM PLACAS DE GESSO ACARTONADO (DRYWALL), PARA USO INTERNO COM DUAS FACES DUPLAS E ESTRUTURA METÁLICA COM GUIAS DUPLAS, SEM VÃOS. AF_06/2017</t>
  </si>
  <si>
    <t>KIT DE PORTA-PRONTA DE MADEIRA EM ACABAMENTO MELAMÍNICO BRANCO, FOLHA LEVE OU MÉDIA, 80X210CM, EXCLUSIVE FECHADURA, FIXAÇÃO COM PREENCHIMENTO PARCIAL DE ESPUMA EXPANSIVA - FORNECIMENTO E INSTALAÇÃO. AF_12/2019</t>
  </si>
  <si>
    <t>INSTALAÇÃO DIVISORIA DCAM</t>
  </si>
  <si>
    <t>PINTURA DEPARTAMENTO DE EDUCAÇÃO ESPECIAL( Brinquedoteca e laboratorio formação docente)</t>
  </si>
  <si>
    <t>PINTURA DE DEMARCAÇÃO DE VAGA COM TINTA ACRÍLICA, E = 10 CM, APLICAÇÃO MANUAL. AF_05/2021</t>
  </si>
  <si>
    <t>PINTURA DE SÍMBOLOS E TEXTOS COM TINTA ACRÍLICA, DEMARCAÇÃO COM FITA ADESIVA E APLICAÇÃO COM ROLO. AF_05/2021</t>
  </si>
  <si>
    <t>PINTURA DE FAIXA DE PEDESTRE OU ZEBRADA COM TINTA ACRÍLICA, E = 30 CM, APLICAÇÃO MANUAL. AF_05/2021</t>
  </si>
  <si>
    <t>PINTURA SALA DE APOIO AT-4.</t>
  </si>
  <si>
    <t>PINTURA DCF SALA 01, SALA 02 e ENTRADAS</t>
  </si>
  <si>
    <t>PINTURA SINALIZAÇÃO HORIZONTAL</t>
  </si>
  <si>
    <t>PINTURA DCF: LABORATORIO E COZINHA</t>
  </si>
  <si>
    <t>2.37</t>
  </si>
  <si>
    <t>2.38</t>
  </si>
  <si>
    <t>APLICAÇÃO MANUAL DE MASSA ACRÍLICA EM PAREDES EXTERNAS DE CASAS, UMA DEMÃO. AF_05/2017</t>
  </si>
  <si>
    <t>3.16</t>
  </si>
  <si>
    <t>3.17</t>
  </si>
  <si>
    <t>PINTURA VIDRARIA</t>
  </si>
  <si>
    <t>3.18</t>
  </si>
  <si>
    <t>3.19</t>
  </si>
  <si>
    <t>PINTURA NUCLEO DOS PROFESSORES</t>
  </si>
  <si>
    <t>PINTURA ESTATISTICA</t>
  </si>
  <si>
    <t>PINTURA COM TINTA ALQUÍDICA DE ACABAMENTO (ESMALTE SINTÉTICO FOSCO) APLICADA A ROLO OU PINCEL SOBRE SUPERFÍCIES METÁLICAS (EXCETO PERFIL) EXECUTADO EM OBRA (02 DEMÃOS). AF_01/2020</t>
  </si>
  <si>
    <t>PINTURA DEPARTAMENTO DE QUIMICA</t>
  </si>
  <si>
    <t>PINTURA DE PORTA DEPARTAMENTO DE QUIMICA</t>
  </si>
  <si>
    <t>PINTURA DE PISO COM TINTA ACRÍLICA, APLICAÇÃO MANUAL, 3 DEMÃOS, INCLUSO FUNDO PREPARADOR. AF_05/2021</t>
  </si>
  <si>
    <t>ASSENTO SANITARIO DE PLASTICO, TIPO CONVENCIONAL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</si>
  <si>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</si>
  <si>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</si>
  <si>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</si>
  <si>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</si>
  <si>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</si>
  <si>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</si>
  <si>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</si>
  <si>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</si>
  <si>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</si>
  <si>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</si>
  <si>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SETEMBRO/2023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</si>
</sst>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333333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b/>
      <sz val="8"/>
      <color theme="4"/>
      <name val="Calibri"/>
      <family val="2"/>
      <scheme val="minor"/>
    </font>
    <font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5" borderId="1" applyProtection="0"/>
    <xf numFmtId="0" fontId="17" fillId="0" borderId="0" applyBorder="0" applyProtection="0"/>
  </cellStyleXfs>
  <cellXfs count="169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5" fillId="0" borderId="0" xfId="0" applyFont="1"/>
    <xf numFmtId="0" fontId="15" fillId="0" borderId="24" xfId="0" applyFont="1" applyBorder="1"/>
    <xf numFmtId="0" fontId="15" fillId="0" borderId="24" xfId="0" applyFont="1" applyBorder="1" applyAlignment="1">
      <alignment vertical="center"/>
    </xf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4" fontId="13" fillId="0" borderId="16" xfId="2" applyNumberFormat="1" applyFont="1" applyFill="1" applyBorder="1" applyAlignment="1" applyProtection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left" vertical="top" wrapText="1"/>
    </xf>
    <xf numFmtId="2" fontId="19" fillId="0" borderId="24" xfId="0" applyNumberFormat="1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center"/>
    </xf>
    <xf numFmtId="0" fontId="13" fillId="6" borderId="24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21" fillId="2" borderId="24" xfId="1" applyFont="1" applyBorder="1"/>
    <xf numFmtId="0" fontId="18" fillId="0" borderId="39" xfId="0" applyFont="1" applyBorder="1" applyAlignment="1">
      <alignment vertical="top"/>
    </xf>
    <xf numFmtId="0" fontId="22" fillId="0" borderId="11" xfId="0" applyFont="1" applyBorder="1" applyAlignment="1">
      <alignment vertical="top"/>
    </xf>
    <xf numFmtId="0" fontId="13" fillId="0" borderId="24" xfId="1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/>
    </xf>
    <xf numFmtId="0" fontId="13" fillId="0" borderId="24" xfId="0" applyFont="1" applyBorder="1"/>
    <xf numFmtId="0" fontId="13" fillId="0" borderId="24" xfId="5" applyFont="1" applyFill="1" applyBorder="1" applyAlignment="1" applyProtection="1">
      <alignment horizontal="center" vertical="center"/>
    </xf>
    <xf numFmtId="0" fontId="20" fillId="0" borderId="24" xfId="0" applyFont="1" applyBorder="1"/>
    <xf numFmtId="0" fontId="13" fillId="0" borderId="24" xfId="0" applyFont="1" applyBorder="1" applyAlignment="1">
      <alignment horizontal="left" vertical="center" wrapText="1"/>
    </xf>
    <xf numFmtId="2" fontId="18" fillId="0" borderId="24" xfId="5" applyNumberFormat="1" applyFont="1" applyFill="1" applyBorder="1" applyAlignment="1" applyProtection="1">
      <alignment horizontal="center" vertical="center"/>
    </xf>
    <xf numFmtId="4" fontId="13" fillId="0" borderId="24" xfId="6" applyNumberFormat="1" applyFont="1" applyBorder="1" applyAlignment="1" applyProtection="1">
      <alignment horizontal="center" vertical="center"/>
    </xf>
    <xf numFmtId="2" fontId="13" fillId="6" borderId="24" xfId="0" applyNumberFormat="1" applyFont="1" applyFill="1" applyBorder="1" applyAlignment="1">
      <alignment horizontal="center" vertical="center" wrapText="1"/>
    </xf>
    <xf numFmtId="4" fontId="23" fillId="0" borderId="24" xfId="2" applyNumberFormat="1" applyFont="1" applyBorder="1" applyAlignment="1" applyProtection="1">
      <alignment horizontal="center" vertical="center"/>
    </xf>
    <xf numFmtId="2" fontId="24" fillId="0" borderId="24" xfId="5" applyNumberFormat="1" applyFont="1" applyFill="1" applyBorder="1" applyAlignment="1" applyProtection="1">
      <alignment horizontal="center" vertical="center"/>
    </xf>
    <xf numFmtId="4" fontId="24" fillId="0" borderId="24" xfId="2" applyNumberFormat="1" applyFont="1" applyBorder="1" applyAlignment="1" applyProtection="1">
      <alignment horizontal="center" vertical="center"/>
    </xf>
    <xf numFmtId="2" fontId="24" fillId="0" borderId="24" xfId="1" applyNumberFormat="1" applyFont="1" applyFill="1" applyBorder="1" applyAlignment="1">
      <alignment horizontal="center" vertical="center"/>
    </xf>
    <xf numFmtId="0" fontId="24" fillId="0" borderId="24" xfId="1" applyFont="1" applyFill="1" applyBorder="1" applyAlignment="1">
      <alignment horizontal="center" vertical="center"/>
    </xf>
    <xf numFmtId="2" fontId="23" fillId="0" borderId="24" xfId="2" applyNumberFormat="1" applyFont="1" applyBorder="1" applyAlignment="1" applyProtection="1">
      <alignment horizontal="center" vertical="center"/>
    </xf>
    <xf numFmtId="4" fontId="24" fillId="0" borderId="24" xfId="0" applyNumberFormat="1" applyFont="1" applyBorder="1" applyAlignment="1">
      <alignment horizontal="center" vertical="center" wrapText="1"/>
    </xf>
    <xf numFmtId="4" fontId="24" fillId="4" borderId="15" xfId="0" applyNumberFormat="1" applyFont="1" applyFill="1" applyBorder="1" applyAlignment="1">
      <alignment horizontal="center" vertical="center" wrapText="1"/>
    </xf>
    <xf numFmtId="4" fontId="24" fillId="4" borderId="24" xfId="0" applyNumberFormat="1" applyFont="1" applyFill="1" applyBorder="1" applyAlignment="1">
      <alignment horizontal="center" vertical="center" wrapText="1"/>
    </xf>
    <xf numFmtId="0" fontId="24" fillId="6" borderId="24" xfId="0" applyFont="1" applyFill="1" applyBorder="1" applyAlignment="1">
      <alignment horizontal="center" vertical="center" wrapText="1"/>
    </xf>
    <xf numFmtId="4" fontId="15" fillId="0" borderId="0" xfId="0" applyNumberFormat="1" applyFont="1"/>
    <xf numFmtId="43" fontId="0" fillId="0" borderId="0" xfId="0" applyNumberFormat="1"/>
    <xf numFmtId="4" fontId="25" fillId="0" borderId="24" xfId="6" applyNumberFormat="1" applyFont="1" applyBorder="1" applyAlignment="1" applyProtection="1">
      <alignment horizontal="center" vertical="center"/>
    </xf>
    <xf numFmtId="4" fontId="18" fillId="0" borderId="16" xfId="2" applyNumberFormat="1" applyFont="1" applyFill="1" applyBorder="1" applyAlignment="1" applyProtection="1">
      <alignment horizontal="left" vertical="center"/>
    </xf>
    <xf numFmtId="4" fontId="18" fillId="0" borderId="14" xfId="2" applyNumberFormat="1" applyFont="1" applyFill="1" applyBorder="1" applyAlignment="1" applyProtection="1">
      <alignment horizontal="left" vertical="center"/>
    </xf>
    <xf numFmtId="4" fontId="18" fillId="0" borderId="15" xfId="2" applyNumberFormat="1" applyFont="1" applyFill="1" applyBorder="1" applyAlignment="1" applyProtection="1">
      <alignment horizontal="left" vertical="center"/>
    </xf>
    <xf numFmtId="4" fontId="18" fillId="0" borderId="24" xfId="2" applyNumberFormat="1" applyFont="1" applyFill="1" applyBorder="1" applyAlignment="1" applyProtection="1">
      <alignment horizontal="left" vertic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2" fillId="0" borderId="11" xfId="0" applyNumberFormat="1" applyFont="1" applyBorder="1" applyAlignment="1">
      <alignment horizontal="center" vertical="top"/>
    </xf>
    <xf numFmtId="0" fontId="22" fillId="0" borderId="11" xfId="0" applyFont="1" applyBorder="1" applyAlignment="1">
      <alignment horizontal="center" vertical="top"/>
    </xf>
    <xf numFmtId="0" fontId="22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</cellXfs>
  <cellStyles count="7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8%20Ago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2"/>
  <sheetViews>
    <sheetView tabSelected="1" topLeftCell="F82" zoomScale="80" zoomScaleNormal="80" workbookViewId="0">
      <selection activeCell="S95" sqref="S95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9" max="19" width="11.28515625" bestFit="1" customWidth="1"/>
  </cols>
  <sheetData>
    <row r="1" spans="1:15" ht="17.100000000000001" customHeight="1" x14ac:dyDescent="0.25">
      <c r="A1" s="96" t="s">
        <v>0</v>
      </c>
      <c r="B1" s="97"/>
      <c r="C1" s="97"/>
      <c r="D1" s="97"/>
      <c r="E1" s="97"/>
      <c r="F1" s="97"/>
      <c r="G1" s="97"/>
      <c r="H1" s="97"/>
      <c r="I1" s="98"/>
      <c r="J1" s="105" t="s">
        <v>1</v>
      </c>
      <c r="K1" s="105"/>
      <c r="L1" s="105"/>
      <c r="M1" s="105"/>
      <c r="N1" s="105"/>
      <c r="O1" s="106"/>
    </row>
    <row r="2" spans="1:15" ht="17.100000000000001" customHeight="1" x14ac:dyDescent="0.25">
      <c r="A2" s="99"/>
      <c r="B2" s="100"/>
      <c r="C2" s="100"/>
      <c r="D2" s="100"/>
      <c r="E2" s="100"/>
      <c r="F2" s="100"/>
      <c r="G2" s="100"/>
      <c r="H2" s="100"/>
      <c r="I2" s="101"/>
      <c r="J2" s="107" t="s">
        <v>2</v>
      </c>
      <c r="K2" s="107"/>
      <c r="L2" s="107"/>
      <c r="M2" s="107"/>
      <c r="N2" s="107"/>
      <c r="O2" s="108"/>
    </row>
    <row r="3" spans="1:15" ht="17.100000000000001" customHeight="1" x14ac:dyDescent="0.25">
      <c r="A3" s="99"/>
      <c r="B3" s="100"/>
      <c r="C3" s="100"/>
      <c r="D3" s="100"/>
      <c r="E3" s="100"/>
      <c r="F3" s="100"/>
      <c r="G3" s="100"/>
      <c r="H3" s="100"/>
      <c r="I3" s="101"/>
      <c r="J3" s="107" t="s">
        <v>3</v>
      </c>
      <c r="K3" s="107"/>
      <c r="L3" s="107"/>
      <c r="M3" s="107" t="s">
        <v>4</v>
      </c>
      <c r="N3" s="107"/>
      <c r="O3" s="1"/>
    </row>
    <row r="4" spans="1:15" ht="17.100000000000001" customHeight="1" x14ac:dyDescent="0.25">
      <c r="A4" s="99"/>
      <c r="B4" s="100"/>
      <c r="C4" s="100"/>
      <c r="D4" s="100"/>
      <c r="E4" s="100"/>
      <c r="F4" s="100"/>
      <c r="G4" s="100"/>
      <c r="H4" s="100"/>
      <c r="I4" s="101"/>
      <c r="J4" s="107" t="s">
        <v>5</v>
      </c>
      <c r="K4" s="107"/>
      <c r="L4" s="107"/>
      <c r="M4" s="107" t="s">
        <v>6</v>
      </c>
      <c r="N4" s="107"/>
      <c r="O4" s="2"/>
    </row>
    <row r="5" spans="1:15" ht="17.100000000000001" customHeight="1" x14ac:dyDescent="0.25">
      <c r="A5" s="99"/>
      <c r="B5" s="100"/>
      <c r="C5" s="100"/>
      <c r="D5" s="100"/>
      <c r="E5" s="100"/>
      <c r="F5" s="100"/>
      <c r="G5" s="100"/>
      <c r="H5" s="100"/>
      <c r="I5" s="101"/>
      <c r="J5" s="107" t="s">
        <v>7</v>
      </c>
      <c r="K5" s="107"/>
      <c r="L5" s="107"/>
      <c r="M5" s="107" t="s">
        <v>8</v>
      </c>
      <c r="N5" s="107"/>
      <c r="O5" s="1"/>
    </row>
    <row r="6" spans="1:15" ht="17.100000000000001" customHeight="1" x14ac:dyDescent="0.25">
      <c r="A6" s="102"/>
      <c r="B6" s="103"/>
      <c r="C6" s="103"/>
      <c r="D6" s="103"/>
      <c r="E6" s="103"/>
      <c r="F6" s="103"/>
      <c r="G6" s="103"/>
      <c r="H6" s="103"/>
      <c r="I6" s="104"/>
      <c r="J6" s="107" t="s">
        <v>9</v>
      </c>
      <c r="K6" s="107"/>
      <c r="L6" s="107"/>
      <c r="M6" s="107" t="s">
        <v>10</v>
      </c>
      <c r="N6" s="107"/>
      <c r="O6" s="1"/>
    </row>
    <row r="7" spans="1:15" ht="17.100000000000001" customHeight="1" x14ac:dyDescent="0.25">
      <c r="A7" s="80" t="s">
        <v>11</v>
      </c>
      <c r="B7" s="81"/>
      <c r="C7" s="81"/>
      <c r="D7" s="81"/>
      <c r="E7" s="81"/>
      <c r="F7" s="81"/>
      <c r="G7" s="81"/>
      <c r="H7" s="81"/>
      <c r="I7" s="82"/>
      <c r="J7" s="83" t="s">
        <v>55</v>
      </c>
      <c r="K7" s="84"/>
      <c r="L7" s="84"/>
      <c r="M7" s="84"/>
      <c r="N7" s="85"/>
      <c r="O7" s="86" t="s">
        <v>12</v>
      </c>
    </row>
    <row r="8" spans="1:15" ht="17.100000000000001" customHeight="1" x14ac:dyDescent="0.25">
      <c r="A8" s="87" t="s">
        <v>171</v>
      </c>
      <c r="B8" s="88"/>
      <c r="C8" s="88"/>
      <c r="D8" s="88"/>
      <c r="E8" s="88"/>
      <c r="F8" s="88"/>
      <c r="G8" s="88"/>
      <c r="H8" s="88"/>
      <c r="I8" s="89"/>
      <c r="J8" s="83" t="s">
        <v>13</v>
      </c>
      <c r="K8" s="84"/>
      <c r="L8" s="84"/>
      <c r="M8" s="84"/>
      <c r="N8" s="85"/>
      <c r="O8" s="86"/>
    </row>
    <row r="9" spans="1:15" ht="17.100000000000001" customHeight="1" x14ac:dyDescent="0.25">
      <c r="A9" s="90"/>
      <c r="B9" s="91"/>
      <c r="C9" s="91"/>
      <c r="D9" s="91"/>
      <c r="E9" s="91"/>
      <c r="F9" s="91"/>
      <c r="G9" s="91"/>
      <c r="H9" s="91"/>
      <c r="I9" s="92"/>
      <c r="J9" s="83" t="s">
        <v>14</v>
      </c>
      <c r="K9" s="84"/>
      <c r="L9" s="84"/>
      <c r="M9" s="84"/>
      <c r="N9" s="85"/>
      <c r="O9" s="86"/>
    </row>
    <row r="10" spans="1:15" ht="17.100000000000001" customHeight="1" x14ac:dyDescent="0.25">
      <c r="A10" s="90"/>
      <c r="B10" s="91"/>
      <c r="C10" s="91"/>
      <c r="D10" s="91"/>
      <c r="E10" s="91"/>
      <c r="F10" s="91"/>
      <c r="G10" s="91"/>
      <c r="H10" s="91"/>
      <c r="I10" s="92"/>
      <c r="J10" s="83" t="s">
        <v>15</v>
      </c>
      <c r="K10" s="84"/>
      <c r="L10" s="84"/>
      <c r="M10" s="84"/>
      <c r="N10" s="85"/>
      <c r="O10" s="86"/>
    </row>
    <row r="11" spans="1:15" ht="17.100000000000001" customHeight="1" x14ac:dyDescent="0.25">
      <c r="A11" s="90"/>
      <c r="B11" s="91"/>
      <c r="C11" s="91"/>
      <c r="D11" s="91"/>
      <c r="E11" s="91"/>
      <c r="F11" s="91"/>
      <c r="G11" s="91"/>
      <c r="H11" s="91"/>
      <c r="I11" s="92"/>
      <c r="J11" s="83" t="s">
        <v>54</v>
      </c>
      <c r="K11" s="84"/>
      <c r="L11" s="84"/>
      <c r="M11" s="84"/>
      <c r="N11" s="85"/>
      <c r="O11" s="86"/>
    </row>
    <row r="12" spans="1:15" ht="17.100000000000001" customHeight="1" x14ac:dyDescent="0.25">
      <c r="A12" s="90"/>
      <c r="B12" s="91"/>
      <c r="C12" s="91"/>
      <c r="D12" s="91"/>
      <c r="E12" s="91"/>
      <c r="F12" s="91"/>
      <c r="G12" s="91"/>
      <c r="H12" s="91"/>
      <c r="I12" s="92"/>
      <c r="J12" s="83" t="s">
        <v>106</v>
      </c>
      <c r="K12" s="84"/>
      <c r="L12" s="84"/>
      <c r="M12" s="84"/>
      <c r="N12" s="85"/>
      <c r="O12" s="86"/>
    </row>
    <row r="13" spans="1:15" ht="17.100000000000001" customHeight="1" x14ac:dyDescent="0.25">
      <c r="A13" s="93"/>
      <c r="B13" s="94"/>
      <c r="C13" s="94"/>
      <c r="D13" s="94"/>
      <c r="E13" s="94"/>
      <c r="F13" s="94"/>
      <c r="G13" s="94"/>
      <c r="H13" s="94"/>
      <c r="I13" s="95"/>
      <c r="J13" s="83" t="s">
        <v>105</v>
      </c>
      <c r="K13" s="84"/>
      <c r="L13" s="84"/>
      <c r="M13" s="84"/>
      <c r="N13" s="85"/>
      <c r="O13" s="86"/>
    </row>
    <row r="14" spans="1:15" ht="17.100000000000001" customHeight="1" x14ac:dyDescent="0.25">
      <c r="A14" s="109" t="s">
        <v>16</v>
      </c>
      <c r="B14" s="111" t="s">
        <v>17</v>
      </c>
      <c r="C14" s="111" t="s">
        <v>18</v>
      </c>
      <c r="D14" s="111" t="s">
        <v>19</v>
      </c>
      <c r="E14" s="111" t="s">
        <v>20</v>
      </c>
      <c r="F14" s="111" t="s">
        <v>21</v>
      </c>
      <c r="G14" s="111" t="s">
        <v>22</v>
      </c>
      <c r="H14" s="113" t="s">
        <v>23</v>
      </c>
      <c r="I14" s="113"/>
      <c r="J14" s="113"/>
      <c r="K14" s="113"/>
      <c r="L14" s="114"/>
      <c r="M14" s="111" t="s">
        <v>24</v>
      </c>
      <c r="N14" s="111" t="s">
        <v>25</v>
      </c>
      <c r="O14" s="86" t="s">
        <v>26</v>
      </c>
    </row>
    <row r="15" spans="1:15" ht="17.100000000000001" customHeight="1" x14ac:dyDescent="0.25">
      <c r="A15" s="110"/>
      <c r="B15" s="112"/>
      <c r="C15" s="112"/>
      <c r="D15" s="112"/>
      <c r="E15" s="112"/>
      <c r="F15" s="112"/>
      <c r="G15" s="112"/>
      <c r="H15" s="3" t="s">
        <v>27</v>
      </c>
      <c r="I15" s="4" t="s">
        <v>28</v>
      </c>
      <c r="J15" s="3" t="s">
        <v>29</v>
      </c>
      <c r="K15" s="4" t="s">
        <v>56</v>
      </c>
      <c r="L15" s="3" t="s">
        <v>30</v>
      </c>
      <c r="M15" s="112"/>
      <c r="N15" s="112"/>
      <c r="O15" s="86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76571.628321988799</v>
      </c>
      <c r="N16" s="10">
        <f>SUM(N17:N28)</f>
        <v>1</v>
      </c>
      <c r="O16" s="86"/>
    </row>
    <row r="17" spans="1:15" ht="26.25" customHeight="1" x14ac:dyDescent="0.25">
      <c r="A17" s="17" t="s">
        <v>32</v>
      </c>
      <c r="B17" s="17" t="s">
        <v>33</v>
      </c>
      <c r="C17" s="11" t="s">
        <v>66</v>
      </c>
      <c r="D17" s="11" t="s">
        <v>34</v>
      </c>
      <c r="E17" s="20" t="s">
        <v>67</v>
      </c>
      <c r="F17" s="13" t="s">
        <v>35</v>
      </c>
      <c r="G17" s="17">
        <v>102</v>
      </c>
      <c r="H17" s="63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4797.0761892768005</v>
      </c>
      <c r="N17" s="14">
        <f>M17/M$16</f>
        <v>6.2648219639587333E-2</v>
      </c>
      <c r="O17" s="115"/>
    </row>
    <row r="18" spans="1:15" ht="26.25" customHeight="1" x14ac:dyDescent="0.25">
      <c r="A18" s="17" t="s">
        <v>70</v>
      </c>
      <c r="B18" s="17" t="s">
        <v>33</v>
      </c>
      <c r="C18" s="11" t="s">
        <v>58</v>
      </c>
      <c r="D18" s="11" t="s">
        <v>34</v>
      </c>
      <c r="E18" s="20" t="s">
        <v>59</v>
      </c>
      <c r="F18" s="13" t="s">
        <v>35</v>
      </c>
      <c r="G18" s="17">
        <v>198</v>
      </c>
      <c r="H18" s="63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8050.5213188400003</v>
      </c>
      <c r="N18" s="14">
        <f t="shared" ref="N18:N28" si="5">M18/M$16</f>
        <v>0.10513713101394451</v>
      </c>
      <c r="O18" s="115"/>
    </row>
    <row r="19" spans="1:15" ht="26.25" customHeight="1" x14ac:dyDescent="0.25">
      <c r="A19" s="17" t="s">
        <v>71</v>
      </c>
      <c r="B19" s="17" t="s">
        <v>33</v>
      </c>
      <c r="C19" s="11" t="s">
        <v>58</v>
      </c>
      <c r="D19" s="11" t="s">
        <v>34</v>
      </c>
      <c r="E19" s="20" t="s">
        <v>59</v>
      </c>
      <c r="F19" s="13" t="s">
        <v>35</v>
      </c>
      <c r="G19" s="17">
        <v>180</v>
      </c>
      <c r="H19" s="63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7318.6557444</v>
      </c>
      <c r="N19" s="14">
        <f t="shared" si="5"/>
        <v>9.5579210012676816E-2</v>
      </c>
      <c r="O19" s="115"/>
    </row>
    <row r="20" spans="1:15" ht="26.25" customHeight="1" x14ac:dyDescent="0.25">
      <c r="A20" s="17" t="s">
        <v>72</v>
      </c>
      <c r="B20" s="17" t="s">
        <v>33</v>
      </c>
      <c r="C20" s="11" t="s">
        <v>60</v>
      </c>
      <c r="D20" s="11" t="s">
        <v>34</v>
      </c>
      <c r="E20" s="20" t="s">
        <v>61</v>
      </c>
      <c r="F20" s="13" t="s">
        <v>35</v>
      </c>
      <c r="G20" s="17">
        <v>180</v>
      </c>
      <c r="H20" s="63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6290.7422909759998</v>
      </c>
      <c r="N20" s="14">
        <f t="shared" si="5"/>
        <v>8.2155002170294839E-2</v>
      </c>
      <c r="O20" s="115"/>
    </row>
    <row r="21" spans="1:15" ht="26.25" customHeight="1" x14ac:dyDescent="0.25">
      <c r="A21" s="17" t="s">
        <v>73</v>
      </c>
      <c r="B21" s="17" t="s">
        <v>33</v>
      </c>
      <c r="C21" s="11" t="s">
        <v>60</v>
      </c>
      <c r="D21" s="11" t="s">
        <v>34</v>
      </c>
      <c r="E21" s="20" t="s">
        <v>61</v>
      </c>
      <c r="F21" s="13" t="s">
        <v>35</v>
      </c>
      <c r="G21" s="17">
        <v>180</v>
      </c>
      <c r="H21" s="63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6290.7422909759998</v>
      </c>
      <c r="N21" s="14">
        <f t="shared" si="5"/>
        <v>8.2155002170294839E-2</v>
      </c>
      <c r="O21" s="115"/>
    </row>
    <row r="22" spans="1:15" ht="26.25" customHeight="1" x14ac:dyDescent="0.25">
      <c r="A22" s="17" t="s">
        <v>74</v>
      </c>
      <c r="B22" s="17" t="s">
        <v>33</v>
      </c>
      <c r="C22" s="11" t="s">
        <v>62</v>
      </c>
      <c r="D22" s="11" t="s">
        <v>34</v>
      </c>
      <c r="E22" s="20" t="s">
        <v>63</v>
      </c>
      <c r="F22" s="13" t="s">
        <v>35</v>
      </c>
      <c r="G22" s="17">
        <v>180</v>
      </c>
      <c r="H22" s="63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6953.2732320480009</v>
      </c>
      <c r="N22" s="14">
        <f t="shared" si="5"/>
        <v>9.0807435918810867E-2</v>
      </c>
      <c r="O22" s="115"/>
    </row>
    <row r="23" spans="1:15" ht="26.25" customHeight="1" x14ac:dyDescent="0.25">
      <c r="A23" s="17" t="s">
        <v>75</v>
      </c>
      <c r="B23" s="17" t="s">
        <v>33</v>
      </c>
      <c r="C23" s="11" t="s">
        <v>62</v>
      </c>
      <c r="D23" s="11" t="s">
        <v>34</v>
      </c>
      <c r="E23" s="20" t="s">
        <v>63</v>
      </c>
      <c r="F23" s="13" t="s">
        <v>35</v>
      </c>
      <c r="G23" s="17">
        <v>180</v>
      </c>
      <c r="H23" s="63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6953.2732320480009</v>
      </c>
      <c r="N23" s="14">
        <f t="shared" si="5"/>
        <v>9.0807435918810867E-2</v>
      </c>
      <c r="O23" s="115"/>
    </row>
    <row r="24" spans="1:15" ht="26.25" customHeight="1" x14ac:dyDescent="0.25">
      <c r="A24" s="17" t="s">
        <v>76</v>
      </c>
      <c r="B24" s="17" t="s">
        <v>33</v>
      </c>
      <c r="C24" s="11" t="s">
        <v>64</v>
      </c>
      <c r="D24" s="11" t="s">
        <v>34</v>
      </c>
      <c r="E24" s="20" t="s">
        <v>65</v>
      </c>
      <c r="F24" s="13" t="s">
        <v>35</v>
      </c>
      <c r="G24" s="17">
        <v>180</v>
      </c>
      <c r="H24" s="63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5986.9905638399996</v>
      </c>
      <c r="N24" s="14">
        <f t="shared" si="5"/>
        <v>7.8188105634430363E-2</v>
      </c>
      <c r="O24" s="115"/>
    </row>
    <row r="25" spans="1:15" ht="26.25" customHeight="1" x14ac:dyDescent="0.25">
      <c r="A25" s="17" t="s">
        <v>77</v>
      </c>
      <c r="B25" s="17" t="s">
        <v>33</v>
      </c>
      <c r="C25" s="11" t="s">
        <v>64</v>
      </c>
      <c r="D25" s="11" t="s">
        <v>34</v>
      </c>
      <c r="E25" s="20" t="s">
        <v>65</v>
      </c>
      <c r="F25" s="13" t="s">
        <v>35</v>
      </c>
      <c r="G25" s="17">
        <v>180</v>
      </c>
      <c r="H25" s="63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5986.9905638399996</v>
      </c>
      <c r="N25" s="14">
        <f t="shared" si="5"/>
        <v>7.8188105634430363E-2</v>
      </c>
      <c r="O25" s="115"/>
    </row>
    <row r="26" spans="1:15" ht="26.25" customHeight="1" x14ac:dyDescent="0.25">
      <c r="A26" s="17" t="s">
        <v>78</v>
      </c>
      <c r="B26" s="17" t="s">
        <v>33</v>
      </c>
      <c r="C26" s="11" t="s">
        <v>64</v>
      </c>
      <c r="D26" s="11" t="s">
        <v>34</v>
      </c>
      <c r="E26" s="20" t="s">
        <v>65</v>
      </c>
      <c r="F26" s="13" t="s">
        <v>35</v>
      </c>
      <c r="G26" s="17">
        <v>180</v>
      </c>
      <c r="H26" s="63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5986.9905638399996</v>
      </c>
      <c r="N26" s="14">
        <f t="shared" si="5"/>
        <v>7.8188105634430363E-2</v>
      </c>
      <c r="O26" s="115"/>
    </row>
    <row r="27" spans="1:15" ht="26.25" customHeight="1" x14ac:dyDescent="0.25">
      <c r="A27" s="17" t="s">
        <v>79</v>
      </c>
      <c r="B27" s="17" t="s">
        <v>33</v>
      </c>
      <c r="C27" s="11" t="s">
        <v>68</v>
      </c>
      <c r="D27" s="11" t="s">
        <v>34</v>
      </c>
      <c r="E27" s="12" t="s">
        <v>69</v>
      </c>
      <c r="F27" s="13" t="s">
        <v>35</v>
      </c>
      <c r="G27" s="17">
        <v>180</v>
      </c>
      <c r="H27" s="63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5978.186165952</v>
      </c>
      <c r="N27" s="14">
        <f t="shared" si="5"/>
        <v>7.8073123126144436E-2</v>
      </c>
      <c r="O27" s="115"/>
    </row>
    <row r="28" spans="1:15" ht="26.25" customHeight="1" x14ac:dyDescent="0.25">
      <c r="A28" s="17" t="s">
        <v>80</v>
      </c>
      <c r="B28" s="17" t="s">
        <v>33</v>
      </c>
      <c r="C28" s="11" t="s">
        <v>68</v>
      </c>
      <c r="D28" s="11" t="s">
        <v>34</v>
      </c>
      <c r="E28" s="12" t="s">
        <v>69</v>
      </c>
      <c r="F28" s="13" t="s">
        <v>35</v>
      </c>
      <c r="G28" s="17">
        <v>180</v>
      </c>
      <c r="H28" s="63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5978.186165952</v>
      </c>
      <c r="N28" s="14">
        <f t="shared" si="5"/>
        <v>7.8073123126144436E-2</v>
      </c>
      <c r="O28" s="115"/>
    </row>
    <row r="29" spans="1:15" x14ac:dyDescent="0.25">
      <c r="A29" s="109" t="s">
        <v>16</v>
      </c>
      <c r="B29" s="111" t="s">
        <v>17</v>
      </c>
      <c r="C29" s="111" t="s">
        <v>18</v>
      </c>
      <c r="D29" s="111" t="s">
        <v>19</v>
      </c>
      <c r="E29" s="111" t="s">
        <v>20</v>
      </c>
      <c r="F29" s="111" t="s">
        <v>21</v>
      </c>
      <c r="G29" s="111" t="s">
        <v>22</v>
      </c>
      <c r="H29" s="113" t="s">
        <v>23</v>
      </c>
      <c r="I29" s="113"/>
      <c r="J29" s="113"/>
      <c r="K29" s="113"/>
      <c r="L29" s="114"/>
      <c r="M29" s="111" t="s">
        <v>24</v>
      </c>
      <c r="N29" s="111" t="s">
        <v>25</v>
      </c>
      <c r="O29" s="115"/>
    </row>
    <row r="30" spans="1:15" ht="17.100000000000001" customHeight="1" x14ac:dyDescent="0.25">
      <c r="A30" s="110"/>
      <c r="B30" s="112"/>
      <c r="C30" s="112"/>
      <c r="D30" s="112"/>
      <c r="E30" s="112"/>
      <c r="F30" s="112"/>
      <c r="G30" s="112"/>
      <c r="H30" s="3" t="s">
        <v>27</v>
      </c>
      <c r="I30" s="26" t="s">
        <v>36</v>
      </c>
      <c r="J30" s="3" t="s">
        <v>29</v>
      </c>
      <c r="K30" s="4" t="s">
        <v>56</v>
      </c>
      <c r="L30" s="3" t="s">
        <v>30</v>
      </c>
      <c r="M30" s="112"/>
      <c r="N30" s="112"/>
      <c r="O30" s="86"/>
    </row>
    <row r="31" spans="1:15" ht="17.100000000000001" customHeight="1" x14ac:dyDescent="0.25">
      <c r="A31" s="15">
        <v>2</v>
      </c>
      <c r="B31" s="116" t="s">
        <v>37</v>
      </c>
      <c r="C31" s="116"/>
      <c r="D31" s="117"/>
      <c r="E31" s="117"/>
      <c r="F31" s="117"/>
      <c r="G31" s="16"/>
      <c r="H31" s="16"/>
      <c r="I31" s="16"/>
      <c r="J31" s="16"/>
      <c r="K31" s="16"/>
      <c r="L31" s="16"/>
      <c r="M31" s="22">
        <f>SUM(M32:M46)</f>
        <v>11758.150008446401</v>
      </c>
      <c r="N31" s="16"/>
      <c r="O31" s="115"/>
    </row>
    <row r="32" spans="1:15" s="29" customFormat="1" ht="16.5" customHeight="1" x14ac:dyDescent="0.2">
      <c r="A32" s="54" t="s">
        <v>146</v>
      </c>
      <c r="B32" s="54" t="s">
        <v>53</v>
      </c>
      <c r="C32" s="57">
        <v>366</v>
      </c>
      <c r="D32" s="54" t="s">
        <v>34</v>
      </c>
      <c r="E32" s="56" t="s">
        <v>133</v>
      </c>
      <c r="F32" s="54" t="s">
        <v>125</v>
      </c>
      <c r="G32" s="57">
        <v>25</v>
      </c>
      <c r="H32" s="64">
        <v>60</v>
      </c>
      <c r="I32" s="75">
        <f>H32*0.1532</f>
        <v>9.1920000000000002</v>
      </c>
      <c r="J32" s="61">
        <f t="shared" ref="J32:J33" si="6">H32+I32</f>
        <v>69.192000000000007</v>
      </c>
      <c r="K32" s="61">
        <f t="shared" ref="K32:K33" si="7">J32*(0.03%)</f>
        <v>2.0757600000000001E-2</v>
      </c>
      <c r="L32" s="61">
        <f t="shared" ref="L32:L33" si="8">J32-K32</f>
        <v>69.171242400000011</v>
      </c>
      <c r="M32" s="61">
        <f t="shared" ref="M32:M33" si="9">L32*G32</f>
        <v>1729.2810600000003</v>
      </c>
      <c r="N32" s="39">
        <f t="shared" ref="N32:N33" si="10">M32/M31</f>
        <v>0.14707084522291186</v>
      </c>
      <c r="O32" s="115"/>
    </row>
    <row r="33" spans="1:15" s="29" customFormat="1" ht="16.5" customHeight="1" x14ac:dyDescent="0.2">
      <c r="A33" s="54" t="s">
        <v>147</v>
      </c>
      <c r="B33" s="54" t="s">
        <v>53</v>
      </c>
      <c r="C33" s="57">
        <v>21141</v>
      </c>
      <c r="D33" s="54" t="s">
        <v>34</v>
      </c>
      <c r="E33" s="56" t="s">
        <v>134</v>
      </c>
      <c r="F33" s="54" t="s">
        <v>125</v>
      </c>
      <c r="G33" s="57">
        <v>12</v>
      </c>
      <c r="H33" s="64">
        <v>12.58</v>
      </c>
      <c r="I33" s="75">
        <f>H33*0.1532</f>
        <v>1.9272560000000001</v>
      </c>
      <c r="J33" s="61">
        <f t="shared" si="6"/>
        <v>14.507256</v>
      </c>
      <c r="K33" s="61">
        <f t="shared" si="7"/>
        <v>4.3521767999999995E-3</v>
      </c>
      <c r="L33" s="61">
        <f t="shared" si="8"/>
        <v>14.5029038232</v>
      </c>
      <c r="M33" s="61">
        <f t="shared" si="9"/>
        <v>174.03484587840001</v>
      </c>
      <c r="N33" s="39">
        <f t="shared" si="10"/>
        <v>0.10063999999999999</v>
      </c>
      <c r="O33" s="115"/>
    </row>
    <row r="34" spans="1:15" s="29" customFormat="1" ht="17.100000000000001" customHeight="1" x14ac:dyDescent="0.2">
      <c r="A34" s="54" t="s">
        <v>50</v>
      </c>
      <c r="B34" s="54" t="s">
        <v>53</v>
      </c>
      <c r="C34" s="55">
        <v>142</v>
      </c>
      <c r="D34" s="54" t="s">
        <v>34</v>
      </c>
      <c r="E34" s="56" t="s">
        <v>85</v>
      </c>
      <c r="F34" s="54" t="s">
        <v>21</v>
      </c>
      <c r="G34" s="54">
        <v>60</v>
      </c>
      <c r="H34" s="65">
        <v>34.53</v>
      </c>
      <c r="I34" s="39">
        <f t="shared" ref="I34" si="11">H34*0.1532</f>
        <v>5.2899960000000004</v>
      </c>
      <c r="J34" s="39">
        <f t="shared" ref="J34" si="12">H34+I34</f>
        <v>39.819996000000003</v>
      </c>
      <c r="K34" s="39">
        <f t="shared" ref="K34" si="13">J34*(0.03%)</f>
        <v>1.19459988E-2</v>
      </c>
      <c r="L34" s="39">
        <f t="shared" ref="L34" si="14">J34-K34</f>
        <v>39.808050001200002</v>
      </c>
      <c r="M34" s="39">
        <f t="shared" ref="M34" si="15">L34*G34</f>
        <v>2388.4830000720003</v>
      </c>
      <c r="N34" s="39">
        <f>M34/M31</f>
        <v>0.20313425142188585</v>
      </c>
      <c r="O34" s="115"/>
    </row>
    <row r="35" spans="1:15" s="29" customFormat="1" ht="17.100000000000001" customHeight="1" x14ac:dyDescent="0.2">
      <c r="A35" s="54" t="s">
        <v>51</v>
      </c>
      <c r="B35" s="54" t="s">
        <v>53</v>
      </c>
      <c r="C35" s="54">
        <v>11762</v>
      </c>
      <c r="D35" s="54" t="s">
        <v>34</v>
      </c>
      <c r="E35" s="25" t="s">
        <v>86</v>
      </c>
      <c r="F35" s="54" t="s">
        <v>21</v>
      </c>
      <c r="G35" s="54">
        <v>5</v>
      </c>
      <c r="H35" s="66">
        <v>56.5</v>
      </c>
      <c r="I35" s="39">
        <f t="shared" ref="I35" si="16">H35*0.1532</f>
        <v>8.6557999999999993</v>
      </c>
      <c r="J35" s="39">
        <f t="shared" ref="J35" si="17">H35+I35</f>
        <v>65.155799999999999</v>
      </c>
      <c r="K35" s="39">
        <f t="shared" ref="K35" si="18">J35*(0.03%)</f>
        <v>1.9546739999999996E-2</v>
      </c>
      <c r="L35" s="39">
        <f t="shared" ref="L35" si="19">J35-K35</f>
        <v>65.136253260000004</v>
      </c>
      <c r="M35" s="39">
        <f t="shared" ref="M35" si="20">L35*G35</f>
        <v>325.6812663</v>
      </c>
      <c r="N35" s="39">
        <f t="shared" ref="N35:N45" si="21">M35/M32</f>
        <v>0.1883333333333333</v>
      </c>
      <c r="O35" s="115"/>
    </row>
    <row r="36" spans="1:15" s="29" customFormat="1" ht="17.100000000000001" customHeight="1" x14ac:dyDescent="0.2">
      <c r="A36" s="54" t="s">
        <v>52</v>
      </c>
      <c r="B36" s="54" t="s">
        <v>53</v>
      </c>
      <c r="C36" s="54">
        <v>11621</v>
      </c>
      <c r="D36" s="54" t="s">
        <v>34</v>
      </c>
      <c r="E36" s="31" t="s">
        <v>91</v>
      </c>
      <c r="F36" s="54" t="s">
        <v>92</v>
      </c>
      <c r="G36" s="54">
        <v>30</v>
      </c>
      <c r="H36" s="66">
        <v>57.96</v>
      </c>
      <c r="I36" s="39">
        <f t="shared" ref="I36" si="22">H36*0.1532</f>
        <v>8.8794719999999998</v>
      </c>
      <c r="J36" s="39">
        <f t="shared" ref="J36" si="23">H36+I36</f>
        <v>66.839472000000001</v>
      </c>
      <c r="K36" s="39">
        <f t="shared" ref="K36" si="24">J36*(0.03%)</f>
        <v>2.0051841599999998E-2</v>
      </c>
      <c r="L36" s="39">
        <f t="shared" ref="L36" si="25">J36-K36</f>
        <v>66.819420158400007</v>
      </c>
      <c r="M36" s="39">
        <f t="shared" ref="M36" si="26">L36*G36</f>
        <v>2004.5826047520002</v>
      </c>
      <c r="N36" s="39">
        <f t="shared" si="21"/>
        <v>11.518282988871224</v>
      </c>
      <c r="O36" s="115"/>
    </row>
    <row r="37" spans="1:15" s="29" customFormat="1" ht="17.100000000000001" customHeight="1" x14ac:dyDescent="0.2">
      <c r="A37" s="54" t="s">
        <v>81</v>
      </c>
      <c r="B37" s="54" t="s">
        <v>53</v>
      </c>
      <c r="C37" s="55">
        <v>44945</v>
      </c>
      <c r="D37" s="54" t="s">
        <v>34</v>
      </c>
      <c r="E37" s="56" t="s">
        <v>112</v>
      </c>
      <c r="F37" s="54" t="s">
        <v>21</v>
      </c>
      <c r="G37" s="54">
        <v>10</v>
      </c>
      <c r="H37" s="67">
        <v>10.8</v>
      </c>
      <c r="I37" s="39">
        <f t="shared" ref="I37:I44" si="27">H37*0.1532</f>
        <v>1.65456</v>
      </c>
      <c r="J37" s="39">
        <f t="shared" ref="J37:J45" si="28">H37+I37</f>
        <v>12.454560000000001</v>
      </c>
      <c r="K37" s="39">
        <f t="shared" ref="K37:K45" si="29">J37*(0.03%)</f>
        <v>3.7363679999999999E-3</v>
      </c>
      <c r="L37" s="39">
        <f t="shared" ref="L37:L45" si="30">J37-K37</f>
        <v>12.450823632000001</v>
      </c>
      <c r="M37" s="39">
        <f t="shared" ref="M37:M38" si="31">L37*G37</f>
        <v>124.50823632000001</v>
      </c>
      <c r="N37" s="39">
        <f t="shared" si="21"/>
        <v>5.2128583840139006E-2</v>
      </c>
      <c r="O37" s="115"/>
    </row>
    <row r="38" spans="1:15" s="29" customFormat="1" ht="17.100000000000001" customHeight="1" x14ac:dyDescent="0.2">
      <c r="A38" s="54" t="s">
        <v>82</v>
      </c>
      <c r="B38" s="54" t="s">
        <v>53</v>
      </c>
      <c r="C38" s="54">
        <v>4720</v>
      </c>
      <c r="D38" s="54" t="s">
        <v>34</v>
      </c>
      <c r="E38" s="58" t="s">
        <v>124</v>
      </c>
      <c r="F38" s="54" t="s">
        <v>125</v>
      </c>
      <c r="G38" s="54">
        <v>3</v>
      </c>
      <c r="H38" s="66">
        <v>80.39</v>
      </c>
      <c r="I38" s="39">
        <f t="shared" si="27"/>
        <v>12.315748000000001</v>
      </c>
      <c r="J38" s="39">
        <f t="shared" si="28"/>
        <v>92.705748</v>
      </c>
      <c r="K38" s="39">
        <f t="shared" si="29"/>
        <v>2.7811724399999998E-2</v>
      </c>
      <c r="L38" s="39">
        <f t="shared" si="30"/>
        <v>92.677936275600004</v>
      </c>
      <c r="M38" s="39">
        <f t="shared" si="31"/>
        <v>278.0338088268</v>
      </c>
      <c r="N38" s="39">
        <f t="shared" si="21"/>
        <v>0.85369911504424778</v>
      </c>
      <c r="O38" s="115"/>
    </row>
    <row r="39" spans="1:15" s="29" customFormat="1" ht="17.100000000000001" customHeight="1" x14ac:dyDescent="0.2">
      <c r="A39" s="54" t="s">
        <v>83</v>
      </c>
      <c r="B39" s="54" t="s">
        <v>53</v>
      </c>
      <c r="C39" s="54">
        <v>40547</v>
      </c>
      <c r="D39" s="54" t="s">
        <v>34</v>
      </c>
      <c r="E39" s="56" t="s">
        <v>126</v>
      </c>
      <c r="F39" s="54" t="s">
        <v>127</v>
      </c>
      <c r="G39" s="54">
        <v>3</v>
      </c>
      <c r="H39" s="65">
        <v>29.16</v>
      </c>
      <c r="I39" s="39">
        <f t="shared" ref="I39:I43" si="32">H39*0.1532</f>
        <v>4.4673119999999997</v>
      </c>
      <c r="J39" s="39">
        <f t="shared" ref="J39:J43" si="33">H39+I39</f>
        <v>33.627312000000003</v>
      </c>
      <c r="K39" s="39">
        <f t="shared" ref="K39:K43" si="34">J39*(0.03%)</f>
        <v>1.00881936E-2</v>
      </c>
      <c r="L39" s="39">
        <f t="shared" ref="L39:L43" si="35">J39-K39</f>
        <v>33.617223806400006</v>
      </c>
      <c r="M39" s="39">
        <f t="shared" ref="M39:M43" si="36">L39*G39</f>
        <v>100.85167141920002</v>
      </c>
      <c r="N39" s="39">
        <f t="shared" si="21"/>
        <v>5.0310559006211182E-2</v>
      </c>
      <c r="O39" s="115"/>
    </row>
    <row r="40" spans="1:15" s="29" customFormat="1" ht="17.100000000000001" customHeight="1" x14ac:dyDescent="0.2">
      <c r="A40" s="54" t="s">
        <v>84</v>
      </c>
      <c r="B40" s="54" t="s">
        <v>53</v>
      </c>
      <c r="C40" s="54">
        <v>11681</v>
      </c>
      <c r="D40" s="54" t="s">
        <v>34</v>
      </c>
      <c r="E40" s="32" t="s">
        <v>128</v>
      </c>
      <c r="F40" s="54" t="s">
        <v>21</v>
      </c>
      <c r="G40" s="54">
        <v>10</v>
      </c>
      <c r="H40" s="66">
        <v>8.24</v>
      </c>
      <c r="I40" s="39">
        <f t="shared" si="32"/>
        <v>1.2623680000000002</v>
      </c>
      <c r="J40" s="39">
        <f t="shared" si="33"/>
        <v>9.5023680000000006</v>
      </c>
      <c r="K40" s="39">
        <f t="shared" si="34"/>
        <v>2.8507103999999999E-3</v>
      </c>
      <c r="L40" s="39">
        <f t="shared" si="35"/>
        <v>9.4995172896</v>
      </c>
      <c r="M40" s="39">
        <f t="shared" si="36"/>
        <v>94.995172896</v>
      </c>
      <c r="N40" s="39">
        <f t="shared" si="21"/>
        <v>0.76296296296296295</v>
      </c>
      <c r="O40" s="115"/>
    </row>
    <row r="41" spans="1:15" s="29" customFormat="1" ht="17.100000000000001" customHeight="1" x14ac:dyDescent="0.2">
      <c r="A41" s="54" t="s">
        <v>93</v>
      </c>
      <c r="B41" s="54" t="s">
        <v>53</v>
      </c>
      <c r="C41" s="54">
        <v>3148</v>
      </c>
      <c r="D41" s="54" t="s">
        <v>34</v>
      </c>
      <c r="E41" s="31" t="s">
        <v>129</v>
      </c>
      <c r="F41" s="54" t="s">
        <v>21</v>
      </c>
      <c r="G41" s="54">
        <v>5</v>
      </c>
      <c r="H41" s="66">
        <v>8.77</v>
      </c>
      <c r="I41" s="39">
        <f t="shared" si="32"/>
        <v>1.343564</v>
      </c>
      <c r="J41" s="39">
        <f t="shared" si="33"/>
        <v>10.113564</v>
      </c>
      <c r="K41" s="39">
        <f t="shared" si="34"/>
        <v>3.0340692E-3</v>
      </c>
      <c r="L41" s="39">
        <f t="shared" si="35"/>
        <v>10.1105299308</v>
      </c>
      <c r="M41" s="39">
        <f t="shared" si="36"/>
        <v>50.552649654</v>
      </c>
      <c r="N41" s="39">
        <f t="shared" si="21"/>
        <v>0.18182195132064519</v>
      </c>
      <c r="O41" s="115"/>
    </row>
    <row r="42" spans="1:15" s="19" customFormat="1" ht="17.100000000000001" customHeight="1" x14ac:dyDescent="0.2">
      <c r="A42" s="18" t="s">
        <v>94</v>
      </c>
      <c r="B42" s="18" t="s">
        <v>53</v>
      </c>
      <c r="C42" s="23">
        <v>377</v>
      </c>
      <c r="D42" s="18" t="s">
        <v>34</v>
      </c>
      <c r="E42" s="25" t="s">
        <v>160</v>
      </c>
      <c r="F42" s="18" t="s">
        <v>21</v>
      </c>
      <c r="G42" s="18">
        <v>10</v>
      </c>
      <c r="H42" s="68">
        <v>41.71</v>
      </c>
      <c r="I42" s="14">
        <f t="shared" si="32"/>
        <v>6.3899720000000002</v>
      </c>
      <c r="J42" s="14">
        <f t="shared" si="33"/>
        <v>48.099972000000001</v>
      </c>
      <c r="K42" s="14">
        <f t="shared" si="34"/>
        <v>1.4429991599999999E-2</v>
      </c>
      <c r="L42" s="14">
        <f t="shared" si="35"/>
        <v>48.085542008400004</v>
      </c>
      <c r="M42" s="14">
        <f t="shared" si="36"/>
        <v>480.85542008400006</v>
      </c>
      <c r="N42" s="39">
        <f t="shared" si="21"/>
        <v>4.7679469593049841</v>
      </c>
      <c r="O42" s="115"/>
    </row>
    <row r="43" spans="1:15" s="29" customFormat="1" ht="17.100000000000001" customHeight="1" x14ac:dyDescent="0.2">
      <c r="A43" s="54" t="s">
        <v>95</v>
      </c>
      <c r="B43" s="54" t="s">
        <v>53</v>
      </c>
      <c r="C43" s="54">
        <v>1345</v>
      </c>
      <c r="D43" s="54" t="s">
        <v>34</v>
      </c>
      <c r="E43" s="32" t="s">
        <v>130</v>
      </c>
      <c r="F43" s="54" t="s">
        <v>21</v>
      </c>
      <c r="G43" s="54">
        <v>10</v>
      </c>
      <c r="H43" s="66">
        <v>73.19</v>
      </c>
      <c r="I43" s="39">
        <f t="shared" si="32"/>
        <v>11.212707999999999</v>
      </c>
      <c r="J43" s="39">
        <f t="shared" si="33"/>
        <v>84.40270799999999</v>
      </c>
      <c r="K43" s="39">
        <f t="shared" si="34"/>
        <v>2.5320812399999993E-2</v>
      </c>
      <c r="L43" s="39">
        <f t="shared" si="35"/>
        <v>84.377387187599993</v>
      </c>
      <c r="M43" s="39">
        <f t="shared" si="36"/>
        <v>843.77387187599993</v>
      </c>
      <c r="N43" s="39">
        <f t="shared" si="21"/>
        <v>8.882281553398057</v>
      </c>
      <c r="O43" s="115"/>
    </row>
    <row r="44" spans="1:15" s="29" customFormat="1" ht="17.100000000000001" customHeight="1" x14ac:dyDescent="0.2">
      <c r="A44" s="54" t="s">
        <v>96</v>
      </c>
      <c r="B44" s="54" t="s">
        <v>53</v>
      </c>
      <c r="C44" s="54">
        <v>1379</v>
      </c>
      <c r="D44" s="54" t="s">
        <v>34</v>
      </c>
      <c r="E44" s="25" t="s">
        <v>87</v>
      </c>
      <c r="F44" s="54" t="s">
        <v>21</v>
      </c>
      <c r="G44" s="54">
        <v>2500</v>
      </c>
      <c r="H44" s="66">
        <v>0.57999999999999996</v>
      </c>
      <c r="I44" s="39">
        <f t="shared" si="27"/>
        <v>8.8855999999999991E-2</v>
      </c>
      <c r="J44" s="39">
        <f t="shared" si="28"/>
        <v>0.6688559999999999</v>
      </c>
      <c r="K44" s="39">
        <f t="shared" si="29"/>
        <v>2.0065679999999996E-4</v>
      </c>
      <c r="L44" s="39">
        <f t="shared" si="30"/>
        <v>0.66865534319999986</v>
      </c>
      <c r="M44" s="39">
        <f t="shared" ref="M44:M45" si="37">L44*G44</f>
        <v>1671.6383579999997</v>
      </c>
      <c r="N44" s="39">
        <f t="shared" si="21"/>
        <v>33.067274800456097</v>
      </c>
      <c r="O44" s="115"/>
    </row>
    <row r="45" spans="1:15" s="30" customFormat="1" ht="16.5" customHeight="1" x14ac:dyDescent="0.2">
      <c r="A45" s="54" t="s">
        <v>97</v>
      </c>
      <c r="B45" s="54" t="s">
        <v>53</v>
      </c>
      <c r="C45" s="40" t="s">
        <v>108</v>
      </c>
      <c r="D45" s="40" t="s">
        <v>109</v>
      </c>
      <c r="E45" s="59" t="s">
        <v>110</v>
      </c>
      <c r="F45" s="40" t="s">
        <v>107</v>
      </c>
      <c r="G45" s="40">
        <v>3</v>
      </c>
      <c r="H45" s="69">
        <v>406.4</v>
      </c>
      <c r="I45" s="42">
        <f t="shared" ref="I45" si="38">H45*0.2232</f>
        <v>90.708479999999994</v>
      </c>
      <c r="J45" s="42">
        <f t="shared" si="28"/>
        <v>497.10847999999999</v>
      </c>
      <c r="K45" s="42">
        <f t="shared" si="29"/>
        <v>0.14913254399999998</v>
      </c>
      <c r="L45" s="42">
        <f t="shared" si="30"/>
        <v>496.95934745599999</v>
      </c>
      <c r="M45" s="42">
        <f t="shared" si="37"/>
        <v>1490.878042368</v>
      </c>
      <c r="N45" s="39">
        <f t="shared" si="21"/>
        <v>3.1004704950763795</v>
      </c>
      <c r="O45" s="115"/>
    </row>
    <row r="46" spans="1:15" s="29" customFormat="1" ht="16.5" customHeight="1" x14ac:dyDescent="0.2">
      <c r="A46" s="57"/>
      <c r="B46" s="57"/>
      <c r="C46" s="57"/>
      <c r="D46" s="57"/>
      <c r="E46" s="56"/>
      <c r="F46" s="54"/>
      <c r="G46" s="57"/>
      <c r="H46" s="60"/>
      <c r="I46" s="61"/>
      <c r="J46" s="61"/>
      <c r="K46" s="61"/>
      <c r="L46" s="61"/>
      <c r="M46" s="61"/>
      <c r="N46" s="61"/>
      <c r="O46" s="115"/>
    </row>
    <row r="47" spans="1:15" s="29" customFormat="1" ht="16.5" customHeight="1" x14ac:dyDescent="0.2">
      <c r="A47" s="57"/>
      <c r="B47" s="57"/>
      <c r="C47" s="57"/>
      <c r="D47" s="57"/>
      <c r="E47" s="56"/>
      <c r="F47" s="54"/>
      <c r="G47" s="57"/>
      <c r="H47" s="60"/>
      <c r="I47" s="61"/>
      <c r="J47" s="61"/>
      <c r="K47" s="61"/>
      <c r="L47" s="61"/>
      <c r="M47" s="61"/>
      <c r="N47" s="61"/>
      <c r="O47" s="115"/>
    </row>
    <row r="48" spans="1:15" s="19" customFormat="1" ht="17.100000000000001" customHeight="1" x14ac:dyDescent="0.2">
      <c r="A48" s="18"/>
      <c r="B48" s="18"/>
      <c r="C48" s="23"/>
      <c r="D48" s="18"/>
      <c r="E48" s="24"/>
      <c r="F48" s="18"/>
      <c r="G48" s="18"/>
      <c r="H48" s="27"/>
      <c r="I48" s="14"/>
      <c r="J48" s="14"/>
      <c r="K48" s="14"/>
      <c r="L48" s="14"/>
      <c r="M48" s="14"/>
      <c r="N48" s="14"/>
      <c r="O48" s="115"/>
    </row>
    <row r="49" spans="1:15" s="28" customFormat="1" ht="17.100000000000001" customHeight="1" x14ac:dyDescent="0.25">
      <c r="A49" s="118" t="s">
        <v>16</v>
      </c>
      <c r="B49" s="120" t="s">
        <v>17</v>
      </c>
      <c r="C49" s="120" t="s">
        <v>18</v>
      </c>
      <c r="D49" s="120" t="s">
        <v>19</v>
      </c>
      <c r="E49" s="120" t="s">
        <v>20</v>
      </c>
      <c r="F49" s="120" t="s">
        <v>21</v>
      </c>
      <c r="G49" s="120" t="s">
        <v>22</v>
      </c>
      <c r="H49" s="131" t="s">
        <v>23</v>
      </c>
      <c r="I49" s="131"/>
      <c r="J49" s="131"/>
      <c r="K49" s="131"/>
      <c r="L49" s="132"/>
      <c r="M49" s="120" t="s">
        <v>24</v>
      </c>
      <c r="N49" s="120" t="s">
        <v>25</v>
      </c>
      <c r="O49" s="86"/>
    </row>
    <row r="50" spans="1:15" s="28" customFormat="1" ht="17.100000000000001" customHeight="1" x14ac:dyDescent="0.25">
      <c r="A50" s="119"/>
      <c r="B50" s="121"/>
      <c r="C50" s="121"/>
      <c r="D50" s="121"/>
      <c r="E50" s="121"/>
      <c r="F50" s="121"/>
      <c r="G50" s="121"/>
      <c r="H50" s="4" t="s">
        <v>27</v>
      </c>
      <c r="I50" s="4" t="s">
        <v>28</v>
      </c>
      <c r="J50" s="4" t="s">
        <v>29</v>
      </c>
      <c r="K50" s="4" t="s">
        <v>57</v>
      </c>
      <c r="L50" s="4" t="s">
        <v>30</v>
      </c>
      <c r="M50" s="121"/>
      <c r="N50" s="121"/>
      <c r="O50" s="86"/>
    </row>
    <row r="51" spans="1:15" s="29" customFormat="1" ht="17.100000000000001" customHeight="1" x14ac:dyDescent="0.2">
      <c r="A51" s="33">
        <v>3</v>
      </c>
      <c r="B51" s="122" t="s">
        <v>38</v>
      </c>
      <c r="C51" s="123"/>
      <c r="D51" s="123"/>
      <c r="E51" s="123"/>
      <c r="F51" s="124"/>
      <c r="G51" s="34"/>
      <c r="H51" s="34"/>
      <c r="I51" s="34"/>
      <c r="J51" s="34"/>
      <c r="K51" s="34"/>
      <c r="L51" s="34"/>
      <c r="M51" s="35">
        <f>SUM(M52:M91)</f>
        <v>90979.412092647937</v>
      </c>
      <c r="N51" s="34"/>
      <c r="O51" s="86"/>
    </row>
    <row r="52" spans="1:15" s="29" customFormat="1" ht="26.25" customHeight="1" x14ac:dyDescent="0.2">
      <c r="A52" s="36" t="s">
        <v>88</v>
      </c>
      <c r="B52" s="36" t="s">
        <v>33</v>
      </c>
      <c r="C52" s="36" t="s">
        <v>62</v>
      </c>
      <c r="D52" s="36" t="s">
        <v>34</v>
      </c>
      <c r="E52" s="37" t="s">
        <v>63</v>
      </c>
      <c r="F52" s="38" t="s">
        <v>35</v>
      </c>
      <c r="G52" s="36">
        <v>180</v>
      </c>
      <c r="H52" s="65">
        <v>31.59</v>
      </c>
      <c r="I52" s="39">
        <f>H52*0.2232</f>
        <v>7.0508880000000005</v>
      </c>
      <c r="J52" s="39">
        <f>H52+I52</f>
        <v>38.640888000000004</v>
      </c>
      <c r="K52" s="39">
        <f>J52*(0.03%)</f>
        <v>1.1592266400000001E-2</v>
      </c>
      <c r="L52" s="39">
        <f>J52-K52</f>
        <v>38.629295733600003</v>
      </c>
      <c r="M52" s="39">
        <f>L52*G52</f>
        <v>6953.2732320480009</v>
      </c>
      <c r="N52" s="39">
        <f>M52/M$16</f>
        <v>9.0807435918810867E-2</v>
      </c>
      <c r="O52" s="115"/>
    </row>
    <row r="53" spans="1:15" s="29" customFormat="1" ht="23.25" customHeight="1" x14ac:dyDescent="0.2">
      <c r="A53" s="36" t="s">
        <v>111</v>
      </c>
      <c r="B53" s="36" t="s">
        <v>33</v>
      </c>
      <c r="C53" s="36" t="s">
        <v>64</v>
      </c>
      <c r="D53" s="36" t="s">
        <v>34</v>
      </c>
      <c r="E53" s="37" t="s">
        <v>65</v>
      </c>
      <c r="F53" s="38" t="s">
        <v>35</v>
      </c>
      <c r="G53" s="36">
        <v>180</v>
      </c>
      <c r="H53" s="65">
        <v>27.2</v>
      </c>
      <c r="I53" s="39">
        <f t="shared" ref="I53" si="39">H53*0.2232</f>
        <v>6.07104</v>
      </c>
      <c r="J53" s="39">
        <f t="shared" ref="J53" si="40">H53+I53</f>
        <v>33.271039999999999</v>
      </c>
      <c r="K53" s="39">
        <f t="shared" ref="K53" si="41">J53*(0.03%)</f>
        <v>9.9813119999999991E-3</v>
      </c>
      <c r="L53" s="39">
        <f t="shared" ref="L53" si="42">J53-K53</f>
        <v>33.261058687999999</v>
      </c>
      <c r="M53" s="39">
        <f t="shared" ref="M53" si="43">L53*G53</f>
        <v>5986.9905638399996</v>
      </c>
      <c r="N53" s="39"/>
      <c r="O53" s="115"/>
    </row>
    <row r="54" spans="1:15" s="29" customFormat="1" ht="23.25" customHeight="1" x14ac:dyDescent="0.2">
      <c r="A54" s="36" t="s">
        <v>89</v>
      </c>
      <c r="B54" s="36" t="s">
        <v>33</v>
      </c>
      <c r="C54" s="40">
        <v>93588</v>
      </c>
      <c r="D54" s="40" t="s">
        <v>34</v>
      </c>
      <c r="E54" s="41" t="s">
        <v>131</v>
      </c>
      <c r="F54" s="40" t="s">
        <v>132</v>
      </c>
      <c r="G54" s="40">
        <f>25*17</f>
        <v>425</v>
      </c>
      <c r="H54" s="69">
        <v>2.97</v>
      </c>
      <c r="I54" s="42">
        <f>H54*0.2232</f>
        <v>0.66290400000000005</v>
      </c>
      <c r="J54" s="42">
        <f>H54+I54</f>
        <v>3.6329040000000004</v>
      </c>
      <c r="K54" s="42">
        <f>J54*(0.03%)</f>
        <v>1.0898711999999999E-3</v>
      </c>
      <c r="L54" s="42">
        <f>J54-K54</f>
        <v>3.6318141288000003</v>
      </c>
      <c r="M54" s="42">
        <f>L54*G54</f>
        <v>1543.5210047400001</v>
      </c>
      <c r="N54" s="39">
        <f>M54/M$16</f>
        <v>2.0157870983876579E-2</v>
      </c>
      <c r="O54" s="115"/>
    </row>
    <row r="55" spans="1:15" s="29" customFormat="1" ht="23.25" customHeight="1" x14ac:dyDescent="0.2">
      <c r="A55" s="76" t="s">
        <v>158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8"/>
      <c r="O55" s="115"/>
    </row>
    <row r="56" spans="1:15" s="29" customFormat="1" ht="33" customHeight="1" x14ac:dyDescent="0.2">
      <c r="A56" s="43" t="s">
        <v>90</v>
      </c>
      <c r="B56" s="36" t="s">
        <v>33</v>
      </c>
      <c r="C56" s="44">
        <v>100746</v>
      </c>
      <c r="D56" s="44" t="s">
        <v>34</v>
      </c>
      <c r="E56" s="45" t="s">
        <v>102</v>
      </c>
      <c r="F56" s="44" t="s">
        <v>99</v>
      </c>
      <c r="G56" s="46">
        <f>2.1*0.82*2</f>
        <v>3.444</v>
      </c>
      <c r="H56" s="70">
        <v>30.1</v>
      </c>
      <c r="I56" s="42">
        <f t="shared" ref="I56" si="44">H56*0.2232</f>
        <v>6.7183200000000003</v>
      </c>
      <c r="J56" s="42">
        <f t="shared" ref="J56" si="45">H56+I56</f>
        <v>36.81832</v>
      </c>
      <c r="K56" s="42">
        <f t="shared" ref="K56" si="46">J56*(0.03%)</f>
        <v>1.1045495999999998E-2</v>
      </c>
      <c r="L56" s="42">
        <f t="shared" ref="L56" si="47">J56-K56</f>
        <v>36.807274503999999</v>
      </c>
      <c r="M56" s="42">
        <f t="shared" ref="M56" si="48">L56*G56</f>
        <v>126.76425339177599</v>
      </c>
      <c r="N56" s="39">
        <f t="shared" ref="N56" si="49">M56/M$16</f>
        <v>1.655498990549396E-3</v>
      </c>
      <c r="O56" s="115"/>
    </row>
    <row r="57" spans="1:15" s="29" customFormat="1" ht="23.25" customHeight="1" x14ac:dyDescent="0.2">
      <c r="A57" s="76" t="s">
        <v>137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8"/>
      <c r="O57" s="115"/>
    </row>
    <row r="58" spans="1:15" s="29" customFormat="1" ht="23.25" customHeight="1" x14ac:dyDescent="0.2">
      <c r="A58" s="43" t="s">
        <v>98</v>
      </c>
      <c r="B58" s="36" t="s">
        <v>33</v>
      </c>
      <c r="C58" s="44">
        <v>96368</v>
      </c>
      <c r="D58" s="44" t="s">
        <v>34</v>
      </c>
      <c r="E58" s="45" t="s">
        <v>135</v>
      </c>
      <c r="F58" s="44" t="s">
        <v>99</v>
      </c>
      <c r="G58" s="44">
        <v>30.84</v>
      </c>
      <c r="H58" s="70">
        <v>165.43</v>
      </c>
      <c r="I58" s="42">
        <f t="shared" ref="I58:I83" si="50">H58*0.2232</f>
        <v>36.923976000000003</v>
      </c>
      <c r="J58" s="42">
        <f t="shared" ref="J58:J83" si="51">H58+I58</f>
        <v>202.35397600000002</v>
      </c>
      <c r="K58" s="42">
        <f t="shared" ref="K58:K83" si="52">J58*(0.03%)</f>
        <v>6.0706192800000003E-2</v>
      </c>
      <c r="L58" s="42">
        <f t="shared" ref="L58:L83" si="53">J58-K58</f>
        <v>202.29326980720001</v>
      </c>
      <c r="M58" s="42">
        <f t="shared" ref="M58:M83" si="54">L58*G58</f>
        <v>6238.7244408540482</v>
      </c>
      <c r="N58" s="39">
        <f t="shared" ref="N58:N83" si="55">M58/M$16</f>
        <v>8.1475666347590209E-2</v>
      </c>
      <c r="O58" s="115"/>
    </row>
    <row r="59" spans="1:15" s="29" customFormat="1" ht="23.25" customHeight="1" x14ac:dyDescent="0.2">
      <c r="A59" s="43" t="s">
        <v>100</v>
      </c>
      <c r="B59" s="36" t="s">
        <v>33</v>
      </c>
      <c r="C59" s="44" t="s">
        <v>114</v>
      </c>
      <c r="D59" s="44" t="s">
        <v>34</v>
      </c>
      <c r="E59" s="45" t="s">
        <v>115</v>
      </c>
      <c r="F59" s="44" t="s">
        <v>99</v>
      </c>
      <c r="G59" s="44">
        <v>61.69</v>
      </c>
      <c r="H59" s="70">
        <v>14.03</v>
      </c>
      <c r="I59" s="42">
        <f t="shared" si="50"/>
        <v>3.1314959999999998</v>
      </c>
      <c r="J59" s="42">
        <f t="shared" si="51"/>
        <v>17.161496</v>
      </c>
      <c r="K59" s="42">
        <f t="shared" si="52"/>
        <v>5.1484487999999993E-3</v>
      </c>
      <c r="L59" s="42">
        <f t="shared" si="53"/>
        <v>17.1563475512</v>
      </c>
      <c r="M59" s="42">
        <f t="shared" si="54"/>
        <v>1058.375080433528</v>
      </c>
      <c r="N59" s="39">
        <f t="shared" si="55"/>
        <v>1.3822026560320623E-2</v>
      </c>
      <c r="O59" s="115"/>
    </row>
    <row r="60" spans="1:15" s="29" customFormat="1" ht="23.25" customHeight="1" x14ac:dyDescent="0.2">
      <c r="A60" s="43" t="s">
        <v>101</v>
      </c>
      <c r="B60" s="36" t="s">
        <v>33</v>
      </c>
      <c r="C60" s="44">
        <v>88485</v>
      </c>
      <c r="D60" s="44" t="s">
        <v>34</v>
      </c>
      <c r="E60" s="45" t="s">
        <v>116</v>
      </c>
      <c r="F60" s="44" t="s">
        <v>99</v>
      </c>
      <c r="G60" s="44">
        <v>61.69</v>
      </c>
      <c r="H60" s="70">
        <v>4.84</v>
      </c>
      <c r="I60" s="42">
        <f t="shared" ref="I60" si="56">H60*0.2232</f>
        <v>1.0802879999999999</v>
      </c>
      <c r="J60" s="42">
        <f t="shared" ref="J60" si="57">H60+I60</f>
        <v>5.9202879999999993</v>
      </c>
      <c r="K60" s="42">
        <f t="shared" ref="K60" si="58">J60*(0.03%)</f>
        <v>1.7760863999999996E-3</v>
      </c>
      <c r="L60" s="42">
        <f t="shared" ref="L60" si="59">J60-K60</f>
        <v>5.9185119135999997</v>
      </c>
      <c r="M60" s="42">
        <f t="shared" ref="M60" si="60">L60*G60</f>
        <v>365.11299994998399</v>
      </c>
      <c r="N60" s="39">
        <f t="shared" ref="N60" si="61">M60/M$16</f>
        <v>4.7682543515289956E-3</v>
      </c>
      <c r="O60" s="115"/>
    </row>
    <row r="61" spans="1:15" s="29" customFormat="1" ht="23.25" customHeight="1" x14ac:dyDescent="0.2">
      <c r="A61" s="43" t="s">
        <v>103</v>
      </c>
      <c r="B61" s="36" t="s">
        <v>33</v>
      </c>
      <c r="C61" s="44">
        <v>90790</v>
      </c>
      <c r="D61" s="44" t="s">
        <v>34</v>
      </c>
      <c r="E61" s="45" t="s">
        <v>136</v>
      </c>
      <c r="F61" s="44" t="s">
        <v>21</v>
      </c>
      <c r="G61" s="44">
        <v>2</v>
      </c>
      <c r="H61" s="70">
        <v>916.71</v>
      </c>
      <c r="I61" s="42">
        <f t="shared" si="50"/>
        <v>204.60967200000002</v>
      </c>
      <c r="J61" s="42">
        <f t="shared" si="51"/>
        <v>1121.3196720000001</v>
      </c>
      <c r="K61" s="42">
        <f t="shared" si="52"/>
        <v>0.33639590159999999</v>
      </c>
      <c r="L61" s="42">
        <f t="shared" si="53"/>
        <v>1120.9832760984</v>
      </c>
      <c r="M61" s="42">
        <f t="shared" si="54"/>
        <v>2241.9665521968</v>
      </c>
      <c r="N61" s="39">
        <f t="shared" si="55"/>
        <v>2.9279337547442261E-2</v>
      </c>
      <c r="O61" s="115"/>
    </row>
    <row r="62" spans="1:15" s="29" customFormat="1" ht="23.25" customHeight="1" x14ac:dyDescent="0.2">
      <c r="A62" s="76" t="s">
        <v>138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8"/>
      <c r="O62" s="115"/>
    </row>
    <row r="63" spans="1:15" s="29" customFormat="1" ht="23.25" customHeight="1" x14ac:dyDescent="0.2">
      <c r="A63" s="43" t="s">
        <v>117</v>
      </c>
      <c r="B63" s="36" t="s">
        <v>33</v>
      </c>
      <c r="C63" s="44" t="s">
        <v>114</v>
      </c>
      <c r="D63" s="44" t="s">
        <v>34</v>
      </c>
      <c r="E63" s="45" t="s">
        <v>115</v>
      </c>
      <c r="F63" s="44" t="s">
        <v>99</v>
      </c>
      <c r="G63" s="44">
        <v>198.6</v>
      </c>
      <c r="H63" s="70">
        <v>14.03</v>
      </c>
      <c r="I63" s="42">
        <f t="shared" ref="I63" si="62">H63*0.2232</f>
        <v>3.1314959999999998</v>
      </c>
      <c r="J63" s="42">
        <f t="shared" ref="J63" si="63">H63+I63</f>
        <v>17.161496</v>
      </c>
      <c r="K63" s="42">
        <f t="shared" ref="K63" si="64">J63*(0.03%)</f>
        <v>5.1484487999999993E-3</v>
      </c>
      <c r="L63" s="42">
        <f t="shared" ref="L63" si="65">J63-K63</f>
        <v>17.1563475512</v>
      </c>
      <c r="M63" s="42">
        <f t="shared" ref="M63" si="66">L63*G63</f>
        <v>3407.2506236683198</v>
      </c>
      <c r="N63" s="39">
        <f t="shared" ref="N63" si="67">M63/M$16</f>
        <v>4.4497559975355414E-2</v>
      </c>
      <c r="O63" s="115"/>
    </row>
    <row r="64" spans="1:15" s="29" customFormat="1" ht="23.25" customHeight="1" x14ac:dyDescent="0.2">
      <c r="A64" s="76" t="s">
        <v>143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8"/>
      <c r="O64" s="115"/>
    </row>
    <row r="65" spans="1:15" s="29" customFormat="1" ht="23.25" customHeight="1" x14ac:dyDescent="0.2">
      <c r="A65" s="43" t="s">
        <v>118</v>
      </c>
      <c r="B65" s="36" t="s">
        <v>33</v>
      </c>
      <c r="C65" s="44" t="s">
        <v>114</v>
      </c>
      <c r="D65" s="44" t="s">
        <v>34</v>
      </c>
      <c r="E65" s="45" t="s">
        <v>115</v>
      </c>
      <c r="F65" s="44" t="s">
        <v>99</v>
      </c>
      <c r="G65" s="44">
        <f>146.36+ 181.3</f>
        <v>327.66000000000003</v>
      </c>
      <c r="H65" s="70">
        <v>14.03</v>
      </c>
      <c r="I65" s="42">
        <f t="shared" ref="I65:I66" si="68">H65*0.2232</f>
        <v>3.1314959999999998</v>
      </c>
      <c r="J65" s="42">
        <f t="shared" ref="J65:J66" si="69">H65+I65</f>
        <v>17.161496</v>
      </c>
      <c r="K65" s="42">
        <f t="shared" ref="K65:K66" si="70">J65*(0.03%)</f>
        <v>5.1484487999999993E-3</v>
      </c>
      <c r="L65" s="42">
        <f t="shared" ref="L65:L66" si="71">J65-K65</f>
        <v>17.1563475512</v>
      </c>
      <c r="M65" s="42">
        <f t="shared" ref="M65:M66" si="72">L65*G65</f>
        <v>5621.4488386261919</v>
      </c>
      <c r="N65" s="39">
        <f t="shared" ref="N65:N66" si="73">M65/M$16</f>
        <v>7.3414252273539551E-2</v>
      </c>
      <c r="O65" s="115"/>
    </row>
    <row r="66" spans="1:15" s="29" customFormat="1" ht="33" customHeight="1" x14ac:dyDescent="0.2">
      <c r="A66" s="42" t="s">
        <v>119</v>
      </c>
      <c r="B66" s="36" t="s">
        <v>33</v>
      </c>
      <c r="C66" s="44">
        <v>100746</v>
      </c>
      <c r="D66" s="44" t="s">
        <v>34</v>
      </c>
      <c r="E66" s="45" t="s">
        <v>102</v>
      </c>
      <c r="F66" s="44" t="s">
        <v>99</v>
      </c>
      <c r="G66" s="46">
        <v>19.600000000000001</v>
      </c>
      <c r="H66" s="71">
        <v>30.1</v>
      </c>
      <c r="I66" s="42">
        <f t="shared" si="68"/>
        <v>6.7183200000000003</v>
      </c>
      <c r="J66" s="42">
        <f t="shared" si="69"/>
        <v>36.81832</v>
      </c>
      <c r="K66" s="42">
        <f t="shared" si="70"/>
        <v>1.1045495999999998E-2</v>
      </c>
      <c r="L66" s="42">
        <f t="shared" si="71"/>
        <v>36.807274503999999</v>
      </c>
      <c r="M66" s="42">
        <f t="shared" si="72"/>
        <v>721.42258027840001</v>
      </c>
      <c r="N66" s="39">
        <f t="shared" si="73"/>
        <v>9.4215389706063194E-3</v>
      </c>
      <c r="O66" s="115"/>
    </row>
    <row r="67" spans="1:15" s="29" customFormat="1" ht="33" customHeight="1" x14ac:dyDescent="0.2">
      <c r="A67" s="76" t="s">
        <v>145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8"/>
      <c r="O67" s="115"/>
    </row>
    <row r="68" spans="1:15" s="29" customFormat="1" ht="23.25" customHeight="1" x14ac:dyDescent="0.2">
      <c r="A68" s="43" t="s">
        <v>120</v>
      </c>
      <c r="B68" s="36" t="s">
        <v>33</v>
      </c>
      <c r="C68" s="44" t="s">
        <v>114</v>
      </c>
      <c r="D68" s="44" t="s">
        <v>34</v>
      </c>
      <c r="E68" s="45" t="s">
        <v>115</v>
      </c>
      <c r="F68" s="44" t="s">
        <v>99</v>
      </c>
      <c r="G68" s="44">
        <f>65.1+28.17</f>
        <v>93.27</v>
      </c>
      <c r="H68" s="70">
        <v>14.03</v>
      </c>
      <c r="I68" s="42">
        <f t="shared" ref="I68" si="74">H68*0.2232</f>
        <v>3.1314959999999998</v>
      </c>
      <c r="J68" s="42">
        <f t="shared" ref="J68" si="75">H68+I68</f>
        <v>17.161496</v>
      </c>
      <c r="K68" s="42">
        <f t="shared" ref="K68" si="76">J68*(0.03%)</f>
        <v>5.1484487999999993E-3</v>
      </c>
      <c r="L68" s="42">
        <f t="shared" ref="L68" si="77">J68-K68</f>
        <v>17.1563475512</v>
      </c>
      <c r="M68" s="42">
        <f t="shared" ref="M68" si="78">L68*G68</f>
        <v>1600.1725361004239</v>
      </c>
      <c r="N68" s="39">
        <f t="shared" ref="N68" si="79">M68/M$16</f>
        <v>2.089772114250453E-2</v>
      </c>
      <c r="O68" s="115"/>
    </row>
    <row r="69" spans="1:15" s="29" customFormat="1" ht="24.75" customHeight="1" x14ac:dyDescent="0.2">
      <c r="A69" s="42" t="s">
        <v>121</v>
      </c>
      <c r="B69" s="36" t="s">
        <v>33</v>
      </c>
      <c r="C69" s="44">
        <v>96130</v>
      </c>
      <c r="D69" s="44" t="s">
        <v>34</v>
      </c>
      <c r="E69" s="45" t="s">
        <v>148</v>
      </c>
      <c r="F69" s="44" t="s">
        <v>99</v>
      </c>
      <c r="G69" s="46">
        <f>17.41+11.1</f>
        <v>28.509999999999998</v>
      </c>
      <c r="H69" s="71">
        <v>25.71</v>
      </c>
      <c r="I69" s="42"/>
      <c r="J69" s="42"/>
      <c r="K69" s="42"/>
      <c r="L69" s="42"/>
      <c r="M69" s="42"/>
      <c r="N69" s="39"/>
      <c r="O69" s="115"/>
    </row>
    <row r="70" spans="1:15" s="29" customFormat="1" ht="23.25" customHeight="1" x14ac:dyDescent="0.2">
      <c r="A70" s="79" t="s">
        <v>142</v>
      </c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115"/>
    </row>
    <row r="71" spans="1:15" s="29" customFormat="1" ht="23.25" customHeight="1" x14ac:dyDescent="0.2">
      <c r="A71" s="42" t="s">
        <v>122</v>
      </c>
      <c r="B71" s="36" t="s">
        <v>33</v>
      </c>
      <c r="C71" s="44" t="s">
        <v>114</v>
      </c>
      <c r="D71" s="44" t="s">
        <v>34</v>
      </c>
      <c r="E71" s="45" t="s">
        <v>115</v>
      </c>
      <c r="F71" s="44" t="s">
        <v>99</v>
      </c>
      <c r="G71" s="44">
        <v>40.700000000000003</v>
      </c>
      <c r="H71" s="71">
        <v>14.03</v>
      </c>
      <c r="I71" s="42">
        <f t="shared" ref="I71" si="80">H71*0.2232</f>
        <v>3.1314959999999998</v>
      </c>
      <c r="J71" s="42">
        <f t="shared" ref="J71" si="81">H71+I71</f>
        <v>17.161496</v>
      </c>
      <c r="K71" s="42">
        <f t="shared" ref="K71" si="82">J71*(0.03%)</f>
        <v>5.1484487999999993E-3</v>
      </c>
      <c r="L71" s="42">
        <f t="shared" ref="L71" si="83">J71-K71</f>
        <v>17.1563475512</v>
      </c>
      <c r="M71" s="42">
        <f t="shared" ref="M71" si="84">L71*G71</f>
        <v>698.26334533383999</v>
      </c>
      <c r="N71" s="39">
        <f t="shared" ref="N71" si="85">M71/M$16</f>
        <v>9.1190870644358782E-3</v>
      </c>
      <c r="O71" s="115"/>
    </row>
    <row r="72" spans="1:15" s="29" customFormat="1" ht="23.25" customHeight="1" x14ac:dyDescent="0.2">
      <c r="A72" s="79" t="s">
        <v>144</v>
      </c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115"/>
    </row>
    <row r="73" spans="1:15" s="29" customFormat="1" ht="23.25" customHeight="1" x14ac:dyDescent="0.2">
      <c r="A73" s="42" t="s">
        <v>123</v>
      </c>
      <c r="B73" s="36" t="s">
        <v>33</v>
      </c>
      <c r="C73" s="44">
        <v>102500</v>
      </c>
      <c r="D73" s="44" t="s">
        <v>34</v>
      </c>
      <c r="E73" s="45" t="s">
        <v>139</v>
      </c>
      <c r="F73" s="44" t="s">
        <v>107</v>
      </c>
      <c r="G73" s="44">
        <f>571.2+112</f>
        <v>683.2</v>
      </c>
      <c r="H73" s="71">
        <v>5.23</v>
      </c>
      <c r="I73" s="42">
        <f t="shared" ref="I73:I75" si="86">H73*0.2232</f>
        <v>1.1673360000000002</v>
      </c>
      <c r="J73" s="42">
        <f t="shared" ref="J73:J75" si="87">H73+I73</f>
        <v>6.397336000000001</v>
      </c>
      <c r="K73" s="42">
        <f t="shared" ref="K73:K75" si="88">J73*(0.03%)</f>
        <v>1.9192008000000001E-3</v>
      </c>
      <c r="L73" s="42">
        <f t="shared" ref="L73:L75" si="89">J73-K73</f>
        <v>6.3954167992000013</v>
      </c>
      <c r="M73" s="42">
        <f t="shared" ref="M73:M75" si="90">L73*G73</f>
        <v>4369.3487572134409</v>
      </c>
      <c r="N73" s="39">
        <f t="shared" ref="N73:N75" si="91">M73/M$16</f>
        <v>5.7062241628714469E-2</v>
      </c>
      <c r="O73" s="115"/>
    </row>
    <row r="74" spans="1:15" s="29" customFormat="1" ht="23.25" customHeight="1" x14ac:dyDescent="0.2">
      <c r="A74" s="42" t="s">
        <v>149</v>
      </c>
      <c r="B74" s="36" t="s">
        <v>33</v>
      </c>
      <c r="C74" s="44">
        <v>102513</v>
      </c>
      <c r="D74" s="44" t="s">
        <v>34</v>
      </c>
      <c r="E74" s="45" t="s">
        <v>140</v>
      </c>
      <c r="F74" s="44" t="s">
        <v>99</v>
      </c>
      <c r="G74" s="44">
        <f>162+1.44+102+5.76</f>
        <v>271.2</v>
      </c>
      <c r="H74" s="71">
        <v>56.62</v>
      </c>
      <c r="I74" s="42">
        <f t="shared" si="86"/>
        <v>12.637584</v>
      </c>
      <c r="J74" s="42">
        <f t="shared" si="87"/>
        <v>69.257583999999994</v>
      </c>
      <c r="K74" s="42">
        <f t="shared" si="88"/>
        <v>2.0777275199999997E-2</v>
      </c>
      <c r="L74" s="42">
        <f t="shared" si="89"/>
        <v>69.23680672479999</v>
      </c>
      <c r="M74" s="42">
        <f t="shared" si="90"/>
        <v>18777.021983765757</v>
      </c>
      <c r="N74" s="39">
        <f t="shared" si="91"/>
        <v>0.245221662321286</v>
      </c>
      <c r="O74" s="115"/>
    </row>
    <row r="75" spans="1:15" s="29" customFormat="1" ht="23.25" customHeight="1" x14ac:dyDescent="0.2">
      <c r="A75" s="42" t="s">
        <v>150</v>
      </c>
      <c r="B75" s="36" t="s">
        <v>33</v>
      </c>
      <c r="C75" s="44">
        <v>102501</v>
      </c>
      <c r="D75" s="44" t="s">
        <v>34</v>
      </c>
      <c r="E75" s="45" t="s">
        <v>141</v>
      </c>
      <c r="F75" s="44" t="s">
        <v>99</v>
      </c>
      <c r="G75" s="44">
        <f>57.6+48</f>
        <v>105.6</v>
      </c>
      <c r="H75" s="71">
        <v>29.04</v>
      </c>
      <c r="I75" s="42">
        <f t="shared" si="86"/>
        <v>6.4817280000000004</v>
      </c>
      <c r="J75" s="42">
        <f t="shared" si="87"/>
        <v>35.521727999999996</v>
      </c>
      <c r="K75" s="42">
        <f t="shared" si="88"/>
        <v>1.0656518399999999E-2</v>
      </c>
      <c r="L75" s="42">
        <f t="shared" si="89"/>
        <v>35.511071481599998</v>
      </c>
      <c r="M75" s="42">
        <f t="shared" si="90"/>
        <v>3749.9691484569598</v>
      </c>
      <c r="N75" s="39">
        <f t="shared" si="91"/>
        <v>4.8973349929142027E-2</v>
      </c>
      <c r="O75" s="115"/>
    </row>
    <row r="76" spans="1:15" s="29" customFormat="1" ht="23.25" customHeight="1" x14ac:dyDescent="0.2">
      <c r="A76" s="76" t="s">
        <v>151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8"/>
      <c r="O76" s="115"/>
    </row>
    <row r="77" spans="1:15" s="29" customFormat="1" ht="23.25" customHeight="1" x14ac:dyDescent="0.2">
      <c r="A77" s="42" t="s">
        <v>152</v>
      </c>
      <c r="B77" s="36" t="s">
        <v>33</v>
      </c>
      <c r="C77" s="44" t="s">
        <v>114</v>
      </c>
      <c r="D77" s="44" t="s">
        <v>34</v>
      </c>
      <c r="E77" s="45" t="s">
        <v>115</v>
      </c>
      <c r="F77" s="44" t="s">
        <v>99</v>
      </c>
      <c r="G77" s="44">
        <v>203.15</v>
      </c>
      <c r="H77" s="71">
        <v>14.03</v>
      </c>
      <c r="I77" s="42">
        <f t="shared" ref="I77:I79" si="92">H77*0.2232</f>
        <v>3.1314959999999998</v>
      </c>
      <c r="J77" s="42">
        <f t="shared" ref="J77:J79" si="93">H77+I77</f>
        <v>17.161496</v>
      </c>
      <c r="K77" s="42">
        <f t="shared" ref="K77:K79" si="94">J77*(0.03%)</f>
        <v>5.1484487999999993E-3</v>
      </c>
      <c r="L77" s="42">
        <f t="shared" ref="L77:L79" si="95">J77-K77</f>
        <v>17.1563475512</v>
      </c>
      <c r="M77" s="42">
        <f t="shared" ref="M77:M79" si="96">L77*G77</f>
        <v>3485.3120050262801</v>
      </c>
      <c r="N77" s="39">
        <f t="shared" ref="N77:N79" si="97">M77/M$16</f>
        <v>4.551701565454911E-2</v>
      </c>
      <c r="O77" s="115"/>
    </row>
    <row r="78" spans="1:15" s="29" customFormat="1" ht="23.25" customHeight="1" x14ac:dyDescent="0.2">
      <c r="A78" s="43" t="s">
        <v>153</v>
      </c>
      <c r="B78" s="36" t="s">
        <v>33</v>
      </c>
      <c r="C78" s="44">
        <v>88488</v>
      </c>
      <c r="D78" s="44" t="s">
        <v>34</v>
      </c>
      <c r="E78" s="45" t="s">
        <v>113</v>
      </c>
      <c r="F78" s="44" t="s">
        <v>99</v>
      </c>
      <c r="G78" s="44">
        <v>115.74</v>
      </c>
      <c r="H78" s="70">
        <v>16.93</v>
      </c>
      <c r="I78" s="42">
        <f t="shared" si="92"/>
        <v>3.7787760000000001</v>
      </c>
      <c r="J78" s="42">
        <f t="shared" si="93"/>
        <v>20.708776</v>
      </c>
      <c r="K78" s="42">
        <f t="shared" si="94"/>
        <v>6.2126327999999995E-3</v>
      </c>
      <c r="L78" s="42">
        <f t="shared" si="95"/>
        <v>20.7025633672</v>
      </c>
      <c r="M78" s="42">
        <f t="shared" si="96"/>
        <v>2396.1146841197278</v>
      </c>
      <c r="N78" s="39">
        <f t="shared" si="97"/>
        <v>3.129246088438796E-2</v>
      </c>
      <c r="O78" s="115"/>
    </row>
    <row r="79" spans="1:15" s="29" customFormat="1" ht="33" customHeight="1" x14ac:dyDescent="0.2">
      <c r="A79" s="42" t="s">
        <v>161</v>
      </c>
      <c r="B79" s="36" t="s">
        <v>33</v>
      </c>
      <c r="C79" s="44">
        <v>100746</v>
      </c>
      <c r="D79" s="44" t="s">
        <v>34</v>
      </c>
      <c r="E79" s="45" t="s">
        <v>102</v>
      </c>
      <c r="F79" s="44" t="s">
        <v>99</v>
      </c>
      <c r="G79" s="46">
        <v>20</v>
      </c>
      <c r="H79" s="71">
        <v>30.1</v>
      </c>
      <c r="I79" s="42">
        <f t="shared" si="92"/>
        <v>6.7183200000000003</v>
      </c>
      <c r="J79" s="42">
        <f t="shared" si="93"/>
        <v>36.81832</v>
      </c>
      <c r="K79" s="42">
        <f t="shared" si="94"/>
        <v>1.1045495999999998E-2</v>
      </c>
      <c r="L79" s="42">
        <f t="shared" si="95"/>
        <v>36.807274503999999</v>
      </c>
      <c r="M79" s="42">
        <f t="shared" si="96"/>
        <v>736.14549007999995</v>
      </c>
      <c r="N79" s="39">
        <f t="shared" si="97"/>
        <v>9.6138152761288953E-3</v>
      </c>
      <c r="O79" s="115"/>
    </row>
    <row r="80" spans="1:15" s="29" customFormat="1" ht="23.25" customHeight="1" x14ac:dyDescent="0.2">
      <c r="A80" s="76" t="s">
        <v>154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8"/>
      <c r="O80" s="115"/>
    </row>
    <row r="81" spans="1:19" s="29" customFormat="1" ht="23.25" customHeight="1" x14ac:dyDescent="0.2">
      <c r="A81" s="42" t="s">
        <v>162</v>
      </c>
      <c r="B81" s="36" t="s">
        <v>33</v>
      </c>
      <c r="C81" s="44" t="s">
        <v>114</v>
      </c>
      <c r="D81" s="44" t="s">
        <v>34</v>
      </c>
      <c r="E81" s="45" t="s">
        <v>115</v>
      </c>
      <c r="F81" s="44" t="s">
        <v>99</v>
      </c>
      <c r="G81" s="44">
        <v>441.56</v>
      </c>
      <c r="H81" s="71">
        <v>14.03</v>
      </c>
      <c r="I81" s="42">
        <f t="shared" ref="I81:I82" si="98">H81*0.2232</f>
        <v>3.1314959999999998</v>
      </c>
      <c r="J81" s="42">
        <f t="shared" ref="J81:J82" si="99">H81+I81</f>
        <v>17.161496</v>
      </c>
      <c r="K81" s="42">
        <f t="shared" ref="K81:K82" si="100">J81*(0.03%)</f>
        <v>5.1484487999999993E-3</v>
      </c>
      <c r="L81" s="42">
        <f t="shared" ref="L81:L82" si="101">J81-K81</f>
        <v>17.1563475512</v>
      </c>
      <c r="M81" s="42">
        <f t="shared" ref="M81:M82" si="102">L81*G81</f>
        <v>7575.5568247078718</v>
      </c>
      <c r="N81" s="39">
        <f t="shared" ref="N81:N82" si="103">M81/M$16</f>
        <v>9.8934252682366247E-2</v>
      </c>
      <c r="O81" s="115"/>
    </row>
    <row r="82" spans="1:19" s="29" customFormat="1" ht="23.25" customHeight="1" x14ac:dyDescent="0.2">
      <c r="A82" s="43" t="s">
        <v>163</v>
      </c>
      <c r="B82" s="36" t="s">
        <v>33</v>
      </c>
      <c r="C82" s="44">
        <v>88488</v>
      </c>
      <c r="D82" s="44" t="s">
        <v>34</v>
      </c>
      <c r="E82" s="45" t="s">
        <v>113</v>
      </c>
      <c r="F82" s="44" t="s">
        <v>99</v>
      </c>
      <c r="G82" s="44">
        <v>123.4</v>
      </c>
      <c r="H82" s="70">
        <v>16.93</v>
      </c>
      <c r="I82" s="42">
        <f t="shared" si="98"/>
        <v>3.7787760000000001</v>
      </c>
      <c r="J82" s="42">
        <f t="shared" si="99"/>
        <v>20.708776</v>
      </c>
      <c r="K82" s="42">
        <f t="shared" si="100"/>
        <v>6.2126327999999995E-3</v>
      </c>
      <c r="L82" s="42">
        <f t="shared" si="101"/>
        <v>20.7025633672</v>
      </c>
      <c r="M82" s="42">
        <f t="shared" si="102"/>
        <v>2554.6963195124799</v>
      </c>
      <c r="N82" s="39">
        <f t="shared" si="103"/>
        <v>3.3363484302172751E-2</v>
      </c>
      <c r="O82" s="115"/>
    </row>
    <row r="83" spans="1:19" s="29" customFormat="1" ht="23.25" customHeight="1" x14ac:dyDescent="0.2">
      <c r="A83" s="43" t="s">
        <v>164</v>
      </c>
      <c r="B83" s="36" t="s">
        <v>33</v>
      </c>
      <c r="C83" s="44">
        <v>88485</v>
      </c>
      <c r="D83" s="47" t="s">
        <v>34</v>
      </c>
      <c r="E83" s="45" t="s">
        <v>116</v>
      </c>
      <c r="F83" s="44" t="s">
        <v>99</v>
      </c>
      <c r="G83" s="44">
        <v>62.25</v>
      </c>
      <c r="H83" s="70">
        <v>4.84</v>
      </c>
      <c r="I83" s="42">
        <f t="shared" si="50"/>
        <v>1.0802879999999999</v>
      </c>
      <c r="J83" s="42">
        <f t="shared" si="51"/>
        <v>5.9202879999999993</v>
      </c>
      <c r="K83" s="42">
        <f t="shared" si="52"/>
        <v>1.7760863999999996E-3</v>
      </c>
      <c r="L83" s="42">
        <f t="shared" si="53"/>
        <v>5.9185119135999997</v>
      </c>
      <c r="M83" s="42">
        <f t="shared" si="54"/>
        <v>368.42736662159996</v>
      </c>
      <c r="N83" s="39">
        <f t="shared" si="55"/>
        <v>4.8115388779815197E-3</v>
      </c>
      <c r="O83" s="115"/>
    </row>
    <row r="84" spans="1:19" s="29" customFormat="1" ht="23.25" customHeight="1" x14ac:dyDescent="0.2">
      <c r="A84" s="76" t="s">
        <v>155</v>
      </c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8"/>
      <c r="O84" s="115"/>
    </row>
    <row r="85" spans="1:19" s="29" customFormat="1" ht="40.5" customHeight="1" x14ac:dyDescent="0.2">
      <c r="A85" s="43" t="s">
        <v>165</v>
      </c>
      <c r="B85" s="36" t="s">
        <v>33</v>
      </c>
      <c r="C85" s="48">
        <v>100762</v>
      </c>
      <c r="D85" s="49" t="s">
        <v>34</v>
      </c>
      <c r="E85" s="50" t="s">
        <v>156</v>
      </c>
      <c r="F85" s="44" t="s">
        <v>99</v>
      </c>
      <c r="G85" s="62">
        <v>12</v>
      </c>
      <c r="H85" s="72">
        <v>60.36</v>
      </c>
      <c r="I85" s="42">
        <f t="shared" ref="I85:I86" si="104">H85*0.2232</f>
        <v>13.472352000000001</v>
      </c>
      <c r="J85" s="42">
        <f t="shared" ref="J85:J86" si="105">H85+I85</f>
        <v>73.832352</v>
      </c>
      <c r="K85" s="42">
        <f t="shared" ref="K85:K86" si="106">J85*(0.03%)</f>
        <v>2.21497056E-2</v>
      </c>
      <c r="L85" s="42">
        <f t="shared" ref="L85:L86" si="107">J85-K85</f>
        <v>73.8102022944</v>
      </c>
      <c r="M85" s="42">
        <f t="shared" ref="M85:M86" si="108">L85*G85</f>
        <v>885.7224275328</v>
      </c>
      <c r="N85" s="39">
        <f t="shared" ref="N85:N86" si="109">M85/M$16</f>
        <v>1.1567240333564257E-2</v>
      </c>
      <c r="O85" s="115"/>
    </row>
    <row r="86" spans="1:19" s="29" customFormat="1" ht="23.25" customHeight="1" x14ac:dyDescent="0.2">
      <c r="A86" s="42" t="s">
        <v>166</v>
      </c>
      <c r="B86" s="36" t="s">
        <v>33</v>
      </c>
      <c r="C86" s="44" t="s">
        <v>114</v>
      </c>
      <c r="D86" s="44" t="s">
        <v>34</v>
      </c>
      <c r="E86" s="45" t="s">
        <v>115</v>
      </c>
      <c r="F86" s="44" t="s">
        <v>99</v>
      </c>
      <c r="G86" s="46">
        <v>152</v>
      </c>
      <c r="H86" s="71">
        <v>14.03</v>
      </c>
      <c r="I86" s="42">
        <f t="shared" si="104"/>
        <v>3.1314959999999998</v>
      </c>
      <c r="J86" s="42">
        <f t="shared" si="105"/>
        <v>17.161496</v>
      </c>
      <c r="K86" s="42">
        <f t="shared" si="106"/>
        <v>5.1484487999999993E-3</v>
      </c>
      <c r="L86" s="42">
        <f t="shared" si="107"/>
        <v>17.1563475512</v>
      </c>
      <c r="M86" s="42">
        <f t="shared" si="108"/>
        <v>2607.7648277824001</v>
      </c>
      <c r="N86" s="39">
        <f t="shared" si="109"/>
        <v>3.4056541370866181E-2</v>
      </c>
      <c r="O86" s="115"/>
    </row>
    <row r="87" spans="1:19" s="29" customFormat="1" ht="24.75" customHeight="1" x14ac:dyDescent="0.2">
      <c r="A87" s="42" t="s">
        <v>167</v>
      </c>
      <c r="B87" s="36" t="s">
        <v>33</v>
      </c>
      <c r="C87" s="44">
        <v>96130</v>
      </c>
      <c r="D87" s="44" t="s">
        <v>34</v>
      </c>
      <c r="E87" s="45" t="s">
        <v>148</v>
      </c>
      <c r="F87" s="44" t="s">
        <v>99</v>
      </c>
      <c r="G87" s="46">
        <v>12</v>
      </c>
      <c r="H87" s="71">
        <v>25.71</v>
      </c>
      <c r="I87" s="42">
        <f t="shared" ref="I87" si="110">H87*0.2232</f>
        <v>5.7384720000000007</v>
      </c>
      <c r="J87" s="42">
        <f t="shared" ref="J87" si="111">H87+I87</f>
        <v>31.448472000000002</v>
      </c>
      <c r="K87" s="42">
        <f t="shared" ref="K87" si="112">J87*(0.03%)</f>
        <v>9.4345416000000005E-3</v>
      </c>
      <c r="L87" s="42">
        <f t="shared" ref="L87" si="113">J87-K87</f>
        <v>31.439037458400001</v>
      </c>
      <c r="M87" s="42">
        <f t="shared" ref="M87" si="114">L87*G87</f>
        <v>377.26844950079999</v>
      </c>
      <c r="N87" s="39">
        <f t="shared" ref="N87" si="115">M87/M$16</f>
        <v>4.9270004800519721E-3</v>
      </c>
      <c r="O87" s="115"/>
    </row>
    <row r="88" spans="1:19" s="29" customFormat="1" ht="23.25" customHeight="1" x14ac:dyDescent="0.2">
      <c r="A88" s="76" t="s">
        <v>157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8"/>
      <c r="O88" s="115"/>
    </row>
    <row r="89" spans="1:19" s="29" customFormat="1" ht="23.25" customHeight="1" x14ac:dyDescent="0.2">
      <c r="A89" s="43" t="s">
        <v>168</v>
      </c>
      <c r="B89" s="36" t="s">
        <v>33</v>
      </c>
      <c r="C89" s="44">
        <v>88488</v>
      </c>
      <c r="D89" s="44" t="s">
        <v>34</v>
      </c>
      <c r="E89" s="45" t="s">
        <v>113</v>
      </c>
      <c r="F89" s="44" t="s">
        <v>99</v>
      </c>
      <c r="G89" s="44">
        <v>45.9</v>
      </c>
      <c r="H89" s="70">
        <v>16.93</v>
      </c>
      <c r="I89" s="42">
        <f t="shared" ref="I89:I90" si="116">H89*0.2232</f>
        <v>3.7787760000000001</v>
      </c>
      <c r="J89" s="42">
        <f t="shared" ref="J89:J90" si="117">H89+I89</f>
        <v>20.708776</v>
      </c>
      <c r="K89" s="42">
        <f t="shared" ref="K89:K90" si="118">J89*(0.03%)</f>
        <v>6.2126327999999995E-3</v>
      </c>
      <c r="L89" s="42">
        <f t="shared" ref="L89:L90" si="119">J89-K89</f>
        <v>20.7025633672</v>
      </c>
      <c r="M89" s="42">
        <f t="shared" ref="M89:M90" si="120">L89*G89</f>
        <v>950.24765855447993</v>
      </c>
      <c r="N89" s="39">
        <f t="shared" ref="N89:N90" si="121">M89/M$16</f>
        <v>1.2409918391164744E-2</v>
      </c>
      <c r="O89" s="115"/>
    </row>
    <row r="90" spans="1:19" s="29" customFormat="1" ht="23.25" customHeight="1" x14ac:dyDescent="0.2">
      <c r="A90" s="43" t="s">
        <v>169</v>
      </c>
      <c r="B90" s="36" t="s">
        <v>33</v>
      </c>
      <c r="C90" s="44" t="s">
        <v>114</v>
      </c>
      <c r="D90" s="44" t="s">
        <v>34</v>
      </c>
      <c r="E90" s="45" t="s">
        <v>115</v>
      </c>
      <c r="F90" s="44" t="s">
        <v>99</v>
      </c>
      <c r="G90" s="44">
        <v>181.29</v>
      </c>
      <c r="H90" s="70">
        <v>14.03</v>
      </c>
      <c r="I90" s="42">
        <f t="shared" si="116"/>
        <v>3.1314959999999998</v>
      </c>
      <c r="J90" s="42">
        <f t="shared" si="117"/>
        <v>17.161496</v>
      </c>
      <c r="K90" s="42">
        <f t="shared" si="118"/>
        <v>5.1484487999999993E-3</v>
      </c>
      <c r="L90" s="42">
        <f t="shared" si="119"/>
        <v>17.1563475512</v>
      </c>
      <c r="M90" s="42">
        <f t="shared" si="120"/>
        <v>3110.2742475570476</v>
      </c>
      <c r="N90" s="39">
        <f t="shared" si="121"/>
        <v>4.0619147270554795E-2</v>
      </c>
      <c r="O90" s="115"/>
    </row>
    <row r="91" spans="1:19" s="29" customFormat="1" ht="23.25" customHeight="1" x14ac:dyDescent="0.2">
      <c r="A91" s="36" t="s">
        <v>170</v>
      </c>
      <c r="B91" s="36" t="s">
        <v>33</v>
      </c>
      <c r="C91" s="44">
        <v>102492</v>
      </c>
      <c r="D91" s="44" t="s">
        <v>34</v>
      </c>
      <c r="E91" s="45" t="s">
        <v>159</v>
      </c>
      <c r="F91" s="44" t="s">
        <v>99</v>
      </c>
      <c r="G91" s="44">
        <v>68.209999999999994</v>
      </c>
      <c r="H91" s="70">
        <v>29.64</v>
      </c>
      <c r="I91" s="42">
        <f>H91*0.2232</f>
        <v>6.6156480000000002</v>
      </c>
      <c r="J91" s="42">
        <f>H91+I91</f>
        <v>36.255648000000001</v>
      </c>
      <c r="K91" s="42">
        <f>J91*(0.03%)</f>
        <v>1.0876694399999999E-2</v>
      </c>
      <c r="L91" s="42">
        <f>J91-K91</f>
        <v>36.244771305600004</v>
      </c>
      <c r="M91" s="42">
        <f>L91*G91</f>
        <v>2472.2558507549761</v>
      </c>
      <c r="N91" s="39">
        <f t="shared" ref="N91" si="122">M91/M$16</f>
        <v>3.2286839197920351E-2</v>
      </c>
      <c r="O91" s="115"/>
    </row>
    <row r="92" spans="1:19" s="30" customFormat="1" ht="17.100000000000001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115"/>
    </row>
    <row r="93" spans="1:19" s="30" customFormat="1" ht="17.100000000000001" customHeight="1" x14ac:dyDescent="0.2">
      <c r="A93" s="125"/>
      <c r="B93" s="126"/>
      <c r="C93" s="126"/>
      <c r="D93" s="126"/>
      <c r="E93" s="126"/>
      <c r="F93" s="126"/>
      <c r="G93" s="126"/>
      <c r="H93" s="52" t="s">
        <v>39</v>
      </c>
      <c r="I93" s="53"/>
      <c r="J93" s="127">
        <f>M16+M31+M51</f>
        <v>179309.19042308314</v>
      </c>
      <c r="K93" s="128"/>
      <c r="L93" s="128"/>
      <c r="M93" s="128"/>
      <c r="N93" s="129"/>
      <c r="O93" s="86"/>
      <c r="S93" s="73">
        <v>161239.79999999999</v>
      </c>
    </row>
    <row r="94" spans="1:19" ht="17.100000000000001" customHeight="1" x14ac:dyDescent="0.25">
      <c r="A94" s="130" t="s">
        <v>104</v>
      </c>
      <c r="B94" s="91"/>
      <c r="C94" s="91"/>
      <c r="D94" s="91"/>
      <c r="E94" s="91"/>
      <c r="F94" s="91"/>
      <c r="G94" s="91"/>
      <c r="H94" s="88"/>
      <c r="I94" s="88"/>
      <c r="J94" s="88"/>
      <c r="K94" s="88"/>
      <c r="L94" s="88"/>
      <c r="M94" s="88"/>
      <c r="N94" s="89"/>
      <c r="O94" s="86"/>
    </row>
    <row r="95" spans="1:19" ht="17.100000000000001" customHeight="1" x14ac:dyDescent="0.25">
      <c r="A95" s="90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2"/>
      <c r="O95" s="86"/>
      <c r="S95" s="74">
        <f>J93-S93</f>
        <v>18069.390423083154</v>
      </c>
    </row>
    <row r="96" spans="1:19" ht="17.100000000000001" customHeight="1" x14ac:dyDescent="0.25">
      <c r="A96" s="90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2"/>
      <c r="O96" s="86"/>
    </row>
    <row r="97" spans="1:15" ht="17.100000000000001" customHeight="1" x14ac:dyDescent="0.25">
      <c r="A97" s="90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2"/>
      <c r="O97" s="86"/>
    </row>
    <row r="98" spans="1:15" ht="17.100000000000001" customHeight="1" x14ac:dyDescent="0.25">
      <c r="A98" s="90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2"/>
      <c r="O98" s="86"/>
    </row>
    <row r="99" spans="1:15" ht="17.100000000000001" customHeight="1" x14ac:dyDescent="0.25">
      <c r="A99" s="90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2"/>
      <c r="O99" s="86"/>
    </row>
    <row r="100" spans="1:15" ht="17.100000000000001" customHeight="1" x14ac:dyDescent="0.25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5"/>
      <c r="O100" s="86"/>
    </row>
    <row r="101" spans="1:15" ht="17.100000000000001" customHeight="1" x14ac:dyDescent="0.25">
      <c r="A101" s="149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50"/>
    </row>
    <row r="102" spans="1:15" ht="17.100000000000001" customHeight="1" x14ac:dyDescent="0.25">
      <c r="A102" s="151" t="s">
        <v>40</v>
      </c>
      <c r="B102" s="152"/>
      <c r="C102" s="152"/>
      <c r="D102" s="152"/>
      <c r="E102" s="152"/>
      <c r="F102" s="152"/>
      <c r="G102" s="153" t="s">
        <v>41</v>
      </c>
      <c r="H102" s="153"/>
      <c r="I102" s="153"/>
      <c r="J102" s="153"/>
      <c r="K102" s="154"/>
      <c r="L102" s="155"/>
      <c r="M102" s="155"/>
      <c r="N102" s="156"/>
      <c r="O102" s="86" t="s">
        <v>42</v>
      </c>
    </row>
    <row r="103" spans="1:15" ht="17.100000000000001" customHeight="1" x14ac:dyDescent="0.25">
      <c r="A103" s="161" t="s">
        <v>43</v>
      </c>
      <c r="B103" s="162"/>
      <c r="C103" s="162"/>
      <c r="D103" s="162"/>
      <c r="E103" s="162"/>
      <c r="F103" s="163"/>
      <c r="G103" s="167" t="s">
        <v>44</v>
      </c>
      <c r="H103" s="162"/>
      <c r="I103" s="162"/>
      <c r="J103" s="163"/>
      <c r="K103" s="157"/>
      <c r="L103" s="158"/>
      <c r="M103" s="158"/>
      <c r="N103" s="159"/>
      <c r="O103" s="86"/>
    </row>
    <row r="104" spans="1:15" ht="17.100000000000001" customHeight="1" x14ac:dyDescent="0.25">
      <c r="A104" s="164"/>
      <c r="B104" s="165"/>
      <c r="C104" s="165"/>
      <c r="D104" s="165"/>
      <c r="E104" s="165"/>
      <c r="F104" s="166"/>
      <c r="G104" s="168"/>
      <c r="H104" s="165"/>
      <c r="I104" s="165"/>
      <c r="J104" s="166"/>
      <c r="K104" s="157"/>
      <c r="L104" s="158"/>
      <c r="M104" s="158"/>
      <c r="N104" s="159"/>
      <c r="O104" s="86"/>
    </row>
    <row r="105" spans="1:15" ht="17.100000000000001" customHeight="1" x14ac:dyDescent="0.25">
      <c r="A105" s="164"/>
      <c r="B105" s="165"/>
      <c r="C105" s="165"/>
      <c r="D105" s="165"/>
      <c r="E105" s="165"/>
      <c r="F105" s="166"/>
      <c r="G105" s="168"/>
      <c r="H105" s="165"/>
      <c r="I105" s="165"/>
      <c r="J105" s="166"/>
      <c r="K105" s="157"/>
      <c r="L105" s="158"/>
      <c r="M105" s="158"/>
      <c r="N105" s="159"/>
      <c r="O105" s="86"/>
    </row>
    <row r="106" spans="1:15" ht="17.100000000000001" customHeight="1" x14ac:dyDescent="0.25">
      <c r="A106" s="164"/>
      <c r="B106" s="165"/>
      <c r="C106" s="165"/>
      <c r="D106" s="165"/>
      <c r="E106" s="165"/>
      <c r="F106" s="166"/>
      <c r="G106" s="168"/>
      <c r="H106" s="165"/>
      <c r="I106" s="165"/>
      <c r="J106" s="166"/>
      <c r="K106" s="157"/>
      <c r="L106" s="158"/>
      <c r="M106" s="158"/>
      <c r="N106" s="159"/>
      <c r="O106" s="86"/>
    </row>
    <row r="107" spans="1:15" ht="17.100000000000001" customHeight="1" x14ac:dyDescent="0.25">
      <c r="A107" s="164"/>
      <c r="B107" s="165"/>
      <c r="C107" s="165"/>
      <c r="D107" s="165"/>
      <c r="E107" s="165"/>
      <c r="F107" s="166"/>
      <c r="G107" s="168"/>
      <c r="H107" s="165"/>
      <c r="I107" s="165"/>
      <c r="J107" s="166"/>
      <c r="K107" s="157"/>
      <c r="L107" s="158"/>
      <c r="M107" s="158"/>
      <c r="N107" s="159"/>
      <c r="O107" s="86"/>
    </row>
    <row r="108" spans="1:15" ht="17.100000000000001" customHeight="1" x14ac:dyDescent="0.25">
      <c r="A108" s="164"/>
      <c r="B108" s="165"/>
      <c r="C108" s="165"/>
      <c r="D108" s="165"/>
      <c r="E108" s="165"/>
      <c r="F108" s="166"/>
      <c r="G108" s="168"/>
      <c r="H108" s="165"/>
      <c r="I108" s="165"/>
      <c r="J108" s="166"/>
      <c r="K108" s="157"/>
      <c r="L108" s="158"/>
      <c r="M108" s="158"/>
      <c r="N108" s="159"/>
      <c r="O108" s="86"/>
    </row>
    <row r="109" spans="1:15" ht="17.100000000000001" customHeight="1" x14ac:dyDescent="0.25">
      <c r="A109" s="164"/>
      <c r="B109" s="165"/>
      <c r="C109" s="165"/>
      <c r="D109" s="165"/>
      <c r="E109" s="165"/>
      <c r="F109" s="166"/>
      <c r="G109" s="168"/>
      <c r="H109" s="165"/>
      <c r="I109" s="165"/>
      <c r="J109" s="166"/>
      <c r="K109" s="157"/>
      <c r="L109" s="158"/>
      <c r="M109" s="158"/>
      <c r="N109" s="159"/>
      <c r="O109" s="86"/>
    </row>
    <row r="110" spans="1:15" ht="17.100000000000001" customHeight="1" thickBot="1" x14ac:dyDescent="0.3">
      <c r="A110" s="164"/>
      <c r="B110" s="165"/>
      <c r="C110" s="165"/>
      <c r="D110" s="165"/>
      <c r="E110" s="165"/>
      <c r="F110" s="166"/>
      <c r="G110" s="168"/>
      <c r="H110" s="165"/>
      <c r="I110" s="165"/>
      <c r="J110" s="166"/>
      <c r="K110" s="157"/>
      <c r="L110" s="158"/>
      <c r="M110" s="158"/>
      <c r="N110" s="159"/>
      <c r="O110" s="160"/>
    </row>
    <row r="111" spans="1:15" ht="17.100000000000001" customHeight="1" thickBot="1" x14ac:dyDescent="0.3">
      <c r="A111" s="134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6"/>
    </row>
    <row r="112" spans="1:15" ht="17.100000000000001" customHeight="1" x14ac:dyDescent="0.25">
      <c r="A112" s="130" t="s">
        <v>45</v>
      </c>
      <c r="B112" s="91"/>
      <c r="C112" s="91"/>
      <c r="D112" s="92"/>
      <c r="E112" s="137" t="s">
        <v>46</v>
      </c>
      <c r="F112" s="91"/>
      <c r="G112" s="91"/>
      <c r="H112" s="91"/>
      <c r="I112" s="91"/>
      <c r="J112" s="91"/>
      <c r="K112" s="139" t="s">
        <v>47</v>
      </c>
      <c r="L112" s="140"/>
      <c r="M112" s="140"/>
      <c r="N112" s="140"/>
      <c r="O112" s="144" t="s">
        <v>48</v>
      </c>
    </row>
    <row r="113" spans="1:19" ht="17.100000000000001" customHeight="1" x14ac:dyDescent="0.25">
      <c r="A113" s="93"/>
      <c r="B113" s="94"/>
      <c r="C113" s="94"/>
      <c r="D113" s="95"/>
      <c r="E113" s="138"/>
      <c r="F113" s="94"/>
      <c r="G113" s="94"/>
      <c r="H113" s="94"/>
      <c r="I113" s="94"/>
      <c r="J113" s="94"/>
      <c r="K113" s="141"/>
      <c r="L113" s="140"/>
      <c r="M113" s="140"/>
      <c r="N113" s="140"/>
      <c r="O113" s="145"/>
    </row>
    <row r="114" spans="1:19" ht="17.100000000000001" customHeight="1" x14ac:dyDescent="0.25">
      <c r="A114" s="87" t="s">
        <v>49</v>
      </c>
      <c r="B114" s="88"/>
      <c r="C114" s="88"/>
      <c r="D114" s="88"/>
      <c r="E114" s="88"/>
      <c r="F114" s="88"/>
      <c r="G114" s="88"/>
      <c r="H114" s="88"/>
      <c r="I114" s="88"/>
      <c r="J114" s="88"/>
      <c r="K114" s="141"/>
      <c r="L114" s="140"/>
      <c r="M114" s="140"/>
      <c r="N114" s="140"/>
      <c r="O114" s="145"/>
    </row>
    <row r="115" spans="1:19" ht="17.100000000000001" customHeight="1" x14ac:dyDescent="0.25">
      <c r="A115" s="90"/>
      <c r="B115" s="91"/>
      <c r="C115" s="91"/>
      <c r="D115" s="91"/>
      <c r="E115" s="91"/>
      <c r="F115" s="91"/>
      <c r="G115" s="91"/>
      <c r="H115" s="91"/>
      <c r="I115" s="91"/>
      <c r="J115" s="91"/>
      <c r="K115" s="141"/>
      <c r="L115" s="140"/>
      <c r="M115" s="140"/>
      <c r="N115" s="140"/>
      <c r="O115" s="145"/>
    </row>
    <row r="116" spans="1:19" ht="17.100000000000001" customHeight="1" x14ac:dyDescent="0.25">
      <c r="A116" s="90"/>
      <c r="B116" s="91"/>
      <c r="C116" s="91"/>
      <c r="D116" s="91"/>
      <c r="E116" s="91"/>
      <c r="F116" s="91"/>
      <c r="G116" s="91"/>
      <c r="H116" s="91"/>
      <c r="I116" s="91"/>
      <c r="J116" s="91"/>
      <c r="K116" s="141"/>
      <c r="L116" s="140"/>
      <c r="M116" s="140"/>
      <c r="N116" s="140"/>
      <c r="O116" s="145"/>
    </row>
    <row r="117" spans="1:19" ht="17.100000000000001" customHeight="1" x14ac:dyDescent="0.25">
      <c r="A117" s="90"/>
      <c r="B117" s="91"/>
      <c r="C117" s="91"/>
      <c r="D117" s="91"/>
      <c r="E117" s="91"/>
      <c r="F117" s="91"/>
      <c r="G117" s="91"/>
      <c r="H117" s="91"/>
      <c r="I117" s="91"/>
      <c r="J117" s="91"/>
      <c r="K117" s="141"/>
      <c r="L117" s="140"/>
      <c r="M117" s="140"/>
      <c r="N117" s="140"/>
      <c r="O117" s="145"/>
    </row>
    <row r="118" spans="1:19" ht="17.100000000000001" customHeight="1" thickBot="1" x14ac:dyDescent="0.3">
      <c r="A118" s="147"/>
      <c r="B118" s="148"/>
      <c r="C118" s="148"/>
      <c r="D118" s="148"/>
      <c r="E118" s="148"/>
      <c r="F118" s="148"/>
      <c r="G118" s="148"/>
      <c r="H118" s="148"/>
      <c r="I118" s="148"/>
      <c r="J118" s="148"/>
      <c r="K118" s="142"/>
      <c r="L118" s="143"/>
      <c r="M118" s="143"/>
      <c r="N118" s="143"/>
      <c r="O118" s="146"/>
    </row>
    <row r="119" spans="1:19" ht="14.1" customHeight="1" x14ac:dyDescent="0.25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</row>
    <row r="120" spans="1:19" ht="14.1" customHeight="1" x14ac:dyDescent="0.25"/>
    <row r="121" spans="1:19" ht="14.1" customHeight="1" x14ac:dyDescent="0.25"/>
    <row r="122" spans="1:19" ht="14.1" customHeight="1" x14ac:dyDescent="0.25"/>
  </sheetData>
  <sortState xmlns:xlrd2="http://schemas.microsoft.com/office/spreadsheetml/2017/richdata2" ref="A32:N76">
    <sortCondition ref="E32:E76"/>
  </sortState>
  <mergeCells count="83">
    <mergeCell ref="A101:O101"/>
    <mergeCell ref="A102:F102"/>
    <mergeCell ref="G102:J102"/>
    <mergeCell ref="K102:N110"/>
    <mergeCell ref="O102:O110"/>
    <mergeCell ref="A103:F110"/>
    <mergeCell ref="G103:J110"/>
    <mergeCell ref="A119:J119"/>
    <mergeCell ref="K119:S119"/>
    <mergeCell ref="A111:O111"/>
    <mergeCell ref="A112:D113"/>
    <mergeCell ref="E112:J113"/>
    <mergeCell ref="K112:N118"/>
    <mergeCell ref="O112:O118"/>
    <mergeCell ref="A114:J118"/>
    <mergeCell ref="N49:N50"/>
    <mergeCell ref="B51:F51"/>
    <mergeCell ref="A93:G93"/>
    <mergeCell ref="J93:N93"/>
    <mergeCell ref="A94:N100"/>
    <mergeCell ref="E49:E50"/>
    <mergeCell ref="F49:F50"/>
    <mergeCell ref="G49:G50"/>
    <mergeCell ref="H49:L49"/>
    <mergeCell ref="M49:M50"/>
    <mergeCell ref="A88:N88"/>
    <mergeCell ref="A57:N57"/>
    <mergeCell ref="A55:N55"/>
    <mergeCell ref="A84:N84"/>
    <mergeCell ref="A62:N62"/>
    <mergeCell ref="A80:N80"/>
    <mergeCell ref="O14:O100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49:A50"/>
    <mergeCell ref="B49:B50"/>
    <mergeCell ref="C49:C50"/>
    <mergeCell ref="D49:D50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64:N64"/>
    <mergeCell ref="A70:N70"/>
    <mergeCell ref="A72:N72"/>
    <mergeCell ref="A67:N67"/>
    <mergeCell ref="A76:N76"/>
  </mergeCells>
  <phoneticPr fontId="13" type="noConversion"/>
  <hyperlinks>
    <hyperlink ref="E38" r:id="rId1" display="VALVULA DE DESCARGA EM METAL CROMADO PARA MICTORIO COM ACIONAMENTO POR PRESSAO E FECHAMENTO AUTOMATICO" xr:uid="{00000000-0004-0000-0000-000000000000}"/>
  </hyperlinks>
  <pageMargins left="0.25" right="0.25" top="0.75" bottom="0.75" header="0.3" footer="0.3"/>
  <pageSetup paperSize="9" scale="53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DD40D2F-B8DD-4F93-8C1C-A687F9B1E42C}"/>
</file>

<file path=customXml/itemProps2.xml><?xml version="1.0" encoding="utf-8"?>
<ds:datastoreItem xmlns:ds="http://schemas.openxmlformats.org/officeDocument/2006/customXml" ds:itemID="{3332B7C0-4BC3-46F1-B885-13D097BF279F}"/>
</file>

<file path=customXml/itemProps3.xml><?xml version="1.0" encoding="utf-8"?>
<ds:datastoreItem xmlns:ds="http://schemas.openxmlformats.org/officeDocument/2006/customXml" ds:itemID="{464A29A4-8499-40BD-B5E5-AEB583184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2023-10-17T10:32:55Z</cp:lastPrinted>
  <dcterms:created xsi:type="dcterms:W3CDTF">2022-01-02T19:12:46Z</dcterms:created>
  <dcterms:modified xsi:type="dcterms:W3CDTF">2023-10-17T11:38:57Z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