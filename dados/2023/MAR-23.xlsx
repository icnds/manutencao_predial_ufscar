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xl/media/image1.png" ContentType="image/png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ão Carlos" sheetId="1" state="visible" r:id="rId2"/>
    <sheet name="Planilha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<sst xmlns="http://schemas.openxmlformats.org/spreadsheetml/2006/main" count="751" uniqueCount="236">
  <si>
    <t xml:space="preserve">LOGO</t>
  </si>
  <si>
    <t xml:space="preserve">Ordem de Serviço</t>
  </si>
  <si>
    <t xml:space="preserve">Prioridade:</t>
  </si>
  <si>
    <t xml:space="preserve">URGENTE</t>
  </si>
  <si>
    <t xml:space="preserve">24 horas </t>
  </si>
  <si>
    <t xml:space="preserve">ALTA</t>
  </si>
  <si>
    <t xml:space="preserve">3 dias</t>
  </si>
  <si>
    <t xml:space="preserve">MÉDIA</t>
  </si>
  <si>
    <t xml:space="preserve">7 dias</t>
  </si>
  <si>
    <t xml:space="preserve">BAIXA</t>
  </si>
  <si>
    <t xml:space="preserve">15 dias </t>
  </si>
  <si>
    <r>
      <rPr>
        <b val="true"/>
        <sz val="8"/>
        <color rgb="FF000000"/>
        <rFont val="Arial"/>
        <family val="2"/>
        <charset val="1"/>
      </rPr>
      <t xml:space="preserve">UNIDADE: </t>
    </r>
    <r>
      <rPr>
        <sz val="8"/>
        <color rgb="FFFF0000"/>
        <rFont val="Arial"/>
        <family val="2"/>
        <charset val="1"/>
      </rPr>
      <t xml:space="preserve">UFSCar Campus São Carlos</t>
    </r>
  </si>
  <si>
    <r>
      <rPr>
        <sz val="8"/>
        <color rgb="FF000000"/>
        <rFont val="Arial"/>
        <family val="2"/>
        <charset val="1"/>
      </rPr>
      <t xml:space="preserve">CONTRATO: </t>
    </r>
    <r>
      <rPr>
        <sz val="8"/>
        <color rgb="FFFF0000"/>
        <rFont val="Arial"/>
        <family val="2"/>
        <charset val="1"/>
      </rPr>
      <t xml:space="preserve"> 023/2022</t>
    </r>
  </si>
  <si>
    <t xml:space="preserve">SOLICITAÇÃO</t>
  </si>
  <si>
    <r>
      <rPr>
        <sz val="8"/>
        <color rgb="FF000000"/>
        <rFont val="Arial"/>
        <family val="2"/>
        <charset val="1"/>
      </rPr>
      <t xml:space="preserve">Descrição serviço: </t>
    </r>
    <r>
      <rPr>
        <b val="true"/>
        <sz val="8"/>
        <color rgb="FF000000"/>
        <rFont val="Arial"/>
        <family val="2"/>
        <charset val="1"/>
      </rPr>
      <t xml:space="preserve">ROTINAS DE MANUTENÇÃO PREDIAL NO CAMPUS SÃO CARLOS, REFERENTE AO MÊS DE MARÇO/2023</t>
    </r>
  </si>
  <si>
    <r>
      <rPr>
        <sz val="8"/>
        <color rgb="FF000000"/>
        <rFont val="Arial"/>
        <family val="2"/>
        <charset val="1"/>
      </rPr>
      <t xml:space="preserve">Solicitante: </t>
    </r>
    <r>
      <rPr>
        <sz val="8"/>
        <color rgb="FFFF0000"/>
        <rFont val="Arial"/>
        <family val="2"/>
        <charset val="1"/>
      </rPr>
      <t xml:space="preserve">Prefeitura Universitária do Campus São Carlos</t>
    </r>
  </si>
  <si>
    <r>
      <rPr>
        <sz val="8"/>
        <color rgb="FF000000"/>
        <rFont val="Arial"/>
        <family val="2"/>
        <charset val="1"/>
      </rPr>
      <t xml:space="preserve">Ambiente: </t>
    </r>
    <r>
      <rPr>
        <sz val="8"/>
        <color rgb="FFFF0000"/>
        <rFont val="Arial"/>
        <family val="2"/>
        <charset val="1"/>
      </rPr>
      <t xml:space="preserve">Campus São Carlos</t>
    </r>
  </si>
  <si>
    <r>
      <rPr>
        <sz val="8"/>
        <color rgb="FF000000"/>
        <rFont val="Arial"/>
        <family val="2"/>
        <charset val="1"/>
      </rPr>
      <t xml:space="preserve">Prazo de execução: </t>
    </r>
    <r>
      <rPr>
        <sz val="8"/>
        <color rgb="FFFF0000"/>
        <rFont val="Arial"/>
        <family val="2"/>
        <charset val="1"/>
      </rPr>
      <t xml:space="preserve">Continuado</t>
    </r>
  </si>
  <si>
    <r>
      <rPr>
        <sz val="8"/>
        <color rgb="FF000000"/>
        <rFont val="Arial"/>
        <family val="2"/>
        <charset val="1"/>
      </rPr>
      <t xml:space="preserve">Prazo de início: </t>
    </r>
    <r>
      <rPr>
        <sz val="8"/>
        <color rgb="FFFF0000"/>
        <rFont val="Arial"/>
        <family val="2"/>
        <charset val="1"/>
      </rPr>
      <t xml:space="preserve">13/06/2022</t>
    </r>
  </si>
  <si>
    <r>
      <rPr>
        <sz val="8"/>
        <color rgb="FF000000"/>
        <rFont val="Arial"/>
        <family val="2"/>
        <charset val="1"/>
      </rPr>
      <t xml:space="preserve">Data Orçamento: </t>
    </r>
    <r>
      <rPr>
        <sz val="8"/>
        <color rgb="FFFF0000"/>
        <rFont val="Arial"/>
        <family val="2"/>
        <charset val="1"/>
      </rPr>
      <t xml:space="preserve">Jun/22</t>
    </r>
  </si>
  <si>
    <r>
      <rPr>
        <sz val="8"/>
        <color rgb="FF000000"/>
        <rFont val="Arial"/>
        <family val="2"/>
        <charset val="1"/>
      </rPr>
      <t xml:space="preserve">Mês de referência: </t>
    </r>
    <r>
      <rPr>
        <sz val="8"/>
        <color rgb="FFFF0000"/>
        <rFont val="Arial"/>
        <family val="2"/>
        <charset val="1"/>
      </rPr>
      <t xml:space="preserve">Maio/2022 (data da proposta)</t>
    </r>
  </si>
  <si>
    <t xml:space="preserve">ITEM</t>
  </si>
  <si>
    <t xml:space="preserve">TIPO</t>
  </si>
  <si>
    <t xml:space="preserve">CÓDIGO</t>
  </si>
  <si>
    <t xml:space="preserve">BANCO</t>
  </si>
  <si>
    <t xml:space="preserve">DESCRIÇÃO DAS ETAPAS</t>
  </si>
  <si>
    <t xml:space="preserve">UNID.</t>
  </si>
  <si>
    <t xml:space="preserve">QUANT.</t>
  </si>
  <si>
    <t xml:space="preserve">PREÇO</t>
  </si>
  <si>
    <t xml:space="preserve">TOTAL DA ETAPA</t>
  </si>
  <si>
    <t xml:space="preserve">%</t>
  </si>
  <si>
    <t xml:space="preserve">ORÇAMENTO</t>
  </si>
  <si>
    <t xml:space="preserve">UNITÁRIO SEM BDI</t>
  </si>
  <si>
    <t xml:space="preserve">BDI (22,32%)</t>
  </si>
  <si>
    <t xml:space="preserve">UNITÁRIO COM BDI</t>
  </si>
  <si>
    <t xml:space="preserve">DESCONTO (0,03%)</t>
  </si>
  <si>
    <t xml:space="preserve">UNITÁRIO C/ BDI e DESCONTO</t>
  </si>
  <si>
    <t xml:space="preserve">EQUIPE DE PRESTAÇÃO DE SERVIÇOS ROTINEIROS DE MANUTENÇÃO PREDIAL</t>
  </si>
  <si>
    <t xml:space="preserve">1.1</t>
  </si>
  <si>
    <t xml:space="preserve">Composição </t>
  </si>
  <si>
    <t xml:space="preserve"> 90776 </t>
  </si>
  <si>
    <t xml:space="preserve">SINAPI</t>
  </si>
  <si>
    <t xml:space="preserve">ENCARREGADO GERAL COM ENCARGOS COMPLEMENTARES</t>
  </si>
  <si>
    <t xml:space="preserve">h</t>
  </si>
  <si>
    <t xml:space="preserve">1.2</t>
  </si>
  <si>
    <t xml:space="preserve"> 88267 </t>
  </si>
  <si>
    <t xml:space="preserve">ENCANADOR OU BOMBEIRO HIDRÁULICO COM ENCARGOS COMPLEMENTARES</t>
  </si>
  <si>
    <t xml:space="preserve">1.3</t>
  </si>
  <si>
    <t xml:space="preserve">1.4</t>
  </si>
  <si>
    <t xml:space="preserve"> 88248 </t>
  </si>
  <si>
    <t xml:space="preserve">AUXILIAR DE ENCANADOR OU BOMBEIRO HIDRÁULICO COM ENCARGOS COMPLEMENTARES</t>
  </si>
  <si>
    <t xml:space="preserve">1.5</t>
  </si>
  <si>
    <t xml:space="preserve">1.6</t>
  </si>
  <si>
    <t xml:space="preserve"> 88309 </t>
  </si>
  <si>
    <t xml:space="preserve">PEDREIRO COM ENCARGOS COMPLEMENTARES</t>
  </si>
  <si>
    <t xml:space="preserve">1.7</t>
  </si>
  <si>
    <t xml:space="preserve">1.8</t>
  </si>
  <si>
    <t xml:space="preserve"> 88242 </t>
  </si>
  <si>
    <t xml:space="preserve">AJUDANTE DE PEDREIRO COM ENCARGOS COMPLEMENTARES</t>
  </si>
  <si>
    <t xml:space="preserve">1.9</t>
  </si>
  <si>
    <t xml:space="preserve">1.10</t>
  </si>
  <si>
    <t xml:space="preserve">1.11</t>
  </si>
  <si>
    <t xml:space="preserve"> 88241 </t>
  </si>
  <si>
    <t xml:space="preserve">AJUDANTE DE OPERAÇÃO EM GERAL COM ENCARGOS COMPLEMENTARES</t>
  </si>
  <si>
    <t xml:space="preserve">1.12</t>
  </si>
  <si>
    <t xml:space="preserve">BDI (15,32%)</t>
  </si>
  <si>
    <t xml:space="preserve">MATERIAIS NECESSÁRIOS PARA O DESEMPENHO DAS ROTINAS</t>
  </si>
  <si>
    <t xml:space="preserve">2.1</t>
  </si>
  <si>
    <t xml:space="preserve">Insumos</t>
  </si>
  <si>
    <t xml:space="preserve">CIMENTO PORTLAND COMPOSTO CP II-32</t>
  </si>
  <si>
    <t xml:space="preserve">KG</t>
  </si>
  <si>
    <t xml:space="preserve">2.2</t>
  </si>
  <si>
    <t xml:space="preserve">AREIA GROSSA - POSTO JAZIDA/FORNECEDOR (RETIRADO NA JAZIDA, SEM TRANSPORTE)</t>
  </si>
  <si>
    <t xml:space="preserve">m3</t>
  </si>
  <si>
    <t xml:space="preserve">2.3</t>
  </si>
  <si>
    <t xml:space="preserve">PEDRA BRITADA N. 0, OU PEDRISCO (4,8 A 9,5 MM) POSTO PEDREIRA/FORNECEDOR, SEM FRETE</t>
  </si>
  <si>
    <t xml:space="preserve">2.4</t>
  </si>
  <si>
    <t xml:space="preserve">2.5</t>
  </si>
  <si>
    <t xml:space="preserve">2.6</t>
  </si>
  <si>
    <t xml:space="preserve">ARAME RECOZIDO 16 BWG, D = 1,65 MM (0,016 KG/M) OU 18 BWG, D = 1,25 MM (0,01 KG/M)</t>
  </si>
  <si>
    <t xml:space="preserve">kg</t>
  </si>
  <si>
    <t xml:space="preserve">2.7</t>
  </si>
  <si>
    <t xml:space="preserve">ARGAMASSA COLANTE AC I PARA CERAMICAS</t>
  </si>
  <si>
    <t xml:space="preserve">2.8</t>
  </si>
  <si>
    <t xml:space="preserve">ACO CA-60, 8,0 MM OU 9,5 MM, VERGALHAO</t>
  </si>
  <si>
    <t xml:space="preserve">2.9</t>
  </si>
  <si>
    <t xml:space="preserve">REJUNTE CIMENTICIO, QUALQUER COR</t>
  </si>
  <si>
    <t xml:space="preserve">2.10</t>
  </si>
  <si>
    <t xml:space="preserve">REVESTIMENTO EM CERAMICA ESMALTADA EXTRA, PEI MAIOR OU IGUAL 4, FORMATO MAIOR A 2025 CM2</t>
  </si>
  <si>
    <t xml:space="preserve">m²</t>
  </si>
  <si>
    <t xml:space="preserve">2.11</t>
  </si>
  <si>
    <t xml:space="preserve">BUCHA DE REDUCAO DE FERRO GALVANIZADO, COM ROSCA BSP, DE 3/4" X 1/2"</t>
  </si>
  <si>
    <t xml:space="preserve">2.12</t>
  </si>
  <si>
    <t xml:space="preserve">ASSENTO SANITARIO DE PLASTICO, TIPO CONVENCIONAL</t>
  </si>
  <si>
    <t xml:space="preserve">2.13</t>
  </si>
  <si>
    <t xml:space="preserve">TUBO DE DESCARGA, TIPO BENGALA, PARA LIGACAO CAIXA DE DESCARGA - EMBUTIR, PVC, 40 MM X 150 CM</t>
  </si>
  <si>
    <t xml:space="preserve">2.14</t>
  </si>
  <si>
    <t xml:space="preserve">SIFAO PLASTICO FLEXIVEL SAIDA VERTICAL PARA COLUNA LAVATORIO, 1 X 1.1/2 "</t>
  </si>
  <si>
    <t xml:space="preserve">2.15</t>
  </si>
  <si>
    <t xml:space="preserve">TORNEIRA DE BOIA CONVENCIONAL PARA CAIXA D'AGUA, AGUA FRIA, 3/4", COM HASTE E TORNEIRA METALICOS E BALAO PLASTICO</t>
  </si>
  <si>
    <t xml:space="preserve">2.16</t>
  </si>
  <si>
    <t xml:space="preserve">TORNEIRA DE BOIA CONVENCIONAL PARA CAIXA D'AGUA, 1", AGUA FRIA, COM HASTE E TORNEIRA METALICOS E BALAO PLASTICO</t>
  </si>
  <si>
    <t xml:space="preserve">2.17</t>
  </si>
  <si>
    <t xml:space="preserve">REGISTRO DE ESFERA, PVC, COM VOLANTE, VS, SOLDAVEL, DN 60 MM, COM CORPO DIVIDIDO</t>
  </si>
  <si>
    <t xml:space="preserve">2.18</t>
  </si>
  <si>
    <t xml:space="preserve">CURVA DE PVC 90 GRAUS, SOLDAVEL, 60 MM, PARA AGUA FRIA PREDIAL (NBR 5648)</t>
  </si>
  <si>
    <t xml:space="preserve">2.19</t>
  </si>
  <si>
    <t xml:space="preserve">CURVA DE PVC 90 GRAUS, SOLDAVEL, 75 MM, PARA AGUA FRIA PREDIAL (NBR 5648)</t>
  </si>
  <si>
    <t xml:space="preserve">2.20</t>
  </si>
  <si>
    <t xml:space="preserve">CURVA DE PVC 90 GRAUS, SOLDAVEL, 85 MM, PARA AGUA FRIA PREDIAL (NBR 5648)</t>
  </si>
  <si>
    <t xml:space="preserve">2.21</t>
  </si>
  <si>
    <t xml:space="preserve">JOELHO PVC, SOLDAVEL, 90 GRAUS, 25 MM, PARA AGUA FRIA PREDIAL</t>
  </si>
  <si>
    <t xml:space="preserve">2.22</t>
  </si>
  <si>
    <t xml:space="preserve">LUVA PVC SOLDAVEL, 25 MM, PARA AGUA FRIA PREDIAL</t>
  </si>
  <si>
    <t xml:space="preserve">2.23</t>
  </si>
  <si>
    <t xml:space="preserve">LUVA SOLDAVEL COM BUCHA DE LATAO, PVC, 25 MM X 1/2"</t>
  </si>
  <si>
    <t xml:space="preserve">2.24</t>
  </si>
  <si>
    <t xml:space="preserve">TE SOLDAVEL, PVC, 90 GRAUS, 25 MM, PARA AGUA FRIA PREDIAL (NBR 5648)</t>
  </si>
  <si>
    <t xml:space="preserve">2.25</t>
  </si>
  <si>
    <t xml:space="preserve">TE SOLDAVEL, PVC, 90 GRAUS, 60 MM, PARA AGUA FRIA PREDIAL (NBR 5648)</t>
  </si>
  <si>
    <t xml:space="preserve">2.26</t>
  </si>
  <si>
    <t xml:space="preserve">TE SOLDAVEL, PVC, 90 GRAUS, 75 MM, PARA AGUA FRIA PREDIAL (NBR 5648)</t>
  </si>
  <si>
    <t xml:space="preserve">2.27</t>
  </si>
  <si>
    <t xml:space="preserve">TUBO PVC, SOLDAVEL, DN 25 MM, AGUA FRIA (NBR-5648)</t>
  </si>
  <si>
    <t xml:space="preserve">M</t>
  </si>
  <si>
    <t xml:space="preserve">2.28</t>
  </si>
  <si>
    <t xml:space="preserve">TUBO PVC, SOLDAVEL, DN 85 MM, AGUA FRIA (NBR-5648)</t>
  </si>
  <si>
    <t xml:space="preserve">2.29</t>
  </si>
  <si>
    <t xml:space="preserve">TORNEIRA METALICA CROMADA PARA JARDIM / TANQUE, COM BICO PLASTICO, CANO LONGO, DE PAREDE, PADRAO POPULAR / USO GERAL , 1/2 " OU 3/4 " (REF 1153 / 1130)</t>
  </si>
  <si>
    <t xml:space="preserve">2.30</t>
  </si>
  <si>
    <t xml:space="preserve">BUCHA DE NYLON SEM ABA S8</t>
  </si>
  <si>
    <t xml:space="preserve">2.31</t>
  </si>
  <si>
    <t xml:space="preserve">BUCHA DE NYLON SEM ABA S6</t>
  </si>
  <si>
    <t xml:space="preserve">2.32</t>
  </si>
  <si>
    <t xml:space="preserve">FITA ISOLANTE ADESIVA ANTICHAMA, USO ATE 750 V, EM ROLO DE 19 MM X 20 M</t>
  </si>
  <si>
    <t xml:space="preserve">2.33</t>
  </si>
  <si>
    <t xml:space="preserve">LAMPADA LED 10 W BIVOLT BRANCA, FORMATO TRADICIONAL (BASE E27)</t>
  </si>
  <si>
    <t xml:space="preserve">2.34</t>
  </si>
  <si>
    <t xml:space="preserve">INTERRUPTOR BIPOLAR 10A, 250V, CONJUNTO MONTADO PARA EMBUTIR 4" X 2" (PLACA + SUPORTE + MODULO)</t>
  </si>
  <si>
    <t xml:space="preserve">2.35</t>
  </si>
  <si>
    <t xml:space="preserve">INTERRUPTOR PARALELO 10A, 250V, CONJUNTO MONTADO PARA EMBUTIR 4" X 2" (PLACA + SUPORTE + MODULO)</t>
  </si>
  <si>
    <t xml:space="preserve">2.36</t>
  </si>
  <si>
    <t xml:space="preserve">orse</t>
  </si>
  <si>
    <t xml:space="preserve">Caixa de descarga acoplada, DUAL, linha Aspen/Izy/Ravena/Fast/Flex, DECA ou similar</t>
  </si>
  <si>
    <t xml:space="preserve">2.37</t>
  </si>
  <si>
    <t xml:space="preserve">TORNEIRA METALICA CROMADA DE MESA PARA LAVATORIO, BICA ALTA, COM AREJADOR (REF 1195)</t>
  </si>
  <si>
    <t xml:space="preserve">2.38</t>
  </si>
  <si>
    <t xml:space="preserve">SELANTE ELASTICO MONOCOMPONENTE A BASE DE POLIURETANO (PU) PARA JUNTAS DIVERSAS</t>
  </si>
  <si>
    <t xml:space="preserve">2.39</t>
  </si>
  <si>
    <t xml:space="preserve">6.95.47</t>
  </si>
  <si>
    <t xml:space="preserve">FDE</t>
  </si>
  <si>
    <t xml:space="preserve">REPARO P/VALVULA DESCARGA HIDRA LISA II</t>
  </si>
  <si>
    <t xml:space="preserve">2.40</t>
  </si>
  <si>
    <t xml:space="preserve">CHAVE DUPLA PARA CONEXOES TIPO STORZ, ENGATE RAPIDO 1 1/2" X 2 1/2", EM LATAO, PARA INSTALACAO PREDIAL COMBATE A INCENDIO</t>
  </si>
  <si>
    <t xml:space="preserve">2.41</t>
  </si>
  <si>
    <t xml:space="preserve">ESGUICHO JATO REGULAVEL, TIPO ELKHART, ENGATE RAPIDO 1 1/2", PARA COMBATE A INCENDIO</t>
  </si>
  <si>
    <t xml:space="preserve">2.42</t>
  </si>
  <si>
    <t xml:space="preserve">MANGUEIRA DE INCENDIO, TIPO 2, DE 1 1/2", COMPRIMENTO = 30 M, TECIDO EM FIO DE POLIESTER E TUBO INTERNO EM BORRACHA SINTETICA, COM UNIOES</t>
  </si>
  <si>
    <t xml:space="preserve">2.43</t>
  </si>
  <si>
    <t xml:space="preserve">EXTINTOR DE INCENDIO PORTATIL COM CARGA DE PO QUIMICO SECO (PQS) DE 6 KG, CLASSE BC</t>
  </si>
  <si>
    <t xml:space="preserve">2.44</t>
  </si>
  <si>
    <t xml:space="preserve">O.16.000.067042 </t>
  </si>
  <si>
    <t xml:space="preserve">CPOS</t>
  </si>
  <si>
    <t xml:space="preserve">RECARGA DE EXTINTOR DE PO QUIMICO SECO</t>
  </si>
  <si>
    <t xml:space="preserve">2.45</t>
  </si>
  <si>
    <t xml:space="preserve">O.16.000.067043</t>
  </si>
  <si>
    <t xml:space="preserve">RECARGA DE EXTINTOR DE GAS CARBONICO</t>
  </si>
  <si>
    <t xml:space="preserve">ESCONTO (0,03%)</t>
  </si>
  <si>
    <t xml:space="preserve">SERVIÇOS / EQUIPAMENTOS ADICIONAIS NECESSÁRIOS DURANTE AS ROTINAS</t>
  </si>
  <si>
    <t xml:space="preserve">3.1</t>
  </si>
  <si>
    <t xml:space="preserve">3.2</t>
  </si>
  <si>
    <t xml:space="preserve">TRANSPORTE COM CAMINHÃO BASCULANTE DE 10 M³, EM VIA URBANA EM LEITO NATURAL (UNIDADE: M3XKM). AF_07/2020</t>
  </si>
  <si>
    <t xml:space="preserve">M3XKM</t>
  </si>
  <si>
    <t xml:space="preserve">Portas Dpto Ciencias Sociais - part. 01</t>
  </si>
  <si>
    <t xml:space="preserve">3.3</t>
  </si>
  <si>
    <t xml:space="preserve">PORTA DE MADEIRA PARA PINTURA, SEMI-OCA (LEVE OU MÉDIA), 80X210CM, ESPESSURA DE 3,5CM, INCLUSO DOBRADIÇAS - FORNECIMENTO E INSTALAÇÃO. AF_12/2019</t>
  </si>
  <si>
    <t xml:space="preserve">unid</t>
  </si>
  <si>
    <t xml:space="preserve">3.4</t>
  </si>
  <si>
    <t xml:space="preserve">FECHADURA DE EMBUTIR PARA PORTAS INTERNAS, COMPLETA, ACABAMENTO PADRÃO MÉDIO, COM EXECUÇÃO DE FURO - FORNECIMENTO E INSTALAÇÃO. AF_12/2019</t>
  </si>
  <si>
    <t xml:space="preserve">u</t>
  </si>
  <si>
    <t xml:space="preserve">3.5</t>
  </si>
  <si>
    <t xml:space="preserve">REMOÇÃO DE PORTAS, DE FORMA MANUAL, SEM REAPROVEITAMENTO. AF_12/2017</t>
  </si>
  <si>
    <t xml:space="preserve">Pintura Dciv</t>
  </si>
  <si>
    <t xml:space="preserve">3.6</t>
  </si>
  <si>
    <t xml:space="preserve">APLICAÇÃO MANUAL DE PINTURA COM TINTA LÁTEX ACRÍLICA EM TETO, DUAS DEMÃOS. AF_06/2014</t>
  </si>
  <si>
    <t xml:space="preserve">3.7</t>
  </si>
  <si>
    <t xml:space="preserve"> 88489 </t>
  </si>
  <si>
    <t xml:space="preserve">APLICAÇÃO MANUAL DE PINTURA COM TINTA LÁTEX ACRÍLICA EM PAREDES, DUAS DEMÃOS. AF_06/2014</t>
  </si>
  <si>
    <t xml:space="preserve">3.8</t>
  </si>
  <si>
    <t xml:space="preserve"> 88485 </t>
  </si>
  <si>
    <t xml:space="preserve">APLICAÇÃO DE FUNDO SELADOR ACRÍLICO EM PAREDES, UMA DEMÃO. AF_06/2014</t>
  </si>
  <si>
    <t xml:space="preserve">3.9</t>
  </si>
  <si>
    <t xml:space="preserve"> 99814 </t>
  </si>
  <si>
    <t xml:space="preserve">LIMPEZA DE SUPERFÍCIE COM JATO DE ALTA PRESSÃO. AF_04/2019</t>
  </si>
  <si>
    <t xml:space="preserve">Pintura Caixa Dágua poço 05</t>
  </si>
  <si>
    <t xml:space="preserve">3.10</t>
  </si>
  <si>
    <t xml:space="preserve">LIXAMENTO MANUAL EM SUPERFÍCIES METÁLICAS EM OBRA. AF_01/2020</t>
  </si>
  <si>
    <t xml:space="preserve">3.11</t>
  </si>
  <si>
    <t xml:space="preserve">PINTURA COM TINTA ALQUÍDICA DE FUNDO (TIPO ZARCÃO) PULVERIZADA SOBRE PERFIL METÁLICO EXECUTADO EM FÁBRICA (POR DEMÃO). AF_01/2020_P</t>
  </si>
  <si>
    <t xml:space="preserve">3.12</t>
  </si>
  <si>
    <t xml:space="preserve">PINTURA COM TINTA ALQUÍDICA DE ACABAMENTO (ESMALTE SINTÉTICO BRILHANTE) PULVERIZADA SOBRE SUPERFÍCIES METÁLICAS (EXCETO PERFIL) EXECUTADO EM OBRA (02 DEMÃOS). AF_01/2020_P</t>
  </si>
  <si>
    <t xml:space="preserve">Pintura ProPq</t>
  </si>
  <si>
    <t xml:space="preserve">3.13</t>
  </si>
  <si>
    <t xml:space="preserve">3.14</t>
  </si>
  <si>
    <t xml:space="preserve">3.15</t>
  </si>
  <si>
    <t xml:space="preserve">FORRO EM PLACAS DE GESSO, PARA AMBIENTES COMERCIAIS. AF_05/2017_P</t>
  </si>
  <si>
    <t xml:space="preserve">TOTAL DO SERVIÇO - R$</t>
  </si>
  <si>
    <r>
      <rPr>
        <sz val="8"/>
        <color rgb="FF000000"/>
        <rFont val="Arial"/>
        <family val="2"/>
        <charset val="1"/>
      </rPr>
      <t xml:space="preserve">Observações: 
1) As composições de custos apresentadas nesta planilha orçamentária englobam em seu valor toda a mão de obra, materiais, ferramentas, equipamentos e demais itens necessários à sua perfeita e completa execução.
2) Preços das composições e insumos do </t>
    </r>
    <r>
      <rPr>
        <b val="true"/>
        <sz val="8"/>
        <color rgb="FFFF0000"/>
        <rFont val="Arial"/>
        <family val="2"/>
        <charset val="1"/>
      </rPr>
      <t xml:space="preserve">SINAPI São Paulo (mês 05/2022) </t>
    </r>
    <r>
      <rPr>
        <sz val="8"/>
        <color rgb="FF000000"/>
        <rFont val="Arial"/>
        <family val="2"/>
        <charset val="1"/>
      </rPr>
      <t xml:space="preserve">e/ou demais preços do mercado vigentes na mesma data.
3) A identificação de materiais ou equipamentos por determinada marca implica apenas na caracterização de uma analogia ou similaridade, não tendo caráter vinculante e sim, meramente indicativo.
4) O BDI e o desconto adotados são os acordados no respectivo contrato, bem como a modalidade de impostos desonerados ou padrão, considerando o ISS da Prefeitura local do serviço.
</t>
    </r>
  </si>
  <si>
    <t xml:space="preserve">APROVAÇÃO DO ORÇAMENTO</t>
  </si>
  <si>
    <t xml:space="preserve">Ordem Serviço Eletrônica</t>
  </si>
  <si>
    <t xml:space="preserve">APROVAÇÃO ORÇAMENTO</t>
  </si>
  <si>
    <t xml:space="preserve">Conforme Serviços.UFSCar</t>
  </si>
  <si>
    <t xml:space="preserve">
Conforme Servicos.UFSCar
</t>
  </si>
  <si>
    <t xml:space="preserve">Data de início:
Hora de início:
</t>
  </si>
  <si>
    <t xml:space="preserve">Data de conclusão:
Hora de conclusão:
</t>
  </si>
  <si>
    <t xml:space="preserve"> _____________________________________________
Fiscal do Contrato / Assinatura
</t>
  </si>
  <si>
    <t xml:space="preserve">EXECUÇÃO / ATESTE DE
APROVAÇAO DO SERVIÇO
</t>
  </si>
  <si>
    <t xml:space="preserve">Observações do fiscal do contrato: </t>
  </si>
  <si>
    <t xml:space="preserve">VALOR COMPRA</t>
  </si>
  <si>
    <t xml:space="preserve">VALOR TOTAL ITEM</t>
  </si>
  <si>
    <t xml:space="preserve">FORNECEDOR</t>
  </si>
  <si>
    <t xml:space="preserve">NF</t>
  </si>
  <si>
    <t xml:space="preserve">RENTABILIDADE</t>
  </si>
  <si>
    <t xml:space="preserve">TAURUS</t>
  </si>
  <si>
    <t xml:space="preserve">JABU</t>
  </si>
  <si>
    <t xml:space="preserve">m</t>
  </si>
  <si>
    <t xml:space="preserve">2.54</t>
  </si>
  <si>
    <t xml:space="preserve">EXT. S. CARLOS</t>
  </si>
  <si>
    <t xml:space="preserve">2.55</t>
  </si>
  <si>
    <t xml:space="preserve">2.56</t>
  </si>
  <si>
    <t xml:space="preserve">2.57</t>
  </si>
  <si>
    <t xml:space="preserve">2.60</t>
  </si>
  <si>
    <t xml:space="preserve">50.20.130</t>
  </si>
  <si>
    <t xml:space="preserve">2.61</t>
  </si>
  <si>
    <t xml:space="preserve">50.20.120</t>
  </si>
  <si>
    <t xml:space="preserve">RECARGA DE EXTINTOT DE GAS CARBONICO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</si>
</sst>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&quot;R$ &quot;* #,##0.00_-;&quot;-R$ &quot;* #,##0.00_-;_-&quot;R$ &quot;* \-??_-;_-@_-"/>
    <numFmt numFmtId="166" formatCode="#,##0.00"/>
    <numFmt numFmtId="167" formatCode="0.00"/>
    <numFmt numFmtId="168" formatCode="_-* #,##0.00_-;\-* #,##0.00_-;_-* \-??_-;_-@_-"/>
    <numFmt numFmtId="169" formatCode="0%"/>
  </numFmts>
  <fonts count="2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b val="true"/>
      <sz val="8"/>
      <color rgb="FF3F3F3F"/>
      <name val="Arial"/>
      <family val="2"/>
      <charset val="1"/>
    </font>
    <font>
      <b val="true"/>
      <sz val="11"/>
      <color rgb="FF3F3F3F"/>
      <name val="Calibri"/>
      <family val="2"/>
      <charset val="1"/>
    </font>
    <font>
      <sz val="8"/>
      <color rgb="FF3F3F3F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8"/>
      <color rgb="FFFF0000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8"/>
      <color rgb="FF5983B0"/>
      <name val="Arial"/>
      <family val="2"/>
      <charset val="1"/>
    </font>
    <font>
      <sz val="8"/>
      <color rgb="FF0000FF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8"/>
      <color rgb="FF333333"/>
      <name val="Arial"/>
      <family val="2"/>
      <charset val="1"/>
    </font>
    <font>
      <sz val="9"/>
      <color rgb="FF333333"/>
      <name val="Arial"/>
      <family val="2"/>
      <charset val="1"/>
    </font>
    <font>
      <b val="true"/>
      <sz val="8"/>
      <color rgb="FF3465A4"/>
      <name val="Arial"/>
      <family val="2"/>
      <charset val="1"/>
    </font>
    <font>
      <b val="true"/>
      <sz val="8"/>
      <color rgb="FFFF0000"/>
      <name val="Arial"/>
      <family val="2"/>
      <charset val="1"/>
    </font>
    <font>
      <sz val="8"/>
      <color rgb="FF000000"/>
      <name val="Calibri"/>
      <family val="2"/>
      <charset val="1"/>
    </font>
    <font>
      <sz val="8"/>
      <color rgb="FF000000"/>
      <name val="Arial"/>
      <family val="1"/>
      <charset val="1"/>
    </font>
    <font>
      <b val="true"/>
      <sz val="8"/>
      <color rgb="FF3465A4"/>
      <name val="Arial"/>
      <family val="1"/>
      <charset val="1"/>
    </font>
    <font>
      <sz val="8"/>
      <color rgb="FF3465A4"/>
      <name val="Arial"/>
      <family val="1"/>
      <charset val="1"/>
    </font>
    <font>
      <sz val="8"/>
      <name val="Arial"/>
      <family val="1"/>
      <charset val="1"/>
    </font>
    <font>
      <sz val="8"/>
      <color rgb="FF333333"/>
      <name val="Arial"/>
      <family val="1"/>
      <charset val="1"/>
    </font>
    <font>
      <sz val="8"/>
      <color rgb="FF0000FF"/>
      <name val="Calibri"/>
      <family val="2"/>
      <charset val="1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>
        <color rgb="FF3F3F3F"/>
      </left>
      <right style="medium"/>
      <top style="medium"/>
      <bottom style="thin">
        <color rgb="FF3F3F3F"/>
      </bottom>
      <diagonal/>
    </border>
    <border diagonalUp="false" diagonalDown="false">
      <left style="thin">
        <color rgb="FF3F3F3F"/>
      </left>
      <right style="medium"/>
      <top style="thin">
        <color rgb="FF3F3F3F"/>
      </top>
      <bottom style="thin">
        <color rgb="FF3F3F3F"/>
      </bottom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>
        <color rgb="FF3F3F3F"/>
      </right>
      <top style="thin">
        <color rgb="FF3F3F3F"/>
      </top>
      <bottom/>
      <diagonal/>
    </border>
    <border diagonalUp="false" diagonalDown="false">
      <left style="thin">
        <color rgb="FF3F3F3F"/>
      </left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/>
      <diagonal/>
    </border>
    <border diagonalUp="false" diagonalDown="false">
      <left style="medium"/>
      <right/>
      <top style="thin">
        <color rgb="FF3F3F3F"/>
      </top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3F3F3F"/>
      </left>
      <right style="thin">
        <color rgb="FF3F3F3F"/>
      </right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 style="thin">
        <color rgb="FF3F3F3F"/>
      </left>
      <right style="medium"/>
      <top style="thin">
        <color rgb="FF3F3F3F"/>
      </top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2" borderId="1" applyFont="true" applyBorder="tru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4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2" borderId="4" xfId="21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1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2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6" xfId="22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2" borderId="6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8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8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9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6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2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3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22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2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6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1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9" fillId="0" borderId="1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2" xfId="21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3" xfId="21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9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27" xfId="21" applyFont="true" applyBorder="true" applyAlignment="true" applyProtection="true">
      <alignment horizontal="left" vertical="center" textRotation="90" wrapText="true" indent="0" shrinkToFit="false"/>
      <protection locked="true" hidden="false"/>
    </xf>
    <xf numFmtId="164" fontId="4" fillId="0" borderId="2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5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" fillId="0" borderId="1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5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6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31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1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15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0" borderId="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3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2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3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3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5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3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35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6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1" fillId="0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Output" xfId="21"/>
    <cellStyle name="Excel Built-in Explanatory Text" xfId="22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65A4"/>
      <rgbColor rgb="FF33CCCC"/>
      <rgbColor rgb="FF99CC00"/>
      <rgbColor rgb="FFFFCC00"/>
      <rgbColor rgb="FFFF9900"/>
      <rgbColor rgb="FFFF6600"/>
      <rgbColor rgb="FF5983B0"/>
      <rgbColor rgb="FF969696"/>
      <rgbColor rgb="FF003366"/>
      <rgbColor rgb="FF339966"/>
      <rgbColor rgb="FF003300"/>
      <rgbColor rgb="FF3F3F3F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2042640</xdr:colOff>
      <xdr:row>1</xdr:row>
      <xdr:rowOff>96840</xdr:rowOff>
    </xdr:from>
    <xdr:to>
      <xdr:col>4</xdr:col>
      <xdr:colOff>2991240</xdr:colOff>
      <xdr:row>4</xdr:row>
      <xdr:rowOff>178920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5020200" y="306360"/>
          <a:ext cx="948600" cy="71064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ile:///C:/Users/anivaldo/AppData/Roaming/2022/10%20Outubro/Notas%20Fiscais/NF%20Taurus%20SA.pdf" TargetMode="External"/><Relationship Id="rId2" Type="http://schemas.openxmlformats.org/officeDocument/2006/relationships/hyperlink" Target="file:///C:/Users/anivaldo/AppData/Roaming/2022/10%20Outubro/Notas%20Fiscais/NF%20516064%20Jabu%20SA.pdf" TargetMode="External"/><Relationship Id="rId3" Type="http://schemas.openxmlformats.org/officeDocument/2006/relationships/hyperlink" Target="file:///C:/Users/anivaldo/AppData/Roaming/2022/10%20Outubro/Notas%20Fiscais/NF%20Taurus%20SA.pdf" TargetMode="External"/><Relationship Id="rId4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file:///C:/Users/anivaldo/AppData/Roaming/2022/10%20Outubro/Notas%20Fiscais/NF%20Taurus%20SA.pdf" TargetMode="External"/><Relationship Id="rId2" Type="http://schemas.openxmlformats.org/officeDocument/2006/relationships/hyperlink" Target="file:///C:/Users/anivaldo/AppData/Roaming/2022/10%20Outubro/Notas%20Fiscais/NF%20516064%20Jabu%20SA.pdf" TargetMode="External"/><Relationship Id="rId3" Type="http://schemas.openxmlformats.org/officeDocument/2006/relationships/hyperlink" Target="file:///C:/Users/anivaldo/AppData/Roaming/2022/10%20Outubro/Notas%20Fiscais/NF%20Taurus%20SA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2"/>
  <sheetViews>
    <sheetView showFormulas="false" showGridLines="true" showRowColHeaders="true" showZeros="true" rightToLeft="false" tabSelected="true" showOutlineSymbols="true" defaultGridColor="true" view="normal" topLeftCell="A7" colorId="64" zoomScale="85" zoomScaleNormal="85" zoomScalePageLayoutView="100" workbookViewId="0">
      <selection pane="topLeft" activeCell="M69" activeCellId="0" sqref="M69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0.71"/>
    <col collapsed="false" customWidth="true" hidden="false" outlineLevel="0" max="4" min="4" style="0" width="12.15"/>
    <col collapsed="false" customWidth="true" hidden="false" outlineLevel="0" max="5" min="5" style="0" width="66.57"/>
    <col collapsed="false" customWidth="true" hidden="false" outlineLevel="0" max="6" min="6" style="0" width="5.71"/>
    <col collapsed="false" customWidth="true" hidden="false" outlineLevel="0" max="8" min="8" style="0" width="23.71"/>
    <col collapsed="false" customWidth="true" hidden="false" outlineLevel="0" max="9" min="9" style="0" width="12.42"/>
    <col collapsed="false" customWidth="true" hidden="false" outlineLevel="0" max="10" min="10" style="0" width="19"/>
    <col collapsed="false" customWidth="true" hidden="false" outlineLevel="0" max="11" min="11" style="0" width="18.86"/>
    <col collapsed="false" customWidth="true" hidden="false" outlineLevel="0" max="12" min="12" style="0" width="29.29"/>
    <col collapsed="false" customWidth="true" hidden="false" outlineLevel="0" max="13" min="13" style="0" width="18"/>
    <col collapsed="false" customWidth="true" hidden="false" outlineLevel="0" max="14" min="14" style="0" width="10.71"/>
    <col collapsed="false" customWidth="true" hidden="false" outlineLevel="0" max="15" min="15" style="0" width="4.71"/>
  </cols>
  <sheetData>
    <row r="1" customFormat="false" ht="16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/>
      <c r="L1" s="2"/>
      <c r="M1" s="2"/>
      <c r="N1" s="2"/>
      <c r="O1" s="2"/>
    </row>
    <row r="2" customFormat="false" ht="16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3" t="s">
        <v>2</v>
      </c>
      <c r="K2" s="3"/>
      <c r="L2" s="3"/>
      <c r="M2" s="3"/>
      <c r="N2" s="3"/>
      <c r="O2" s="3"/>
    </row>
    <row r="3" customFormat="false" ht="16.5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4" t="s">
        <v>3</v>
      </c>
      <c r="K3" s="4"/>
      <c r="L3" s="4"/>
      <c r="M3" s="4" t="s">
        <v>4</v>
      </c>
      <c r="N3" s="4"/>
      <c r="O3" s="5"/>
    </row>
    <row r="4" customFormat="false" ht="16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4" t="s">
        <v>5</v>
      </c>
      <c r="K4" s="4"/>
      <c r="L4" s="4"/>
      <c r="M4" s="4" t="s">
        <v>6</v>
      </c>
      <c r="N4" s="4"/>
      <c r="O4" s="6"/>
    </row>
    <row r="5" customFormat="false" ht="16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4" t="s">
        <v>7</v>
      </c>
      <c r="K5" s="4"/>
      <c r="L5" s="4"/>
      <c r="M5" s="4" t="s">
        <v>8</v>
      </c>
      <c r="N5" s="4"/>
      <c r="O5" s="5"/>
    </row>
    <row r="6" customFormat="false" ht="16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4" t="s">
        <v>9</v>
      </c>
      <c r="K6" s="4"/>
      <c r="L6" s="4"/>
      <c r="M6" s="4" t="s">
        <v>10</v>
      </c>
      <c r="N6" s="4"/>
      <c r="O6" s="5"/>
    </row>
    <row r="7" customFormat="false" ht="16.5" hidden="false" customHeight="true" outlineLevel="0" collapsed="false">
      <c r="A7" s="7" t="s">
        <v>11</v>
      </c>
      <c r="B7" s="7"/>
      <c r="C7" s="7"/>
      <c r="D7" s="7"/>
      <c r="E7" s="7"/>
      <c r="F7" s="7"/>
      <c r="G7" s="7"/>
      <c r="H7" s="7"/>
      <c r="I7" s="7"/>
      <c r="J7" s="8" t="s">
        <v>12</v>
      </c>
      <c r="K7" s="8"/>
      <c r="L7" s="8"/>
      <c r="M7" s="8"/>
      <c r="N7" s="8"/>
      <c r="O7" s="9" t="s">
        <v>13</v>
      </c>
    </row>
    <row r="8" customFormat="false" ht="16.5" hidden="false" customHeight="true" outlineLevel="0" collapsed="false">
      <c r="A8" s="10" t="s">
        <v>14</v>
      </c>
      <c r="B8" s="10"/>
      <c r="C8" s="10"/>
      <c r="D8" s="10"/>
      <c r="E8" s="10"/>
      <c r="F8" s="10"/>
      <c r="G8" s="10"/>
      <c r="H8" s="10"/>
      <c r="I8" s="10"/>
      <c r="J8" s="8" t="s">
        <v>15</v>
      </c>
      <c r="K8" s="8"/>
      <c r="L8" s="8"/>
      <c r="M8" s="8"/>
      <c r="N8" s="8"/>
      <c r="O8" s="9"/>
    </row>
    <row r="9" customFormat="false" ht="16.5" hidden="false" customHeight="tru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8" t="s">
        <v>16</v>
      </c>
      <c r="K9" s="8"/>
      <c r="L9" s="8"/>
      <c r="M9" s="8"/>
      <c r="N9" s="8"/>
      <c r="O9" s="9"/>
    </row>
    <row r="10" customFormat="false" ht="16.5" hidden="false" customHeight="tru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8" t="s">
        <v>17</v>
      </c>
      <c r="K10" s="8"/>
      <c r="L10" s="8"/>
      <c r="M10" s="8"/>
      <c r="N10" s="8"/>
      <c r="O10" s="9"/>
    </row>
    <row r="11" customFormat="false" ht="16.5" hidden="false" customHeight="tru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8" t="s">
        <v>18</v>
      </c>
      <c r="K11" s="8"/>
      <c r="L11" s="8"/>
      <c r="M11" s="8"/>
      <c r="N11" s="8"/>
      <c r="O11" s="9"/>
    </row>
    <row r="12" customFormat="false" ht="16.5" hidden="false" customHeight="tru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8" t="s">
        <v>19</v>
      </c>
      <c r="K12" s="8"/>
      <c r="L12" s="8"/>
      <c r="M12" s="8"/>
      <c r="N12" s="8"/>
      <c r="O12" s="9"/>
    </row>
    <row r="13" customFormat="false" ht="16.5" hidden="false" customHeight="tru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8" t="s">
        <v>20</v>
      </c>
      <c r="K13" s="8"/>
      <c r="L13" s="8"/>
      <c r="M13" s="8"/>
      <c r="N13" s="8"/>
      <c r="O13" s="9"/>
    </row>
    <row r="14" customFormat="false" ht="16.5" hidden="false" customHeight="true" outlineLevel="0" collapsed="false">
      <c r="A14" s="11" t="s">
        <v>21</v>
      </c>
      <c r="B14" s="12" t="s">
        <v>22</v>
      </c>
      <c r="C14" s="12" t="s">
        <v>23</v>
      </c>
      <c r="D14" s="12" t="s">
        <v>24</v>
      </c>
      <c r="E14" s="12" t="s">
        <v>25</v>
      </c>
      <c r="F14" s="12" t="s">
        <v>26</v>
      </c>
      <c r="G14" s="12" t="s">
        <v>27</v>
      </c>
      <c r="H14" s="13" t="s">
        <v>28</v>
      </c>
      <c r="I14" s="13"/>
      <c r="J14" s="13"/>
      <c r="K14" s="13"/>
      <c r="L14" s="13"/>
      <c r="M14" s="12" t="s">
        <v>29</v>
      </c>
      <c r="N14" s="12" t="s">
        <v>30</v>
      </c>
      <c r="O14" s="9" t="s">
        <v>31</v>
      </c>
    </row>
    <row r="15" customFormat="false" ht="16.5" hidden="false" customHeight="true" outlineLevel="0" collapsed="false">
      <c r="A15" s="11"/>
      <c r="B15" s="12"/>
      <c r="C15" s="12"/>
      <c r="D15" s="12"/>
      <c r="E15" s="12"/>
      <c r="F15" s="12"/>
      <c r="G15" s="12"/>
      <c r="H15" s="12" t="s">
        <v>32</v>
      </c>
      <c r="I15" s="14" t="s">
        <v>33</v>
      </c>
      <c r="J15" s="12" t="s">
        <v>34</v>
      </c>
      <c r="K15" s="14" t="s">
        <v>35</v>
      </c>
      <c r="L15" s="12" t="s">
        <v>36</v>
      </c>
      <c r="M15" s="12"/>
      <c r="N15" s="12"/>
      <c r="O15" s="9"/>
    </row>
    <row r="16" customFormat="false" ht="16.5" hidden="false" customHeight="true" outlineLevel="0" collapsed="false">
      <c r="A16" s="15" t="n">
        <v>1</v>
      </c>
      <c r="B16" s="16"/>
      <c r="C16" s="17"/>
      <c r="D16" s="17"/>
      <c r="E16" s="18" t="s">
        <v>37</v>
      </c>
      <c r="F16" s="19"/>
      <c r="G16" s="19"/>
      <c r="H16" s="19"/>
      <c r="I16" s="19"/>
      <c r="J16" s="19"/>
      <c r="K16" s="19"/>
      <c r="L16" s="19"/>
      <c r="M16" s="20" t="n">
        <f aca="false">SUM(M17:M30)</f>
        <v>66260.1376255104</v>
      </c>
      <c r="N16" s="21" t="n">
        <f aca="false">SUM(N17:N28)</f>
        <v>1</v>
      </c>
      <c r="O16" s="9"/>
    </row>
    <row r="17" customFormat="false" ht="26.25" hidden="false" customHeight="true" outlineLevel="0" collapsed="false">
      <c r="A17" s="22" t="s">
        <v>38</v>
      </c>
      <c r="B17" s="22" t="s">
        <v>39</v>
      </c>
      <c r="C17" s="23" t="s">
        <v>40</v>
      </c>
      <c r="D17" s="23" t="s">
        <v>41</v>
      </c>
      <c r="E17" s="24" t="s">
        <v>42</v>
      </c>
      <c r="F17" s="25" t="s">
        <v>43</v>
      </c>
      <c r="G17" s="26" t="n">
        <v>180</v>
      </c>
      <c r="H17" s="27" t="n">
        <v>33.69</v>
      </c>
      <c r="I17" s="28" t="n">
        <f aca="false">H17*0.2232</f>
        <v>7.519608</v>
      </c>
      <c r="J17" s="28" t="n">
        <f aca="false">H17+I17</f>
        <v>41.209608</v>
      </c>
      <c r="K17" s="28" t="n">
        <f aca="false">J17*(0.03%)</f>
        <v>0.0123628824</v>
      </c>
      <c r="L17" s="28" t="n">
        <f aca="false">J17-K17</f>
        <v>41.1972451176</v>
      </c>
      <c r="M17" s="28" t="n">
        <f aca="false">L17*G17</f>
        <v>7415.504121168</v>
      </c>
      <c r="N17" s="28" t="n">
        <f aca="false">M17/M$16</f>
        <v>0.11191501235749</v>
      </c>
      <c r="O17" s="9"/>
    </row>
    <row r="18" customFormat="false" ht="26.25" hidden="false" customHeight="true" outlineLevel="0" collapsed="false">
      <c r="A18" s="22" t="s">
        <v>44</v>
      </c>
      <c r="B18" s="22" t="s">
        <v>39</v>
      </c>
      <c r="C18" s="23" t="s">
        <v>45</v>
      </c>
      <c r="D18" s="23" t="s">
        <v>41</v>
      </c>
      <c r="E18" s="24" t="s">
        <v>46</v>
      </c>
      <c r="F18" s="25" t="s">
        <v>43</v>
      </c>
      <c r="G18" s="26" t="n">
        <v>180</v>
      </c>
      <c r="H18" s="27" t="n">
        <v>29.01</v>
      </c>
      <c r="I18" s="28" t="n">
        <f aca="false">H18*0.2232</f>
        <v>6.475032</v>
      </c>
      <c r="J18" s="28" t="n">
        <f aca="false">H18+I18</f>
        <v>35.485032</v>
      </c>
      <c r="K18" s="28" t="n">
        <f aca="false">J18*(0.03%)</f>
        <v>0.0106455096</v>
      </c>
      <c r="L18" s="28" t="n">
        <f aca="false">J18-K18</f>
        <v>35.4743864904</v>
      </c>
      <c r="M18" s="28" t="n">
        <f aca="false">L18*G18</f>
        <v>6385.389568272</v>
      </c>
      <c r="N18" s="28" t="n">
        <f aca="false">M18/M$16</f>
        <v>0.0963684923861915</v>
      </c>
      <c r="O18" s="9"/>
    </row>
    <row r="19" customFormat="false" ht="26.25" hidden="false" customHeight="true" outlineLevel="0" collapsed="false">
      <c r="A19" s="22" t="s">
        <v>47</v>
      </c>
      <c r="B19" s="22" t="s">
        <v>39</v>
      </c>
      <c r="C19" s="23" t="s">
        <v>45</v>
      </c>
      <c r="D19" s="23" t="s">
        <v>41</v>
      </c>
      <c r="E19" s="24" t="s">
        <v>46</v>
      </c>
      <c r="F19" s="25" t="s">
        <v>43</v>
      </c>
      <c r="G19" s="26" t="n">
        <v>180</v>
      </c>
      <c r="H19" s="27" t="n">
        <v>29.01</v>
      </c>
      <c r="I19" s="28" t="n">
        <f aca="false">H19*0.2232</f>
        <v>6.475032</v>
      </c>
      <c r="J19" s="28" t="n">
        <f aca="false">H19+I19</f>
        <v>35.485032</v>
      </c>
      <c r="K19" s="28" t="n">
        <f aca="false">J19*(0.03%)</f>
        <v>0.0106455096</v>
      </c>
      <c r="L19" s="28" t="n">
        <f aca="false">J19-K19</f>
        <v>35.4743864904</v>
      </c>
      <c r="M19" s="28" t="n">
        <f aca="false">L19*G19</f>
        <v>6385.389568272</v>
      </c>
      <c r="N19" s="28" t="n">
        <f aca="false">M19/M$16</f>
        <v>0.0963684923861915</v>
      </c>
      <c r="O19" s="9"/>
    </row>
    <row r="20" customFormat="false" ht="26.25" hidden="false" customHeight="true" outlineLevel="0" collapsed="false">
      <c r="A20" s="22" t="s">
        <v>48</v>
      </c>
      <c r="B20" s="22" t="s">
        <v>39</v>
      </c>
      <c r="C20" s="23" t="s">
        <v>49</v>
      </c>
      <c r="D20" s="23" t="s">
        <v>41</v>
      </c>
      <c r="E20" s="24" t="s">
        <v>50</v>
      </c>
      <c r="F20" s="25" t="s">
        <v>43</v>
      </c>
      <c r="G20" s="26" t="n">
        <v>180</v>
      </c>
      <c r="H20" s="27" t="n">
        <v>24.94</v>
      </c>
      <c r="I20" s="28" t="n">
        <f aca="false">H20*0.2232</f>
        <v>5.566608</v>
      </c>
      <c r="J20" s="28" t="n">
        <f aca="false">H20+I20</f>
        <v>30.506608</v>
      </c>
      <c r="K20" s="28" t="n">
        <f aca="false">J20*(0.03%)</f>
        <v>0.0091519824</v>
      </c>
      <c r="L20" s="28" t="n">
        <f aca="false">J20-K20</f>
        <v>30.4974560176</v>
      </c>
      <c r="M20" s="28" t="n">
        <f aca="false">L20*G20</f>
        <v>5489.542083168</v>
      </c>
      <c r="N20" s="28" t="n">
        <f aca="false">M20/M$16</f>
        <v>0.0828483350607244</v>
      </c>
      <c r="O20" s="9"/>
    </row>
    <row r="21" customFormat="false" ht="26.25" hidden="false" customHeight="true" outlineLevel="0" collapsed="false">
      <c r="A21" s="22" t="s">
        <v>51</v>
      </c>
      <c r="B21" s="22" t="s">
        <v>39</v>
      </c>
      <c r="C21" s="23" t="s">
        <v>49</v>
      </c>
      <c r="D21" s="23" t="s">
        <v>41</v>
      </c>
      <c r="E21" s="24" t="s">
        <v>50</v>
      </c>
      <c r="F21" s="25" t="s">
        <v>43</v>
      </c>
      <c r="G21" s="26" t="n">
        <v>180</v>
      </c>
      <c r="H21" s="27" t="n">
        <v>24.94</v>
      </c>
      <c r="I21" s="28" t="n">
        <f aca="false">H21*0.2232</f>
        <v>5.566608</v>
      </c>
      <c r="J21" s="28" t="n">
        <f aca="false">H21+I21</f>
        <v>30.506608</v>
      </c>
      <c r="K21" s="28" t="n">
        <f aca="false">J21*(0.03%)</f>
        <v>0.0091519824</v>
      </c>
      <c r="L21" s="28" t="n">
        <f aca="false">J21-K21</f>
        <v>30.4974560176</v>
      </c>
      <c r="M21" s="28" t="n">
        <f aca="false">L21*G21</f>
        <v>5489.542083168</v>
      </c>
      <c r="N21" s="28" t="n">
        <f aca="false">M21/M$16</f>
        <v>0.0828483350607244</v>
      </c>
      <c r="O21" s="9"/>
    </row>
    <row r="22" customFormat="false" ht="26.25" hidden="false" customHeight="true" outlineLevel="0" collapsed="false">
      <c r="A22" s="22" t="s">
        <v>52</v>
      </c>
      <c r="B22" s="22" t="s">
        <v>39</v>
      </c>
      <c r="C22" s="23" t="s">
        <v>53</v>
      </c>
      <c r="D22" s="23" t="s">
        <v>41</v>
      </c>
      <c r="E22" s="24" t="s">
        <v>54</v>
      </c>
      <c r="F22" s="25" t="s">
        <v>43</v>
      </c>
      <c r="G22" s="26" t="n">
        <v>180</v>
      </c>
      <c r="H22" s="27" t="n">
        <v>28.4</v>
      </c>
      <c r="I22" s="28" t="n">
        <f aca="false">H22*0.2232</f>
        <v>6.33888</v>
      </c>
      <c r="J22" s="28" t="n">
        <f aca="false">H22+I22</f>
        <v>34.73888</v>
      </c>
      <c r="K22" s="28" t="n">
        <f aca="false">J22*(0.03%)</f>
        <v>0.010421664</v>
      </c>
      <c r="L22" s="28" t="n">
        <f aca="false">J22-K22</f>
        <v>34.728458336</v>
      </c>
      <c r="M22" s="28" t="n">
        <f aca="false">L22*G22</f>
        <v>6251.12250048</v>
      </c>
      <c r="N22" s="28" t="n">
        <f aca="false">M22/M$16</f>
        <v>0.0943421297403598</v>
      </c>
      <c r="O22" s="9"/>
    </row>
    <row r="23" customFormat="false" ht="26.25" hidden="false" customHeight="true" outlineLevel="0" collapsed="false">
      <c r="A23" s="22" t="s">
        <v>55</v>
      </c>
      <c r="B23" s="22" t="s">
        <v>39</v>
      </c>
      <c r="C23" s="23" t="s">
        <v>53</v>
      </c>
      <c r="D23" s="23" t="s">
        <v>41</v>
      </c>
      <c r="E23" s="24" t="s">
        <v>54</v>
      </c>
      <c r="F23" s="25" t="s">
        <v>43</v>
      </c>
      <c r="G23" s="26" t="n">
        <v>180</v>
      </c>
      <c r="H23" s="27" t="n">
        <v>28.4</v>
      </c>
      <c r="I23" s="28" t="n">
        <f aca="false">H23*0.2232</f>
        <v>6.33888</v>
      </c>
      <c r="J23" s="28" t="n">
        <f aca="false">H23+I23</f>
        <v>34.73888</v>
      </c>
      <c r="K23" s="28" t="n">
        <f aca="false">J23*(0.03%)</f>
        <v>0.010421664</v>
      </c>
      <c r="L23" s="28" t="n">
        <f aca="false">J23-K23</f>
        <v>34.728458336</v>
      </c>
      <c r="M23" s="28" t="n">
        <f aca="false">L23*G23</f>
        <v>6251.12250048</v>
      </c>
      <c r="N23" s="28" t="n">
        <f aca="false">M23/M$16</f>
        <v>0.0943421297403598</v>
      </c>
      <c r="O23" s="9"/>
    </row>
    <row r="24" customFormat="false" ht="26.25" hidden="false" customHeight="true" outlineLevel="0" collapsed="false">
      <c r="A24" s="22" t="s">
        <v>56</v>
      </c>
      <c r="B24" s="22" t="s">
        <v>39</v>
      </c>
      <c r="C24" s="23" t="s">
        <v>57</v>
      </c>
      <c r="D24" s="23" t="s">
        <v>41</v>
      </c>
      <c r="E24" s="24" t="s">
        <v>58</v>
      </c>
      <c r="F24" s="25" t="s">
        <v>43</v>
      </c>
      <c r="G24" s="26" t="n">
        <v>180</v>
      </c>
      <c r="H24" s="27" t="n">
        <v>24.45</v>
      </c>
      <c r="I24" s="28" t="n">
        <f aca="false">H24*0.2232</f>
        <v>5.45724</v>
      </c>
      <c r="J24" s="28" t="n">
        <f aca="false">H24+I24</f>
        <v>29.90724</v>
      </c>
      <c r="K24" s="28" t="n">
        <f aca="false">J24*(0.03%)</f>
        <v>0.008972172</v>
      </c>
      <c r="L24" s="28" t="n">
        <f aca="false">J24-K24</f>
        <v>29.898267828</v>
      </c>
      <c r="M24" s="28" t="n">
        <f aca="false">L24*G24</f>
        <v>5381.68820904</v>
      </c>
      <c r="N24" s="28" t="n">
        <f aca="false">M24/M$16</f>
        <v>0.0812206011321055</v>
      </c>
      <c r="O24" s="9"/>
    </row>
    <row r="25" customFormat="false" ht="26.25" hidden="false" customHeight="true" outlineLevel="0" collapsed="false">
      <c r="A25" s="22" t="s">
        <v>59</v>
      </c>
      <c r="B25" s="22" t="s">
        <v>39</v>
      </c>
      <c r="C25" s="23" t="s">
        <v>57</v>
      </c>
      <c r="D25" s="23" t="s">
        <v>41</v>
      </c>
      <c r="E25" s="24" t="s">
        <v>58</v>
      </c>
      <c r="F25" s="25" t="s">
        <v>43</v>
      </c>
      <c r="G25" s="26" t="n">
        <v>180</v>
      </c>
      <c r="H25" s="27" t="n">
        <v>24.45</v>
      </c>
      <c r="I25" s="28" t="n">
        <f aca="false">H25*0.2232</f>
        <v>5.45724</v>
      </c>
      <c r="J25" s="28" t="n">
        <f aca="false">H25+I25</f>
        <v>29.90724</v>
      </c>
      <c r="K25" s="28" t="n">
        <f aca="false">J25*(0.03%)</f>
        <v>0.008972172</v>
      </c>
      <c r="L25" s="28" t="n">
        <f aca="false">J25-K25</f>
        <v>29.898267828</v>
      </c>
      <c r="M25" s="28" t="n">
        <f aca="false">L25*G25</f>
        <v>5381.68820904</v>
      </c>
      <c r="N25" s="28" t="n">
        <f aca="false">M25/M$16</f>
        <v>0.0812206011321055</v>
      </c>
      <c r="O25" s="9"/>
    </row>
    <row r="26" customFormat="false" ht="26.25" hidden="false" customHeight="true" outlineLevel="0" collapsed="false">
      <c r="A26" s="22" t="s">
        <v>60</v>
      </c>
      <c r="B26" s="22" t="s">
        <v>39</v>
      </c>
      <c r="C26" s="23" t="s">
        <v>57</v>
      </c>
      <c r="D26" s="23" t="s">
        <v>41</v>
      </c>
      <c r="E26" s="24" t="s">
        <v>58</v>
      </c>
      <c r="F26" s="25" t="s">
        <v>43</v>
      </c>
      <c r="G26" s="26" t="n">
        <v>180</v>
      </c>
      <c r="H26" s="27" t="n">
        <v>24.45</v>
      </c>
      <c r="I26" s="28" t="n">
        <f aca="false">H26*0.2232</f>
        <v>5.45724</v>
      </c>
      <c r="J26" s="28" t="n">
        <f aca="false">H26+I26</f>
        <v>29.90724</v>
      </c>
      <c r="K26" s="28" t="n">
        <f aca="false">J26*(0.03%)</f>
        <v>0.008972172</v>
      </c>
      <c r="L26" s="28" t="n">
        <f aca="false">J26-K26</f>
        <v>29.898267828</v>
      </c>
      <c r="M26" s="28" t="n">
        <f aca="false">L26*G26</f>
        <v>5381.68820904</v>
      </c>
      <c r="N26" s="28" t="n">
        <f aca="false">M26/M$16</f>
        <v>0.0812206011321055</v>
      </c>
      <c r="O26" s="9"/>
    </row>
    <row r="27" customFormat="false" ht="26.25" hidden="false" customHeight="true" outlineLevel="0" collapsed="false">
      <c r="A27" s="22" t="s">
        <v>61</v>
      </c>
      <c r="B27" s="22" t="s">
        <v>39</v>
      </c>
      <c r="C27" s="23" t="s">
        <v>62</v>
      </c>
      <c r="D27" s="23" t="s">
        <v>41</v>
      </c>
      <c r="E27" s="24" t="s">
        <v>63</v>
      </c>
      <c r="F27" s="25" t="s">
        <v>43</v>
      </c>
      <c r="G27" s="26" t="n">
        <f aca="false">4*9</f>
        <v>36</v>
      </c>
      <c r="H27" s="27" t="n">
        <v>24.41</v>
      </c>
      <c r="I27" s="28" t="n">
        <f aca="false">H27*0.2232</f>
        <v>5.448312</v>
      </c>
      <c r="J27" s="28" t="n">
        <f aca="false">H27+I27</f>
        <v>29.858312</v>
      </c>
      <c r="K27" s="28" t="n">
        <f aca="false">J27*(0.03%)</f>
        <v>0.0089574936</v>
      </c>
      <c r="L27" s="28" t="n">
        <f aca="false">J27-K27</f>
        <v>29.8493545064</v>
      </c>
      <c r="M27" s="28" t="n">
        <f aca="false">L27*G27</f>
        <v>1074.5767622304</v>
      </c>
      <c r="N27" s="28" t="n">
        <f aca="false">M27/M$16</f>
        <v>0.0162175449786069</v>
      </c>
      <c r="O27" s="9"/>
    </row>
    <row r="28" customFormat="false" ht="26.25" hidden="false" customHeight="true" outlineLevel="0" collapsed="false">
      <c r="A28" s="22" t="s">
        <v>64</v>
      </c>
      <c r="B28" s="22" t="s">
        <v>39</v>
      </c>
      <c r="C28" s="23" t="s">
        <v>62</v>
      </c>
      <c r="D28" s="23" t="s">
        <v>41</v>
      </c>
      <c r="E28" s="24" t="s">
        <v>63</v>
      </c>
      <c r="F28" s="25" t="s">
        <v>43</v>
      </c>
      <c r="G28" s="26" t="n">
        <v>180</v>
      </c>
      <c r="H28" s="27" t="n">
        <v>24.41</v>
      </c>
      <c r="I28" s="28" t="n">
        <f aca="false">H28*0.2232</f>
        <v>5.448312</v>
      </c>
      <c r="J28" s="28" t="n">
        <f aca="false">H28+I28</f>
        <v>29.858312</v>
      </c>
      <c r="K28" s="28" t="n">
        <f aca="false">J28*(0.03%)</f>
        <v>0.0089574936</v>
      </c>
      <c r="L28" s="28" t="n">
        <f aca="false">J28-K28</f>
        <v>29.8493545064</v>
      </c>
      <c r="M28" s="28" t="n">
        <f aca="false">L28*G28</f>
        <v>5372.883811152</v>
      </c>
      <c r="N28" s="28" t="n">
        <f aca="false">M28/M$16</f>
        <v>0.0810877248930346</v>
      </c>
      <c r="O28" s="9"/>
    </row>
    <row r="29" customFormat="false" ht="15" hidden="false" customHeight="false" outlineLevel="0" collapsed="false">
      <c r="A29" s="11" t="s">
        <v>21</v>
      </c>
      <c r="B29" s="12" t="s">
        <v>22</v>
      </c>
      <c r="C29" s="12" t="s">
        <v>23</v>
      </c>
      <c r="D29" s="12" t="s">
        <v>24</v>
      </c>
      <c r="E29" s="12" t="s">
        <v>25</v>
      </c>
      <c r="F29" s="12" t="s">
        <v>26</v>
      </c>
      <c r="G29" s="12" t="s">
        <v>27</v>
      </c>
      <c r="H29" s="13" t="s">
        <v>28</v>
      </c>
      <c r="I29" s="13"/>
      <c r="J29" s="13"/>
      <c r="K29" s="13"/>
      <c r="L29" s="13"/>
      <c r="M29" s="12" t="s">
        <v>29</v>
      </c>
      <c r="N29" s="12" t="s">
        <v>30</v>
      </c>
      <c r="O29" s="9"/>
    </row>
    <row r="30" customFormat="false" ht="16.5" hidden="false" customHeight="true" outlineLevel="0" collapsed="false">
      <c r="A30" s="11"/>
      <c r="B30" s="12"/>
      <c r="C30" s="12"/>
      <c r="D30" s="12"/>
      <c r="E30" s="12"/>
      <c r="F30" s="12"/>
      <c r="G30" s="12"/>
      <c r="H30" s="12" t="s">
        <v>32</v>
      </c>
      <c r="I30" s="29" t="s">
        <v>65</v>
      </c>
      <c r="J30" s="12" t="s">
        <v>34</v>
      </c>
      <c r="K30" s="14" t="s">
        <v>35</v>
      </c>
      <c r="L30" s="12" t="s">
        <v>36</v>
      </c>
      <c r="M30" s="12"/>
      <c r="N30" s="12"/>
      <c r="O30" s="9"/>
    </row>
    <row r="31" customFormat="false" ht="16.5" hidden="false" customHeight="true" outlineLevel="0" collapsed="false">
      <c r="A31" s="30" t="n">
        <v>2</v>
      </c>
      <c r="B31" s="31" t="s">
        <v>66</v>
      </c>
      <c r="C31" s="31"/>
      <c r="D31" s="31"/>
      <c r="E31" s="31"/>
      <c r="F31" s="31"/>
      <c r="G31" s="32"/>
      <c r="H31" s="32"/>
      <c r="I31" s="32"/>
      <c r="J31" s="32"/>
      <c r="K31" s="32"/>
      <c r="L31" s="32"/>
      <c r="M31" s="33" t="n">
        <f aca="false">SUM(M32:M78)</f>
        <v>26898.7636720418</v>
      </c>
      <c r="N31" s="32"/>
      <c r="O31" s="9"/>
    </row>
    <row r="32" s="37" customFormat="true" ht="16.5" hidden="false" customHeight="true" outlineLevel="0" collapsed="false">
      <c r="A32" s="34" t="s">
        <v>67</v>
      </c>
      <c r="B32" s="34" t="s">
        <v>68</v>
      </c>
      <c r="C32" s="34" t="n">
        <v>1379</v>
      </c>
      <c r="D32" s="34" t="s">
        <v>41</v>
      </c>
      <c r="E32" s="35" t="s">
        <v>69</v>
      </c>
      <c r="F32" s="34" t="s">
        <v>70</v>
      </c>
      <c r="G32" s="34" t="n">
        <v>1500</v>
      </c>
      <c r="H32" s="36" t="n">
        <v>0.66</v>
      </c>
      <c r="I32" s="28" t="n">
        <f aca="false">H32*0.1532</f>
        <v>0.101112</v>
      </c>
      <c r="J32" s="28" t="n">
        <f aca="false">H32+I32</f>
        <v>0.761112</v>
      </c>
      <c r="K32" s="28" t="n">
        <f aca="false">J32*(0.03%)</f>
        <v>0.0002283336</v>
      </c>
      <c r="L32" s="28" t="n">
        <f aca="false">J32-K32</f>
        <v>0.7608836664</v>
      </c>
      <c r="M32" s="28" t="n">
        <f aca="false">L32*G32</f>
        <v>1141.3254996</v>
      </c>
      <c r="N32" s="28" t="n">
        <f aca="false">M32/M31</f>
        <v>0.0424304073419656</v>
      </c>
      <c r="O32" s="9"/>
    </row>
    <row r="33" s="37" customFormat="true" ht="16.5" hidden="false" customHeight="true" outlineLevel="0" collapsed="false">
      <c r="A33" s="34" t="s">
        <v>71</v>
      </c>
      <c r="B33" s="34" t="s">
        <v>68</v>
      </c>
      <c r="C33" s="34" t="n">
        <v>367</v>
      </c>
      <c r="D33" s="34" t="s">
        <v>41</v>
      </c>
      <c r="E33" s="38" t="s">
        <v>72</v>
      </c>
      <c r="F33" s="34" t="s">
        <v>73</v>
      </c>
      <c r="G33" s="34" t="n">
        <v>5</v>
      </c>
      <c r="H33" s="39" t="n">
        <v>53.13</v>
      </c>
      <c r="I33" s="28" t="n">
        <f aca="false">H33*0.1532</f>
        <v>8.139516</v>
      </c>
      <c r="J33" s="28" t="n">
        <f aca="false">H33+I33</f>
        <v>61.269516</v>
      </c>
      <c r="K33" s="28" t="n">
        <f aca="false">J33*(0.03%)</f>
        <v>0.0183808548</v>
      </c>
      <c r="L33" s="28" t="n">
        <f aca="false">J33-K33</f>
        <v>61.2511351452</v>
      </c>
      <c r="M33" s="28" t="n">
        <f aca="false">L33*G33</f>
        <v>306.255675726</v>
      </c>
      <c r="N33" s="28" t="n">
        <f aca="false">M33/M32</f>
        <v>0.268333333333333</v>
      </c>
      <c r="O33" s="9"/>
    </row>
    <row r="34" s="37" customFormat="true" ht="16.5" hidden="false" customHeight="true" outlineLevel="0" collapsed="false">
      <c r="A34" s="34" t="s">
        <v>74</v>
      </c>
      <c r="B34" s="34" t="s">
        <v>68</v>
      </c>
      <c r="C34" s="34" t="n">
        <v>4720</v>
      </c>
      <c r="D34" s="34" t="s">
        <v>41</v>
      </c>
      <c r="E34" s="40" t="s">
        <v>75</v>
      </c>
      <c r="F34" s="34" t="s">
        <v>73</v>
      </c>
      <c r="G34" s="34" t="n">
        <v>5</v>
      </c>
      <c r="H34" s="36" t="n">
        <v>80.39</v>
      </c>
      <c r="I34" s="28" t="n">
        <f aca="false">H34*0.1532</f>
        <v>12.315748</v>
      </c>
      <c r="J34" s="28" t="n">
        <f aca="false">H34+I34</f>
        <v>92.705748</v>
      </c>
      <c r="K34" s="28" t="n">
        <f aca="false">J34*(0.03%)</f>
        <v>0.0278117244</v>
      </c>
      <c r="L34" s="28" t="n">
        <f aca="false">J34-K34</f>
        <v>92.6779362756</v>
      </c>
      <c r="M34" s="28" t="n">
        <f aca="false">L34*G34</f>
        <v>463.389681378</v>
      </c>
      <c r="N34" s="28" t="n">
        <f aca="false">M34/M33</f>
        <v>1.51308112177677</v>
      </c>
      <c r="O34" s="9"/>
    </row>
    <row r="35" s="37" customFormat="true" ht="16.5" hidden="false" customHeight="true" outlineLevel="0" collapsed="false">
      <c r="A35" s="34" t="s">
        <v>76</v>
      </c>
      <c r="B35" s="34" t="s">
        <v>68</v>
      </c>
      <c r="C35" s="34" t="n">
        <v>367</v>
      </c>
      <c r="D35" s="34" t="s">
        <v>41</v>
      </c>
      <c r="E35" s="38" t="s">
        <v>72</v>
      </c>
      <c r="F35" s="34" t="s">
        <v>73</v>
      </c>
      <c r="G35" s="34" t="n">
        <v>5</v>
      </c>
      <c r="H35" s="39" t="n">
        <v>53.13</v>
      </c>
      <c r="I35" s="28" t="n">
        <f aca="false">H35*0.1532</f>
        <v>8.139516</v>
      </c>
      <c r="J35" s="28" t="n">
        <f aca="false">H35+I35</f>
        <v>61.269516</v>
      </c>
      <c r="K35" s="28" t="n">
        <f aca="false">J35*(0.03%)</f>
        <v>0.0183808548</v>
      </c>
      <c r="L35" s="28" t="n">
        <f aca="false">J35-K35</f>
        <v>61.2511351452</v>
      </c>
      <c r="M35" s="28" t="n">
        <f aca="false">L35*G35</f>
        <v>306.255675726</v>
      </c>
      <c r="N35" s="28" t="n">
        <f aca="false">M35/M34</f>
        <v>0.660903097400174</v>
      </c>
      <c r="O35" s="9"/>
    </row>
    <row r="36" s="37" customFormat="true" ht="16.5" hidden="false" customHeight="true" outlineLevel="0" collapsed="false">
      <c r="A36" s="34" t="s">
        <v>77</v>
      </c>
      <c r="B36" s="34" t="s">
        <v>68</v>
      </c>
      <c r="C36" s="34" t="n">
        <v>1379</v>
      </c>
      <c r="D36" s="34" t="s">
        <v>41</v>
      </c>
      <c r="E36" s="35" t="s">
        <v>69</v>
      </c>
      <c r="F36" s="34" t="s">
        <v>70</v>
      </c>
      <c r="G36" s="34" t="n">
        <v>1000</v>
      </c>
      <c r="H36" s="36" t="n">
        <v>0.66</v>
      </c>
      <c r="I36" s="28" t="n">
        <f aca="false">H36*0.1532</f>
        <v>0.101112</v>
      </c>
      <c r="J36" s="28" t="n">
        <f aca="false">H36+I36</f>
        <v>0.761112</v>
      </c>
      <c r="K36" s="28" t="n">
        <f aca="false">J36*(0.03%)</f>
        <v>0.0002283336</v>
      </c>
      <c r="L36" s="28" t="n">
        <f aca="false">J36-K36</f>
        <v>0.7608836664</v>
      </c>
      <c r="M36" s="28" t="n">
        <f aca="false">L36*G36</f>
        <v>760.8836664</v>
      </c>
      <c r="N36" s="28" t="n">
        <f aca="false">M36/M35</f>
        <v>2.48447204968944</v>
      </c>
      <c r="O36" s="9"/>
    </row>
    <row r="37" s="37" customFormat="true" ht="16.5" hidden="false" customHeight="true" outlineLevel="0" collapsed="false">
      <c r="A37" s="34" t="s">
        <v>78</v>
      </c>
      <c r="B37" s="34" t="s">
        <v>68</v>
      </c>
      <c r="C37" s="34" t="n">
        <v>43132</v>
      </c>
      <c r="D37" s="34" t="s">
        <v>41</v>
      </c>
      <c r="E37" s="41" t="s">
        <v>79</v>
      </c>
      <c r="F37" s="34" t="s">
        <v>80</v>
      </c>
      <c r="G37" s="34" t="n">
        <v>5</v>
      </c>
      <c r="H37" s="36" t="n">
        <v>22.83</v>
      </c>
      <c r="I37" s="28" t="n">
        <f aca="false">H37*0.1532</f>
        <v>3.497556</v>
      </c>
      <c r="J37" s="28" t="n">
        <f aca="false">H37+I37</f>
        <v>26.327556</v>
      </c>
      <c r="K37" s="28" t="n">
        <f aca="false">J37*(0.03%)</f>
        <v>0.0078982668</v>
      </c>
      <c r="L37" s="28" t="n">
        <f aca="false">J37-K37</f>
        <v>26.3196577332</v>
      </c>
      <c r="M37" s="28" t="n">
        <f aca="false">L37*G37</f>
        <v>131.598288666</v>
      </c>
      <c r="N37" s="28" t="n">
        <f aca="false">M37/M36</f>
        <v>0.172954545454545</v>
      </c>
      <c r="O37" s="9"/>
    </row>
    <row r="38" s="37" customFormat="true" ht="16.5" hidden="false" customHeight="true" outlineLevel="0" collapsed="false">
      <c r="A38" s="34" t="s">
        <v>81</v>
      </c>
      <c r="B38" s="34" t="s">
        <v>68</v>
      </c>
      <c r="C38" s="34" t="n">
        <v>1381</v>
      </c>
      <c r="D38" s="34" t="s">
        <v>41</v>
      </c>
      <c r="E38" s="42" t="s">
        <v>82</v>
      </c>
      <c r="F38" s="34" t="s">
        <v>70</v>
      </c>
      <c r="G38" s="34" t="n">
        <v>100</v>
      </c>
      <c r="H38" s="36" t="n">
        <v>0.69</v>
      </c>
      <c r="I38" s="28" t="n">
        <f aca="false">H38*0.1532</f>
        <v>0.105708</v>
      </c>
      <c r="J38" s="28" t="n">
        <f aca="false">H38+I38</f>
        <v>0.795708</v>
      </c>
      <c r="K38" s="28" t="n">
        <f aca="false">J38*(0.03%)</f>
        <v>0.0002387124</v>
      </c>
      <c r="L38" s="28" t="n">
        <f aca="false">J38-K38</f>
        <v>0.7954692876</v>
      </c>
      <c r="M38" s="28" t="n">
        <f aca="false">L38*G38</f>
        <v>79.54692876</v>
      </c>
      <c r="N38" s="28" t="n">
        <f aca="false">M38/M37</f>
        <v>0.604467805519054</v>
      </c>
      <c r="O38" s="9"/>
    </row>
    <row r="39" s="37" customFormat="true" ht="16.5" hidden="false" customHeight="true" outlineLevel="0" collapsed="false">
      <c r="A39" s="34" t="s">
        <v>83</v>
      </c>
      <c r="B39" s="34" t="s">
        <v>68</v>
      </c>
      <c r="C39" s="34" t="n">
        <v>43060</v>
      </c>
      <c r="D39" s="34" t="s">
        <v>41</v>
      </c>
      <c r="E39" s="43" t="s">
        <v>84</v>
      </c>
      <c r="F39" s="34" t="s">
        <v>70</v>
      </c>
      <c r="G39" s="34" t="n">
        <f aca="false">4.704*10</f>
        <v>47.04</v>
      </c>
      <c r="H39" s="36" t="n">
        <v>8.87</v>
      </c>
      <c r="I39" s="28" t="n">
        <f aca="false">H39*0.1532</f>
        <v>1.358884</v>
      </c>
      <c r="J39" s="28" t="n">
        <f aca="false">H39+I39</f>
        <v>10.228884</v>
      </c>
      <c r="K39" s="28" t="n">
        <f aca="false">J39*(0.03%)</f>
        <v>0.0030686652</v>
      </c>
      <c r="L39" s="28" t="n">
        <f aca="false">J39-K39</f>
        <v>10.2258153348</v>
      </c>
      <c r="M39" s="28" t="n">
        <f aca="false">L39*G39</f>
        <v>481.022353348992</v>
      </c>
      <c r="N39" s="28" t="n">
        <f aca="false">M39/M38</f>
        <v>6.04702608695652</v>
      </c>
      <c r="O39" s="9"/>
    </row>
    <row r="40" s="37" customFormat="true" ht="16.5" hidden="false" customHeight="true" outlineLevel="0" collapsed="false">
      <c r="A40" s="34" t="s">
        <v>85</v>
      </c>
      <c r="B40" s="34" t="s">
        <v>68</v>
      </c>
      <c r="C40" s="34" t="n">
        <v>34357</v>
      </c>
      <c r="D40" s="34" t="s">
        <v>41</v>
      </c>
      <c r="E40" s="40" t="s">
        <v>86</v>
      </c>
      <c r="F40" s="34" t="s">
        <v>70</v>
      </c>
      <c r="G40" s="34" t="n">
        <v>5</v>
      </c>
      <c r="H40" s="36" t="n">
        <v>4.05</v>
      </c>
      <c r="I40" s="28" t="n">
        <f aca="false">H40*0.1532</f>
        <v>0.62046</v>
      </c>
      <c r="J40" s="28" t="n">
        <f aca="false">H40+I40</f>
        <v>4.67046</v>
      </c>
      <c r="K40" s="28" t="n">
        <f aca="false">J40*(0.03%)</f>
        <v>0.001401138</v>
      </c>
      <c r="L40" s="28" t="n">
        <f aca="false">J40-K40</f>
        <v>4.669058862</v>
      </c>
      <c r="M40" s="28" t="n">
        <f aca="false">L40*G40</f>
        <v>23.34529431</v>
      </c>
      <c r="N40" s="28" t="n">
        <f aca="false">M40/M39</f>
        <v>0.0485326599636473</v>
      </c>
      <c r="O40" s="9"/>
    </row>
    <row r="41" s="37" customFormat="true" ht="16.5" hidden="false" customHeight="true" outlineLevel="0" collapsed="false">
      <c r="A41" s="34" t="s">
        <v>87</v>
      </c>
      <c r="B41" s="34" t="s">
        <v>68</v>
      </c>
      <c r="C41" s="34" t="n">
        <v>10515</v>
      </c>
      <c r="D41" s="34" t="s">
        <v>41</v>
      </c>
      <c r="E41" s="43" t="s">
        <v>88</v>
      </c>
      <c r="F41" s="43" t="s">
        <v>89</v>
      </c>
      <c r="G41" s="34" t="n">
        <v>10</v>
      </c>
      <c r="H41" s="36" t="n">
        <v>46.86</v>
      </c>
      <c r="I41" s="28" t="n">
        <f aca="false">H41*0.1532</f>
        <v>7.178952</v>
      </c>
      <c r="J41" s="28" t="n">
        <f aca="false">H41+I41</f>
        <v>54.038952</v>
      </c>
      <c r="K41" s="28" t="n">
        <f aca="false">J41*(0.03%)</f>
        <v>0.0162116856</v>
      </c>
      <c r="L41" s="28" t="n">
        <f aca="false">J41-K41</f>
        <v>54.0227403144</v>
      </c>
      <c r="M41" s="28" t="n">
        <f aca="false">L41*G41</f>
        <v>540.227403144</v>
      </c>
      <c r="N41" s="28" t="n">
        <f aca="false">M41/M40</f>
        <v>23.1407407407407</v>
      </c>
      <c r="O41" s="9"/>
    </row>
    <row r="42" s="37" customFormat="true" ht="16.5" hidden="false" customHeight="true" outlineLevel="0" collapsed="false">
      <c r="A42" s="34" t="s">
        <v>90</v>
      </c>
      <c r="B42" s="34" t="s">
        <v>68</v>
      </c>
      <c r="C42" s="34" t="n">
        <v>779</v>
      </c>
      <c r="D42" s="34" t="s">
        <v>41</v>
      </c>
      <c r="E42" s="43" t="s">
        <v>91</v>
      </c>
      <c r="F42" s="34" t="s">
        <v>26</v>
      </c>
      <c r="G42" s="34" t="n">
        <v>20</v>
      </c>
      <c r="H42" s="36" t="n">
        <v>8.07</v>
      </c>
      <c r="I42" s="28" t="n">
        <f aca="false">H42*0.1532</f>
        <v>1.236324</v>
      </c>
      <c r="J42" s="28" t="n">
        <f aca="false">H42+I42</f>
        <v>9.306324</v>
      </c>
      <c r="K42" s="28" t="n">
        <f aca="false">J42*(0.03%)</f>
        <v>0.0027918972</v>
      </c>
      <c r="L42" s="28" t="n">
        <f aca="false">J42-K42</f>
        <v>9.3035321028</v>
      </c>
      <c r="M42" s="28" t="n">
        <f aca="false">L42*G42</f>
        <v>186.070642056</v>
      </c>
      <c r="N42" s="28" t="n">
        <f aca="false">M42/M41</f>
        <v>0.344430217669654</v>
      </c>
      <c r="O42" s="9"/>
    </row>
    <row r="43" s="37" customFormat="true" ht="16.5" hidden="false" customHeight="true" outlineLevel="0" collapsed="false">
      <c r="A43" s="34" t="s">
        <v>92</v>
      </c>
      <c r="B43" s="34" t="s">
        <v>68</v>
      </c>
      <c r="C43" s="44" t="n">
        <v>377</v>
      </c>
      <c r="D43" s="34" t="s">
        <v>41</v>
      </c>
      <c r="E43" s="35" t="s">
        <v>93</v>
      </c>
      <c r="F43" s="34" t="s">
        <v>26</v>
      </c>
      <c r="G43" s="34" t="n">
        <v>30</v>
      </c>
      <c r="H43" s="45" t="n">
        <v>42.48</v>
      </c>
      <c r="I43" s="28" t="n">
        <f aca="false">H43*0.1532</f>
        <v>6.507936</v>
      </c>
      <c r="J43" s="28" t="n">
        <f aca="false">H43+I43</f>
        <v>48.987936</v>
      </c>
      <c r="K43" s="28" t="n">
        <f aca="false">J43*(0.03%)</f>
        <v>0.0146963808</v>
      </c>
      <c r="L43" s="28" t="n">
        <f aca="false">J43-K43</f>
        <v>48.9732396192</v>
      </c>
      <c r="M43" s="28" t="n">
        <f aca="false">L43*G43</f>
        <v>1469.197188576</v>
      </c>
      <c r="N43" s="28" t="n">
        <f aca="false">M43/M42</f>
        <v>7.89591078066915</v>
      </c>
      <c r="O43" s="9"/>
    </row>
    <row r="44" s="37" customFormat="true" ht="16.5" hidden="false" customHeight="true" outlineLevel="0" collapsed="false">
      <c r="A44" s="34" t="s">
        <v>94</v>
      </c>
      <c r="B44" s="34" t="s">
        <v>68</v>
      </c>
      <c r="C44" s="34" t="n">
        <v>12613</v>
      </c>
      <c r="D44" s="34" t="s">
        <v>41</v>
      </c>
      <c r="E44" s="41" t="s">
        <v>95</v>
      </c>
      <c r="F44" s="34" t="s">
        <v>26</v>
      </c>
      <c r="G44" s="34" t="n">
        <v>15</v>
      </c>
      <c r="H44" s="36" t="n">
        <v>21.41</v>
      </c>
      <c r="I44" s="28" t="n">
        <f aca="false">H44*0.1532</f>
        <v>3.280012</v>
      </c>
      <c r="J44" s="28" t="n">
        <f aca="false">H44+I44</f>
        <v>24.690012</v>
      </c>
      <c r="K44" s="28" t="n">
        <f aca="false">J44*(0.03%)</f>
        <v>0.0074070036</v>
      </c>
      <c r="L44" s="28" t="n">
        <f aca="false">J44-K44</f>
        <v>24.6826049964</v>
      </c>
      <c r="M44" s="28" t="n">
        <f aca="false">L44*G44</f>
        <v>370.239074946</v>
      </c>
      <c r="N44" s="28" t="n">
        <f aca="false">M44/M43</f>
        <v>0.252000941619586</v>
      </c>
      <c r="O44" s="9"/>
    </row>
    <row r="45" s="37" customFormat="true" ht="16.5" hidden="false" customHeight="true" outlineLevel="0" collapsed="false">
      <c r="A45" s="34" t="s">
        <v>96</v>
      </c>
      <c r="B45" s="34" t="s">
        <v>68</v>
      </c>
      <c r="C45" s="34" t="n">
        <v>6148</v>
      </c>
      <c r="D45" s="34" t="s">
        <v>41</v>
      </c>
      <c r="E45" s="46" t="s">
        <v>97</v>
      </c>
      <c r="F45" s="34" t="s">
        <v>26</v>
      </c>
      <c r="G45" s="34" t="n">
        <v>15</v>
      </c>
      <c r="H45" s="36" t="n">
        <v>10.8</v>
      </c>
      <c r="I45" s="28" t="n">
        <f aca="false">H45*0.1532</f>
        <v>1.65456</v>
      </c>
      <c r="J45" s="28" t="n">
        <f aca="false">H45+I45</f>
        <v>12.45456</v>
      </c>
      <c r="K45" s="28" t="n">
        <f aca="false">J45*(0.03%)</f>
        <v>0.003736368</v>
      </c>
      <c r="L45" s="28" t="n">
        <f aca="false">J45-K45</f>
        <v>12.450823632</v>
      </c>
      <c r="M45" s="28" t="n">
        <f aca="false">L45*G45</f>
        <v>186.76235448</v>
      </c>
      <c r="N45" s="28" t="n">
        <f aca="false">M45/M44</f>
        <v>0.50443717888837</v>
      </c>
      <c r="O45" s="9"/>
    </row>
    <row r="46" s="37" customFormat="true" ht="16.5" hidden="false" customHeight="true" outlineLevel="0" collapsed="false">
      <c r="A46" s="34" t="s">
        <v>98</v>
      </c>
      <c r="B46" s="34" t="s">
        <v>68</v>
      </c>
      <c r="C46" s="34" t="n">
        <v>11830</v>
      </c>
      <c r="D46" s="34" t="s">
        <v>41</v>
      </c>
      <c r="E46" s="35" t="s">
        <v>99</v>
      </c>
      <c r="F46" s="34" t="s">
        <v>26</v>
      </c>
      <c r="G46" s="34" t="n">
        <v>10</v>
      </c>
      <c r="H46" s="36" t="n">
        <v>70.95</v>
      </c>
      <c r="I46" s="28" t="n">
        <f aca="false">H46*0.1532</f>
        <v>10.86954</v>
      </c>
      <c r="J46" s="28" t="n">
        <f aca="false">H46+I46</f>
        <v>81.81954</v>
      </c>
      <c r="K46" s="28" t="n">
        <f aca="false">J46*(0.03%)</f>
        <v>0.024545862</v>
      </c>
      <c r="L46" s="28" t="n">
        <f aca="false">J46-K46</f>
        <v>81.794994138</v>
      </c>
      <c r="M46" s="28" t="n">
        <f aca="false">L46*G46</f>
        <v>817.94994138</v>
      </c>
      <c r="N46" s="28" t="n">
        <f aca="false">M46/M45</f>
        <v>4.37962962962963</v>
      </c>
      <c r="O46" s="9"/>
    </row>
    <row r="47" s="37" customFormat="true" ht="16.5" hidden="false" customHeight="true" outlineLevel="0" collapsed="false">
      <c r="A47" s="34" t="s">
        <v>100</v>
      </c>
      <c r="B47" s="34" t="s">
        <v>68</v>
      </c>
      <c r="C47" s="34" t="n">
        <v>11825</v>
      </c>
      <c r="D47" s="34" t="s">
        <v>41</v>
      </c>
      <c r="E47" s="46" t="s">
        <v>101</v>
      </c>
      <c r="F47" s="34" t="s">
        <v>26</v>
      </c>
      <c r="G47" s="34" t="n">
        <v>10</v>
      </c>
      <c r="H47" s="36" t="n">
        <v>159.61</v>
      </c>
      <c r="I47" s="28" t="n">
        <f aca="false">H47*0.1532</f>
        <v>24.452252</v>
      </c>
      <c r="J47" s="28" t="n">
        <f aca="false">H47+I47</f>
        <v>184.062252</v>
      </c>
      <c r="K47" s="28" t="n">
        <f aca="false">J47*(0.03%)</f>
        <v>0.0552186756</v>
      </c>
      <c r="L47" s="28" t="n">
        <f aca="false">J47-K47</f>
        <v>184.0070333244</v>
      </c>
      <c r="M47" s="28" t="n">
        <f aca="false">L47*G47</f>
        <v>1840.070333244</v>
      </c>
      <c r="N47" s="28" t="n">
        <f aca="false">M47/M46</f>
        <v>2.24961240310078</v>
      </c>
      <c r="O47" s="9"/>
    </row>
    <row r="48" s="37" customFormat="true" ht="16.5" hidden="false" customHeight="true" outlineLevel="0" collapsed="false">
      <c r="A48" s="34" t="s">
        <v>102</v>
      </c>
      <c r="B48" s="34" t="s">
        <v>68</v>
      </c>
      <c r="C48" s="34" t="n">
        <v>11678</v>
      </c>
      <c r="D48" s="34" t="s">
        <v>41</v>
      </c>
      <c r="E48" s="41" t="s">
        <v>103</v>
      </c>
      <c r="F48" s="34" t="s">
        <v>26</v>
      </c>
      <c r="G48" s="34" t="n">
        <v>2</v>
      </c>
      <c r="H48" s="36" t="n">
        <v>125.39</v>
      </c>
      <c r="I48" s="28" t="n">
        <f aca="false">H48*0.1532</f>
        <v>19.209748</v>
      </c>
      <c r="J48" s="28" t="n">
        <f aca="false">H48+I48</f>
        <v>144.599748</v>
      </c>
      <c r="K48" s="28" t="n">
        <f aca="false">J48*(0.03%)</f>
        <v>0.0433799244</v>
      </c>
      <c r="L48" s="28" t="n">
        <f aca="false">J48-K48</f>
        <v>144.5563680756</v>
      </c>
      <c r="M48" s="28" t="n">
        <f aca="false">L48*G48</f>
        <v>289.1127361512</v>
      </c>
      <c r="N48" s="28" t="n">
        <f aca="false">M48/M47</f>
        <v>0.157120481172859</v>
      </c>
      <c r="O48" s="9"/>
    </row>
    <row r="49" s="37" customFormat="true" ht="16.5" hidden="false" customHeight="true" outlineLevel="0" collapsed="false">
      <c r="A49" s="34" t="s">
        <v>104</v>
      </c>
      <c r="B49" s="34" t="s">
        <v>68</v>
      </c>
      <c r="C49" s="34" t="n">
        <v>1925</v>
      </c>
      <c r="D49" s="34" t="s">
        <v>41</v>
      </c>
      <c r="E49" s="41" t="s">
        <v>105</v>
      </c>
      <c r="F49" s="34" t="s">
        <v>26</v>
      </c>
      <c r="G49" s="34" t="n">
        <v>5</v>
      </c>
      <c r="H49" s="36" t="n">
        <v>51.75</v>
      </c>
      <c r="I49" s="28" t="n">
        <f aca="false">H49*0.1532</f>
        <v>7.9281</v>
      </c>
      <c r="J49" s="28" t="n">
        <f aca="false">H49+I49</f>
        <v>59.6781</v>
      </c>
      <c r="K49" s="28" t="n">
        <f aca="false">J49*(0.03%)</f>
        <v>0.01790343</v>
      </c>
      <c r="L49" s="28" t="n">
        <f aca="false">J49-K49</f>
        <v>59.66019657</v>
      </c>
      <c r="M49" s="28" t="n">
        <f aca="false">L49*G49</f>
        <v>298.30098285</v>
      </c>
      <c r="N49" s="28" t="n">
        <f aca="false">M49/M48</f>
        <v>1.03178084376745</v>
      </c>
      <c r="O49" s="9"/>
    </row>
    <row r="50" s="37" customFormat="true" ht="16.5" hidden="false" customHeight="true" outlineLevel="0" collapsed="false">
      <c r="A50" s="34" t="s">
        <v>106</v>
      </c>
      <c r="B50" s="34" t="s">
        <v>68</v>
      </c>
      <c r="C50" s="34" t="n">
        <v>1960</v>
      </c>
      <c r="D50" s="34" t="s">
        <v>41</v>
      </c>
      <c r="E50" s="47" t="s">
        <v>107</v>
      </c>
      <c r="F50" s="34" t="s">
        <v>26</v>
      </c>
      <c r="G50" s="34" t="n">
        <v>5</v>
      </c>
      <c r="H50" s="36" t="n">
        <v>73.57</v>
      </c>
      <c r="I50" s="28" t="n">
        <f aca="false">H50*0.1532</f>
        <v>11.270924</v>
      </c>
      <c r="J50" s="28" t="n">
        <f aca="false">H50+I50</f>
        <v>84.840924</v>
      </c>
      <c r="K50" s="28" t="n">
        <f aca="false">J50*(0.03%)</f>
        <v>0.0254522772</v>
      </c>
      <c r="L50" s="28" t="n">
        <f aca="false">J50-K50</f>
        <v>84.8154717228</v>
      </c>
      <c r="M50" s="28" t="n">
        <f aca="false">L50*G50</f>
        <v>424.077358614</v>
      </c>
      <c r="N50" s="28" t="n">
        <f aca="false">M50/M49</f>
        <v>1.42164251207729</v>
      </c>
      <c r="O50" s="9"/>
    </row>
    <row r="51" s="37" customFormat="true" ht="16.5" hidden="false" customHeight="true" outlineLevel="0" collapsed="false">
      <c r="A51" s="34" t="s">
        <v>108</v>
      </c>
      <c r="B51" s="34" t="s">
        <v>68</v>
      </c>
      <c r="C51" s="48" t="n">
        <v>1961</v>
      </c>
      <c r="D51" s="34" t="s">
        <v>41</v>
      </c>
      <c r="E51" s="41" t="s">
        <v>109</v>
      </c>
      <c r="F51" s="34" t="s">
        <v>26</v>
      </c>
      <c r="G51" s="34" t="n">
        <v>5</v>
      </c>
      <c r="H51" s="36" t="n">
        <v>105.72</v>
      </c>
      <c r="I51" s="28" t="n">
        <f aca="false">H51*0.1532</f>
        <v>16.196304</v>
      </c>
      <c r="J51" s="28" t="n">
        <f aca="false">H51+I51</f>
        <v>121.916304</v>
      </c>
      <c r="K51" s="28" t="n">
        <f aca="false">J51*(0.03%)</f>
        <v>0.0365748912</v>
      </c>
      <c r="L51" s="28" t="n">
        <f aca="false">J51-K51</f>
        <v>121.8797291088</v>
      </c>
      <c r="M51" s="28" t="n">
        <f aca="false">L51*G51</f>
        <v>609.398645544</v>
      </c>
      <c r="N51" s="28" t="n">
        <f aca="false">M51/M50</f>
        <v>1.43699877667528</v>
      </c>
      <c r="O51" s="9"/>
    </row>
    <row r="52" s="37" customFormat="true" ht="16.5" hidden="false" customHeight="true" outlineLevel="0" collapsed="false">
      <c r="A52" s="34" t="s">
        <v>110</v>
      </c>
      <c r="B52" s="34" t="s">
        <v>68</v>
      </c>
      <c r="C52" s="34" t="n">
        <v>3529</v>
      </c>
      <c r="D52" s="34" t="s">
        <v>41</v>
      </c>
      <c r="E52" s="42" t="s">
        <v>111</v>
      </c>
      <c r="F52" s="34" t="s">
        <v>26</v>
      </c>
      <c r="G52" s="34" t="n">
        <v>10</v>
      </c>
      <c r="H52" s="36" t="n">
        <v>1.01</v>
      </c>
      <c r="I52" s="28" t="n">
        <f aca="false">H52*0.1532</f>
        <v>0.154732</v>
      </c>
      <c r="J52" s="28" t="n">
        <f aca="false">H52+I52</f>
        <v>1.164732</v>
      </c>
      <c r="K52" s="28" t="n">
        <f aca="false">J52*(0.03%)</f>
        <v>0.0003494196</v>
      </c>
      <c r="L52" s="28" t="n">
        <f aca="false">J52-K52</f>
        <v>1.1643825804</v>
      </c>
      <c r="M52" s="28" t="n">
        <f aca="false">L52*G52</f>
        <v>11.643825804</v>
      </c>
      <c r="N52" s="28" t="n">
        <f aca="false">M52/M51</f>
        <v>0.0191070752932274</v>
      </c>
      <c r="O52" s="9"/>
    </row>
    <row r="53" s="37" customFormat="true" ht="16.5" hidden="false" customHeight="true" outlineLevel="0" collapsed="false">
      <c r="A53" s="34" t="s">
        <v>112</v>
      </c>
      <c r="B53" s="34" t="s">
        <v>68</v>
      </c>
      <c r="C53" s="34" t="n">
        <v>3904</v>
      </c>
      <c r="D53" s="34" t="s">
        <v>41</v>
      </c>
      <c r="E53" s="49" t="s">
        <v>113</v>
      </c>
      <c r="F53" s="34" t="s">
        <v>26</v>
      </c>
      <c r="G53" s="34" t="n">
        <v>10</v>
      </c>
      <c r="H53" s="39" t="n">
        <v>1.09</v>
      </c>
      <c r="I53" s="28" t="n">
        <f aca="false">H53*0.1532</f>
        <v>0.166988</v>
      </c>
      <c r="J53" s="28" t="n">
        <f aca="false">H53+I53</f>
        <v>1.256988</v>
      </c>
      <c r="K53" s="28" t="n">
        <f aca="false">J53*(0.03%)</f>
        <v>0.0003770964</v>
      </c>
      <c r="L53" s="28" t="n">
        <f aca="false">J53-K53</f>
        <v>1.2566109036</v>
      </c>
      <c r="M53" s="28" t="n">
        <f aca="false">L53*G53</f>
        <v>12.566109036</v>
      </c>
      <c r="N53" s="28" t="n">
        <f aca="false">M53/M52</f>
        <v>1.07920792079208</v>
      </c>
      <c r="O53" s="9"/>
    </row>
    <row r="54" s="37" customFormat="true" ht="16.5" hidden="false" customHeight="true" outlineLevel="0" collapsed="false">
      <c r="A54" s="34" t="s">
        <v>114</v>
      </c>
      <c r="B54" s="34" t="s">
        <v>68</v>
      </c>
      <c r="C54" s="34" t="n">
        <v>3874</v>
      </c>
      <c r="D54" s="34" t="s">
        <v>41</v>
      </c>
      <c r="E54" s="42" t="s">
        <v>115</v>
      </c>
      <c r="F54" s="34" t="s">
        <v>26</v>
      </c>
      <c r="G54" s="34" t="n">
        <v>15</v>
      </c>
      <c r="H54" s="36" t="n">
        <v>7.52</v>
      </c>
      <c r="I54" s="28" t="n">
        <f aca="false">H54*0.1532</f>
        <v>1.152064</v>
      </c>
      <c r="J54" s="28" t="n">
        <f aca="false">H54+I54</f>
        <v>8.672064</v>
      </c>
      <c r="K54" s="28" t="n">
        <f aca="false">J54*(0.03%)</f>
        <v>0.0026016192</v>
      </c>
      <c r="L54" s="28" t="n">
        <f aca="false">J54-K54</f>
        <v>8.6694623808</v>
      </c>
      <c r="M54" s="28" t="n">
        <f aca="false">L54*G54</f>
        <v>130.041935712</v>
      </c>
      <c r="N54" s="28" t="n">
        <f aca="false">M54/M53</f>
        <v>10.348623853211</v>
      </c>
      <c r="O54" s="9"/>
    </row>
    <row r="55" s="37" customFormat="true" ht="16.5" hidden="false" customHeight="true" outlineLevel="0" collapsed="false">
      <c r="A55" s="34" t="s">
        <v>116</v>
      </c>
      <c r="B55" s="34" t="s">
        <v>68</v>
      </c>
      <c r="C55" s="34" t="n">
        <v>7139</v>
      </c>
      <c r="D55" s="34" t="s">
        <v>41</v>
      </c>
      <c r="E55" s="49" t="s">
        <v>117</v>
      </c>
      <c r="F55" s="34" t="s">
        <v>26</v>
      </c>
      <c r="G55" s="34" t="n">
        <v>10</v>
      </c>
      <c r="H55" s="39" t="n">
        <v>1.72</v>
      </c>
      <c r="I55" s="28" t="n">
        <f aca="false">H55*0.1532</f>
        <v>0.263504</v>
      </c>
      <c r="J55" s="28" t="n">
        <f aca="false">H55+I55</f>
        <v>1.983504</v>
      </c>
      <c r="K55" s="28" t="n">
        <f aca="false">J55*(0.03%)</f>
        <v>0.0005950512</v>
      </c>
      <c r="L55" s="28" t="n">
        <f aca="false">J55-K55</f>
        <v>1.9829089488</v>
      </c>
      <c r="M55" s="28" t="n">
        <f aca="false">L55*G55</f>
        <v>19.829089488</v>
      </c>
      <c r="N55" s="28" t="n">
        <f aca="false">M55/M54</f>
        <v>0.152482269503546</v>
      </c>
      <c r="O55" s="9"/>
    </row>
    <row r="56" s="37" customFormat="true" ht="16.5" hidden="false" customHeight="true" outlineLevel="0" collapsed="false">
      <c r="A56" s="34" t="s">
        <v>118</v>
      </c>
      <c r="B56" s="34" t="s">
        <v>68</v>
      </c>
      <c r="C56" s="34" t="n">
        <v>7143</v>
      </c>
      <c r="D56" s="34" t="s">
        <v>41</v>
      </c>
      <c r="E56" s="49" t="s">
        <v>119</v>
      </c>
      <c r="F56" s="34" t="s">
        <v>26</v>
      </c>
      <c r="G56" s="34" t="n">
        <v>5</v>
      </c>
      <c r="H56" s="39" t="n">
        <v>41.68</v>
      </c>
      <c r="I56" s="28" t="n">
        <f aca="false">H56*0.1532</f>
        <v>6.385376</v>
      </c>
      <c r="J56" s="28" t="n">
        <f aca="false">H56+I56</f>
        <v>48.065376</v>
      </c>
      <c r="K56" s="28" t="n">
        <f aca="false">J56*(0.03%)</f>
        <v>0.0144196128</v>
      </c>
      <c r="L56" s="28" t="n">
        <f aca="false">J56-K56</f>
        <v>48.0509563872</v>
      </c>
      <c r="M56" s="28" t="n">
        <f aca="false">L56*G56</f>
        <v>240.254781936</v>
      </c>
      <c r="N56" s="28" t="n">
        <f aca="false">M56/M55</f>
        <v>12.1162790697674</v>
      </c>
      <c r="O56" s="9"/>
    </row>
    <row r="57" s="37" customFormat="true" ht="16.5" hidden="false" customHeight="true" outlineLevel="0" collapsed="false">
      <c r="A57" s="34" t="s">
        <v>120</v>
      </c>
      <c r="B57" s="34" t="s">
        <v>68</v>
      </c>
      <c r="C57" s="34" t="n">
        <v>7144</v>
      </c>
      <c r="D57" s="34" t="s">
        <v>41</v>
      </c>
      <c r="E57" s="49" t="s">
        <v>121</v>
      </c>
      <c r="F57" s="34" t="s">
        <v>26</v>
      </c>
      <c r="G57" s="34" t="n">
        <v>10</v>
      </c>
      <c r="H57" s="39" t="n">
        <v>83.37</v>
      </c>
      <c r="I57" s="28" t="n">
        <f aca="false">H57*0.1532</f>
        <v>12.772284</v>
      </c>
      <c r="J57" s="28" t="n">
        <f aca="false">H57+I57</f>
        <v>96.142284</v>
      </c>
      <c r="K57" s="28" t="n">
        <f aca="false">J57*(0.03%)</f>
        <v>0.0288426852</v>
      </c>
      <c r="L57" s="28" t="n">
        <f aca="false">J57-K57</f>
        <v>96.1134413148</v>
      </c>
      <c r="M57" s="28" t="n">
        <f aca="false">L57*G57</f>
        <v>961.134413148</v>
      </c>
      <c r="N57" s="28" t="n">
        <f aca="false">M57/M56</f>
        <v>4.00047984644914</v>
      </c>
      <c r="O57" s="9"/>
    </row>
    <row r="58" s="37" customFormat="true" ht="16.5" hidden="false" customHeight="true" outlineLevel="0" collapsed="false">
      <c r="A58" s="34" t="s">
        <v>122</v>
      </c>
      <c r="B58" s="34" t="s">
        <v>68</v>
      </c>
      <c r="C58" s="34" t="n">
        <v>9868</v>
      </c>
      <c r="D58" s="34" t="s">
        <v>41</v>
      </c>
      <c r="E58" s="50" t="s">
        <v>123</v>
      </c>
      <c r="F58" s="34" t="s">
        <v>124</v>
      </c>
      <c r="G58" s="34" t="n">
        <v>60</v>
      </c>
      <c r="H58" s="36" t="n">
        <v>5.14</v>
      </c>
      <c r="I58" s="28" t="n">
        <f aca="false">H58*0.1532</f>
        <v>0.787448</v>
      </c>
      <c r="J58" s="28" t="n">
        <f aca="false">H58+I58</f>
        <v>5.927448</v>
      </c>
      <c r="K58" s="28" t="n">
        <f aca="false">J58*(0.03%)</f>
        <v>0.0017782344</v>
      </c>
      <c r="L58" s="28" t="n">
        <f aca="false">J58-K58</f>
        <v>5.9256697656</v>
      </c>
      <c r="M58" s="28" t="n">
        <f aca="false">L58*G58</f>
        <v>355.540185936</v>
      </c>
      <c r="N58" s="28" t="n">
        <f aca="false">M58/M57</f>
        <v>0.369917236415977</v>
      </c>
      <c r="O58" s="9"/>
    </row>
    <row r="59" s="37" customFormat="true" ht="16.5" hidden="false" customHeight="true" outlineLevel="0" collapsed="false">
      <c r="A59" s="34" t="s">
        <v>125</v>
      </c>
      <c r="B59" s="34" t="s">
        <v>68</v>
      </c>
      <c r="C59" s="34" t="n">
        <v>9872</v>
      </c>
      <c r="D59" s="34" t="s">
        <v>41</v>
      </c>
      <c r="E59" s="49" t="s">
        <v>126</v>
      </c>
      <c r="F59" s="34" t="s">
        <v>124</v>
      </c>
      <c r="G59" s="34" t="n">
        <v>24</v>
      </c>
      <c r="H59" s="39" t="n">
        <v>67.97</v>
      </c>
      <c r="I59" s="28" t="n">
        <f aca="false">H59*0.1532</f>
        <v>10.413004</v>
      </c>
      <c r="J59" s="28" t="n">
        <f aca="false">H59+I59</f>
        <v>78.383004</v>
      </c>
      <c r="K59" s="28" t="n">
        <f aca="false">J59*(0.03%)</f>
        <v>0.0235149012</v>
      </c>
      <c r="L59" s="28" t="n">
        <f aca="false">J59-K59</f>
        <v>78.3594890988</v>
      </c>
      <c r="M59" s="28" t="n">
        <f aca="false">L59*G59</f>
        <v>1880.6277383712</v>
      </c>
      <c r="N59" s="28" t="n">
        <f aca="false">M59/M58</f>
        <v>5.28949416342412</v>
      </c>
      <c r="O59" s="9"/>
    </row>
    <row r="60" s="37" customFormat="true" ht="16.5" hidden="false" customHeight="true" outlineLevel="0" collapsed="false">
      <c r="A60" s="34" t="s">
        <v>127</v>
      </c>
      <c r="B60" s="34" t="s">
        <v>68</v>
      </c>
      <c r="C60" s="34" t="n">
        <v>11762</v>
      </c>
      <c r="D60" s="34" t="s">
        <v>41</v>
      </c>
      <c r="E60" s="35" t="s">
        <v>128</v>
      </c>
      <c r="F60" s="34" t="s">
        <v>26</v>
      </c>
      <c r="G60" s="34" t="n">
        <v>10</v>
      </c>
      <c r="H60" s="36" t="n">
        <v>49.2</v>
      </c>
      <c r="I60" s="28" t="n">
        <f aca="false">H60*0.1532</f>
        <v>7.53744</v>
      </c>
      <c r="J60" s="28" t="n">
        <f aca="false">H60+I60</f>
        <v>56.73744</v>
      </c>
      <c r="K60" s="28" t="n">
        <f aca="false">J60*(0.03%)</f>
        <v>0.017021232</v>
      </c>
      <c r="L60" s="28" t="n">
        <f aca="false">J60-K60</f>
        <v>56.720418768</v>
      </c>
      <c r="M60" s="28" t="n">
        <f aca="false">L60*G60</f>
        <v>567.20418768</v>
      </c>
      <c r="N60" s="28" t="n">
        <f aca="false">M60/M59</f>
        <v>0.30160364866853</v>
      </c>
      <c r="O60" s="9"/>
    </row>
    <row r="61" s="37" customFormat="true" ht="16.5" hidden="false" customHeight="true" outlineLevel="0" collapsed="false">
      <c r="A61" s="34" t="s">
        <v>129</v>
      </c>
      <c r="B61" s="34" t="s">
        <v>68</v>
      </c>
      <c r="C61" s="34" t="n">
        <v>4376</v>
      </c>
      <c r="D61" s="34" t="s">
        <v>41</v>
      </c>
      <c r="E61" s="41" t="s">
        <v>130</v>
      </c>
      <c r="F61" s="34" t="s">
        <v>26</v>
      </c>
      <c r="G61" s="34" t="n">
        <v>100</v>
      </c>
      <c r="H61" s="36" t="n">
        <v>0.17</v>
      </c>
      <c r="I61" s="28" t="n">
        <f aca="false">H61*0.1532</f>
        <v>0.026044</v>
      </c>
      <c r="J61" s="28" t="n">
        <f aca="false">H61+I61</f>
        <v>0.196044</v>
      </c>
      <c r="K61" s="28" t="n">
        <f aca="false">J61*(0.03%)</f>
        <v>5.88132E-005</v>
      </c>
      <c r="L61" s="28" t="n">
        <f aca="false">J61-K61</f>
        <v>0.1959851868</v>
      </c>
      <c r="M61" s="28" t="n">
        <f aca="false">L61*G61</f>
        <v>19.59851868</v>
      </c>
      <c r="N61" s="28" t="n">
        <f aca="false">M61/M60</f>
        <v>0.0345528455284553</v>
      </c>
      <c r="O61" s="9"/>
    </row>
    <row r="62" s="37" customFormat="true" ht="16.5" hidden="false" customHeight="true" outlineLevel="0" collapsed="false">
      <c r="A62" s="34" t="s">
        <v>131</v>
      </c>
      <c r="B62" s="34" t="s">
        <v>68</v>
      </c>
      <c r="C62" s="34" t="n">
        <v>4375</v>
      </c>
      <c r="D62" s="34" t="s">
        <v>41</v>
      </c>
      <c r="E62" s="41" t="s">
        <v>132</v>
      </c>
      <c r="F62" s="34" t="s">
        <v>26</v>
      </c>
      <c r="G62" s="34" t="n">
        <v>50</v>
      </c>
      <c r="H62" s="36" t="n">
        <v>0.09</v>
      </c>
      <c r="I62" s="28" t="n">
        <f aca="false">H62*0.1532</f>
        <v>0.013788</v>
      </c>
      <c r="J62" s="28" t="n">
        <f aca="false">H62+I62</f>
        <v>0.103788</v>
      </c>
      <c r="K62" s="28" t="n">
        <f aca="false">J62*(0.03%)</f>
        <v>3.11364E-005</v>
      </c>
      <c r="L62" s="28" t="n">
        <f aca="false">J62-K62</f>
        <v>0.1037568636</v>
      </c>
      <c r="M62" s="28" t="n">
        <f aca="false">L62*G62</f>
        <v>5.18784318</v>
      </c>
      <c r="N62" s="28" t="n">
        <f aca="false">M62/M61</f>
        <v>0.264705882352941</v>
      </c>
      <c r="O62" s="9"/>
    </row>
    <row r="63" s="37" customFormat="true" ht="16.5" hidden="false" customHeight="true" outlineLevel="0" collapsed="false">
      <c r="A63" s="34" t="s">
        <v>133</v>
      </c>
      <c r="B63" s="34" t="s">
        <v>68</v>
      </c>
      <c r="C63" s="34" t="n">
        <v>20111</v>
      </c>
      <c r="D63" s="34" t="s">
        <v>41</v>
      </c>
      <c r="E63" s="43" t="s">
        <v>134</v>
      </c>
      <c r="F63" s="34" t="s">
        <v>26</v>
      </c>
      <c r="G63" s="34" t="n">
        <v>5</v>
      </c>
      <c r="H63" s="27" t="n">
        <v>18.14</v>
      </c>
      <c r="I63" s="28" t="n">
        <f aca="false">H63*0.1532</f>
        <v>2.779048</v>
      </c>
      <c r="J63" s="28" t="n">
        <f aca="false">H63+I63</f>
        <v>20.919048</v>
      </c>
      <c r="K63" s="28" t="n">
        <f aca="false">J63*(0.03%)</f>
        <v>0.0062757144</v>
      </c>
      <c r="L63" s="28" t="n">
        <f aca="false">J63-K63</f>
        <v>20.9127722856</v>
      </c>
      <c r="M63" s="28" t="n">
        <f aca="false">L63*G63</f>
        <v>104.563861428</v>
      </c>
      <c r="N63" s="28" t="n">
        <f aca="false">M63/M62</f>
        <v>20.1555555555556</v>
      </c>
      <c r="O63" s="9"/>
    </row>
    <row r="64" s="37" customFormat="true" ht="16.5" hidden="false" customHeight="true" outlineLevel="0" collapsed="false">
      <c r="A64" s="34" t="s">
        <v>135</v>
      </c>
      <c r="B64" s="34" t="s">
        <v>68</v>
      </c>
      <c r="C64" s="34" t="n">
        <v>38194</v>
      </c>
      <c r="D64" s="34" t="s">
        <v>41</v>
      </c>
      <c r="E64" s="43" t="s">
        <v>136</v>
      </c>
      <c r="F64" s="34" t="s">
        <v>26</v>
      </c>
      <c r="G64" s="34" t="n">
        <v>20</v>
      </c>
      <c r="H64" s="27" t="n">
        <v>9.43</v>
      </c>
      <c r="I64" s="28" t="n">
        <f aca="false">H64*0.1532</f>
        <v>1.444676</v>
      </c>
      <c r="J64" s="28" t="n">
        <f aca="false">H64+I64</f>
        <v>10.874676</v>
      </c>
      <c r="K64" s="28" t="n">
        <f aca="false">J64*(0.03%)</f>
        <v>0.0032624028</v>
      </c>
      <c r="L64" s="28" t="n">
        <f aca="false">J64-K64</f>
        <v>10.8714135972</v>
      </c>
      <c r="M64" s="28" t="n">
        <f aca="false">L64*G64</f>
        <v>217.428271944</v>
      </c>
      <c r="N64" s="28" t="n">
        <f aca="false">M64/M63</f>
        <v>2.07938257993385</v>
      </c>
      <c r="O64" s="9"/>
    </row>
    <row r="65" s="37" customFormat="true" ht="16.5" hidden="false" customHeight="true" outlineLevel="0" collapsed="false">
      <c r="A65" s="34" t="s">
        <v>137</v>
      </c>
      <c r="B65" s="34" t="s">
        <v>68</v>
      </c>
      <c r="C65" s="48" t="n">
        <v>38064</v>
      </c>
      <c r="D65" s="34" t="s">
        <v>41</v>
      </c>
      <c r="E65" s="41" t="s">
        <v>138</v>
      </c>
      <c r="F65" s="34" t="s">
        <v>26</v>
      </c>
      <c r="G65" s="34" t="n">
        <v>15</v>
      </c>
      <c r="H65" s="36" t="n">
        <v>19.8</v>
      </c>
      <c r="I65" s="28" t="n">
        <f aca="false">H65*0.1532</f>
        <v>3.03336</v>
      </c>
      <c r="J65" s="28" t="n">
        <f aca="false">H65+I65</f>
        <v>22.83336</v>
      </c>
      <c r="K65" s="28" t="n">
        <f aca="false">J65*(0.03%)</f>
        <v>0.006850008</v>
      </c>
      <c r="L65" s="28" t="n">
        <f aca="false">J65-K65</f>
        <v>22.826509992</v>
      </c>
      <c r="M65" s="28" t="n">
        <f aca="false">L65*G65</f>
        <v>342.39764988</v>
      </c>
      <c r="N65" s="28" t="n">
        <f aca="false">M65/M64</f>
        <v>1.57476139978791</v>
      </c>
      <c r="O65" s="9"/>
    </row>
    <row r="66" s="37" customFormat="true" ht="16.5" hidden="false" customHeight="true" outlineLevel="0" collapsed="false">
      <c r="A66" s="34" t="s">
        <v>139</v>
      </c>
      <c r="B66" s="34" t="s">
        <v>68</v>
      </c>
      <c r="C66" s="34" t="n">
        <v>38063</v>
      </c>
      <c r="D66" s="34" t="s">
        <v>41</v>
      </c>
      <c r="E66" s="41" t="s">
        <v>140</v>
      </c>
      <c r="F66" s="34" t="s">
        <v>26</v>
      </c>
      <c r="G66" s="34" t="n">
        <v>10</v>
      </c>
      <c r="H66" s="36" t="n">
        <v>9.55</v>
      </c>
      <c r="I66" s="28" t="n">
        <f aca="false">H66*0.1532</f>
        <v>1.46306</v>
      </c>
      <c r="J66" s="28" t="n">
        <f aca="false">H66+I66</f>
        <v>11.01306</v>
      </c>
      <c r="K66" s="28" t="n">
        <f aca="false">J66*(0.03%)</f>
        <v>0.003303918</v>
      </c>
      <c r="L66" s="28" t="n">
        <f aca="false">J66-K66</f>
        <v>11.009756082</v>
      </c>
      <c r="M66" s="28" t="n">
        <f aca="false">L66*G66</f>
        <v>110.09756082</v>
      </c>
      <c r="N66" s="28" t="n">
        <f aca="false">M66/M65</f>
        <v>0.321548821548822</v>
      </c>
      <c r="O66" s="9"/>
    </row>
    <row r="67" s="37" customFormat="true" ht="16.5" hidden="false" customHeight="true" outlineLevel="0" collapsed="false">
      <c r="A67" s="34" t="s">
        <v>141</v>
      </c>
      <c r="B67" s="34" t="s">
        <v>68</v>
      </c>
      <c r="C67" s="34" t="n">
        <v>13813</v>
      </c>
      <c r="D67" s="34" t="s">
        <v>142</v>
      </c>
      <c r="E67" s="51" t="s">
        <v>143</v>
      </c>
      <c r="F67" s="34" t="s">
        <v>26</v>
      </c>
      <c r="G67" s="34" t="n">
        <v>10</v>
      </c>
      <c r="H67" s="52" t="n">
        <v>156.2</v>
      </c>
      <c r="I67" s="28" t="n">
        <f aca="false">H67*0.1532</f>
        <v>23.92984</v>
      </c>
      <c r="J67" s="28" t="n">
        <f aca="false">H67+I67</f>
        <v>180.12984</v>
      </c>
      <c r="K67" s="28" t="n">
        <f aca="false">J67*(0.03%)</f>
        <v>0.054038952</v>
      </c>
      <c r="L67" s="28" t="n">
        <f aca="false">J67-K67</f>
        <v>180.075801048</v>
      </c>
      <c r="M67" s="28" t="n">
        <f aca="false">L67*G67</f>
        <v>1800.75801048</v>
      </c>
      <c r="N67" s="28" t="n">
        <f aca="false">M67/M66</f>
        <v>16.3560209424084</v>
      </c>
      <c r="O67" s="9"/>
    </row>
    <row r="68" s="37" customFormat="true" ht="16.5" hidden="false" customHeight="true" outlineLevel="0" collapsed="false">
      <c r="A68" s="34" t="s">
        <v>144</v>
      </c>
      <c r="B68" s="34" t="s">
        <v>68</v>
      </c>
      <c r="C68" s="34" t="n">
        <v>36791</v>
      </c>
      <c r="D68" s="34" t="s">
        <v>41</v>
      </c>
      <c r="E68" s="53" t="s">
        <v>145</v>
      </c>
      <c r="F68" s="34" t="s">
        <v>26</v>
      </c>
      <c r="G68" s="34" t="n">
        <v>15</v>
      </c>
      <c r="H68" s="52" t="n">
        <v>117.09</v>
      </c>
      <c r="I68" s="28" t="n">
        <f aca="false">H68*0.1532</f>
        <v>17.938188</v>
      </c>
      <c r="J68" s="28" t="n">
        <f aca="false">H68+I68</f>
        <v>135.028188</v>
      </c>
      <c r="K68" s="28" t="n">
        <f aca="false">J68*(0.03%)</f>
        <v>0.0405084564</v>
      </c>
      <c r="L68" s="28" t="n">
        <f aca="false">J68-K68</f>
        <v>134.9876795436</v>
      </c>
      <c r="M68" s="28" t="n">
        <f aca="false">L68*G68</f>
        <v>2024.815193154</v>
      </c>
      <c r="N68" s="28" t="n">
        <f aca="false">M68/M67</f>
        <v>1.124423815621</v>
      </c>
      <c r="O68" s="9"/>
    </row>
    <row r="69" s="37" customFormat="true" ht="16.5" hidden="false" customHeight="true" outlineLevel="0" collapsed="false">
      <c r="A69" s="34" t="s">
        <v>146</v>
      </c>
      <c r="B69" s="34" t="s">
        <v>68</v>
      </c>
      <c r="C69" s="44" t="n">
        <v>142</v>
      </c>
      <c r="D69" s="34" t="s">
        <v>41</v>
      </c>
      <c r="E69" s="43" t="s">
        <v>147</v>
      </c>
      <c r="F69" s="34" t="s">
        <v>26</v>
      </c>
      <c r="G69" s="34" t="n">
        <v>60</v>
      </c>
      <c r="H69" s="54" t="n">
        <v>36.3</v>
      </c>
      <c r="I69" s="28" t="n">
        <f aca="false">H69*0.1532</f>
        <v>5.56116</v>
      </c>
      <c r="J69" s="28" t="n">
        <f aca="false">H69+I69</f>
        <v>41.86116</v>
      </c>
      <c r="K69" s="28" t="n">
        <f aca="false">J69*(0.03%)</f>
        <v>0.012558348</v>
      </c>
      <c r="L69" s="28" t="n">
        <f aca="false">J69-K69</f>
        <v>41.848601652</v>
      </c>
      <c r="M69" s="28" t="n">
        <f aca="false">L69*G69</f>
        <v>2510.91609912</v>
      </c>
      <c r="N69" s="28" t="n">
        <f aca="false">M69/M68</f>
        <v>1.24007173968742</v>
      </c>
      <c r="O69" s="9"/>
    </row>
    <row r="70" s="37" customFormat="true" ht="16.5" hidden="false" customHeight="true" outlineLevel="0" collapsed="false">
      <c r="A70" s="34" t="s">
        <v>148</v>
      </c>
      <c r="B70" s="34" t="s">
        <v>68</v>
      </c>
      <c r="C70" s="34" t="s">
        <v>149</v>
      </c>
      <c r="D70" s="48" t="s">
        <v>150</v>
      </c>
      <c r="E70" s="55" t="s">
        <v>151</v>
      </c>
      <c r="F70" s="34" t="s">
        <v>26</v>
      </c>
      <c r="G70" s="34" t="n">
        <v>20</v>
      </c>
      <c r="H70" s="56" t="n">
        <v>62.34</v>
      </c>
      <c r="I70" s="28" t="n">
        <f aca="false">H70*0.1532</f>
        <v>9.550488</v>
      </c>
      <c r="J70" s="28" t="n">
        <f aca="false">H70+I70</f>
        <v>71.890488</v>
      </c>
      <c r="K70" s="28" t="n">
        <f aca="false">J70*0.03</f>
        <v>2.15671464</v>
      </c>
      <c r="L70" s="28" t="n">
        <f aca="false">J70-K70</f>
        <v>69.73377336</v>
      </c>
      <c r="M70" s="28" t="n">
        <f aca="false">L70*G70</f>
        <v>1394.6754672</v>
      </c>
      <c r="N70" s="28" t="n">
        <f aca="false">M70/M69</f>
        <v>0.555444870375713</v>
      </c>
      <c r="O70" s="9"/>
    </row>
    <row r="71" s="37" customFormat="true" ht="16.5" hidden="false" customHeight="true" outlineLevel="0" collapsed="false">
      <c r="A71" s="34" t="s">
        <v>152</v>
      </c>
      <c r="B71" s="34" t="s">
        <v>68</v>
      </c>
      <c r="C71" s="34" t="n">
        <v>20971</v>
      </c>
      <c r="D71" s="34" t="s">
        <v>41</v>
      </c>
      <c r="E71" s="57" t="s">
        <v>153</v>
      </c>
      <c r="F71" s="34" t="s">
        <v>26</v>
      </c>
      <c r="G71" s="34" t="n">
        <v>1</v>
      </c>
      <c r="H71" s="58" t="n">
        <v>25.33</v>
      </c>
      <c r="I71" s="28" t="n">
        <f aca="false">H71*0.1532</f>
        <v>3.880556</v>
      </c>
      <c r="J71" s="28" t="n">
        <f aca="false">H71+I71</f>
        <v>29.210556</v>
      </c>
      <c r="K71" s="28" t="n">
        <f aca="false">J71*(0.03%)</f>
        <v>0.0087631668</v>
      </c>
      <c r="L71" s="28" t="n">
        <f aca="false">J71-K71</f>
        <v>29.2017928332</v>
      </c>
      <c r="M71" s="28" t="n">
        <f aca="false">L71*G71</f>
        <v>29.2017928332</v>
      </c>
      <c r="N71" s="28" t="n">
        <f aca="false">M71/M70</f>
        <v>0.020938055855981</v>
      </c>
      <c r="O71" s="9"/>
    </row>
    <row r="72" s="37" customFormat="true" ht="16.5" hidden="false" customHeight="true" outlineLevel="0" collapsed="false">
      <c r="A72" s="34" t="s">
        <v>154</v>
      </c>
      <c r="B72" s="34" t="s">
        <v>68</v>
      </c>
      <c r="C72" s="34" t="n">
        <v>37554</v>
      </c>
      <c r="D72" s="34" t="s">
        <v>41</v>
      </c>
      <c r="E72" s="43" t="s">
        <v>155</v>
      </c>
      <c r="F72" s="34" t="s">
        <v>26</v>
      </c>
      <c r="G72" s="34" t="n">
        <v>2</v>
      </c>
      <c r="H72" s="58" t="n">
        <v>312.38</v>
      </c>
      <c r="I72" s="28" t="n">
        <f aca="false">H72*0.1532</f>
        <v>47.856616</v>
      </c>
      <c r="J72" s="28" t="n">
        <f aca="false">H72+I72</f>
        <v>360.236616</v>
      </c>
      <c r="K72" s="28" t="n">
        <f aca="false">J72*(0.03%)</f>
        <v>0.1080709848</v>
      </c>
      <c r="L72" s="28" t="n">
        <f aca="false">J72-K72</f>
        <v>360.1285450152</v>
      </c>
      <c r="M72" s="28" t="n">
        <f aca="false">L72*G72</f>
        <v>720.2570900304</v>
      </c>
      <c r="N72" s="28" t="n">
        <f aca="false">M72/M71</f>
        <v>24.6648243189893</v>
      </c>
      <c r="O72" s="9"/>
    </row>
    <row r="73" s="37" customFormat="true" ht="16.5" hidden="false" customHeight="true" outlineLevel="0" collapsed="false">
      <c r="A73" s="34" t="s">
        <v>156</v>
      </c>
      <c r="B73" s="34" t="s">
        <v>68</v>
      </c>
      <c r="C73" s="34" t="n">
        <v>37530</v>
      </c>
      <c r="D73" s="34" t="s">
        <v>41</v>
      </c>
      <c r="E73" s="57" t="s">
        <v>157</v>
      </c>
      <c r="F73" s="34" t="s">
        <v>26</v>
      </c>
      <c r="G73" s="34" t="n">
        <v>2</v>
      </c>
      <c r="H73" s="58" t="n">
        <v>823.66</v>
      </c>
      <c r="I73" s="28" t="n">
        <f aca="false">H73*0.1532</f>
        <v>126.184712</v>
      </c>
      <c r="J73" s="28" t="n">
        <f aca="false">H73+I73</f>
        <v>949.844712</v>
      </c>
      <c r="K73" s="28" t="n">
        <f aca="false">J73*(0.03%)</f>
        <v>0.2849534136</v>
      </c>
      <c r="L73" s="28" t="n">
        <f aca="false">J73-K73</f>
        <v>949.5597585864</v>
      </c>
      <c r="M73" s="28" t="n">
        <f aca="false">L73*G73</f>
        <v>1899.1195171728</v>
      </c>
      <c r="N73" s="28" t="n">
        <f aca="false">M73/M72</f>
        <v>2.63672450220885</v>
      </c>
      <c r="O73" s="9"/>
    </row>
    <row r="74" s="37" customFormat="true" ht="16.5" hidden="false" customHeight="true" outlineLevel="0" collapsed="false">
      <c r="A74" s="34" t="s">
        <v>158</v>
      </c>
      <c r="B74" s="34" t="s">
        <v>68</v>
      </c>
      <c r="C74" s="34" t="n">
        <v>10892</v>
      </c>
      <c r="D74" s="34" t="s">
        <v>41</v>
      </c>
      <c r="E74" s="47" t="s">
        <v>159</v>
      </c>
      <c r="F74" s="34" t="s">
        <v>26</v>
      </c>
      <c r="G74" s="34" t="n">
        <v>3</v>
      </c>
      <c r="H74" s="58" t="n">
        <v>196</v>
      </c>
      <c r="I74" s="28" t="n">
        <f aca="false">H74*0.1532</f>
        <v>30.0272</v>
      </c>
      <c r="J74" s="28" t="n">
        <f aca="false">H74+I74</f>
        <v>226.0272</v>
      </c>
      <c r="K74" s="28" t="n">
        <f aca="false">J74*(0.03%)</f>
        <v>0.06780816</v>
      </c>
      <c r="L74" s="28" t="n">
        <f aca="false">J74-K74</f>
        <v>225.95939184</v>
      </c>
      <c r="M74" s="28" t="n">
        <f aca="false">L74*G74</f>
        <v>677.87817552</v>
      </c>
      <c r="N74" s="28" t="n">
        <f aca="false">M74/M73</f>
        <v>0.356943398975305</v>
      </c>
      <c r="O74" s="9"/>
    </row>
    <row r="75" s="37" customFormat="true" ht="16.5" hidden="false" customHeight="true" outlineLevel="0" collapsed="false">
      <c r="A75" s="34" t="s">
        <v>160</v>
      </c>
      <c r="B75" s="34" t="s">
        <v>68</v>
      </c>
      <c r="C75" s="48" t="s">
        <v>161</v>
      </c>
      <c r="D75" s="34" t="s">
        <v>162</v>
      </c>
      <c r="E75" s="43" t="s">
        <v>163</v>
      </c>
      <c r="F75" s="34" t="s">
        <v>70</v>
      </c>
      <c r="G75" s="34" t="n">
        <v>4</v>
      </c>
      <c r="H75" s="59" t="n">
        <v>10.23</v>
      </c>
      <c r="I75" s="28" t="n">
        <f aca="false">H75*0.1532</f>
        <v>1.567236</v>
      </c>
      <c r="J75" s="28" t="n">
        <f aca="false">H75+I75</f>
        <v>11.797236</v>
      </c>
      <c r="K75" s="28" t="n">
        <f aca="false">J75*(0.03%)</f>
        <v>0.0035391708</v>
      </c>
      <c r="L75" s="28" t="n">
        <f aca="false">J75-K75</f>
        <v>11.7936968292</v>
      </c>
      <c r="M75" s="28" t="n">
        <f aca="false">L75*G75</f>
        <v>47.1747873168</v>
      </c>
      <c r="N75" s="28" t="n">
        <f aca="false">M75/M74</f>
        <v>0.0695918367346939</v>
      </c>
      <c r="O75" s="9"/>
    </row>
    <row r="76" s="37" customFormat="true" ht="16.5" hidden="false" customHeight="true" outlineLevel="0" collapsed="false">
      <c r="A76" s="34" t="s">
        <v>164</v>
      </c>
      <c r="B76" s="34" t="s">
        <v>68</v>
      </c>
      <c r="C76" s="48" t="s">
        <v>165</v>
      </c>
      <c r="D76" s="34" t="s">
        <v>162</v>
      </c>
      <c r="E76" s="43" t="s">
        <v>166</v>
      </c>
      <c r="F76" s="34" t="s">
        <v>70</v>
      </c>
      <c r="G76" s="34" t="n">
        <v>6</v>
      </c>
      <c r="H76" s="59" t="n">
        <v>13.13</v>
      </c>
      <c r="I76" s="28" t="n">
        <f aca="false">H76*0.1532</f>
        <v>2.011516</v>
      </c>
      <c r="J76" s="28" t="n">
        <f aca="false">H76+I76</f>
        <v>15.141516</v>
      </c>
      <c r="K76" s="28" t="n">
        <f aca="false">J76*(0.03%)</f>
        <v>0.0045424548</v>
      </c>
      <c r="L76" s="28" t="n">
        <f aca="false">J76-K76</f>
        <v>15.1369735452</v>
      </c>
      <c r="M76" s="28" t="n">
        <f aca="false">L76*G76</f>
        <v>90.8218412712</v>
      </c>
      <c r="N76" s="28" t="n">
        <f aca="false">M76/M75</f>
        <v>1.92521994134897</v>
      </c>
      <c r="O76" s="9"/>
    </row>
    <row r="77" s="37" customFormat="true" ht="16.5" hidden="false" customHeight="true" outlineLevel="0" collapsed="false">
      <c r="A77" s="34"/>
      <c r="B77" s="34"/>
      <c r="C77" s="34"/>
      <c r="D77" s="34"/>
      <c r="E77" s="43"/>
      <c r="F77" s="34"/>
      <c r="G77" s="34"/>
      <c r="H77" s="60"/>
      <c r="I77" s="28"/>
      <c r="J77" s="28"/>
      <c r="K77" s="28"/>
      <c r="L77" s="28"/>
      <c r="M77" s="28"/>
      <c r="N77" s="28"/>
      <c r="O77" s="9"/>
    </row>
    <row r="78" s="37" customFormat="true" ht="16.5" hidden="false" customHeight="true" outlineLevel="0" collapsed="false">
      <c r="A78" s="34"/>
      <c r="B78" s="34"/>
      <c r="C78" s="34"/>
      <c r="D78" s="34"/>
      <c r="E78" s="43"/>
      <c r="F78" s="34"/>
      <c r="G78" s="34"/>
      <c r="H78" s="60"/>
      <c r="I78" s="28"/>
      <c r="J78" s="28"/>
      <c r="K78" s="28"/>
      <c r="L78" s="28"/>
      <c r="M78" s="28"/>
      <c r="N78" s="28"/>
      <c r="O78" s="9"/>
    </row>
    <row r="79" customFormat="false" ht="16.5" hidden="false" customHeight="true" outlineLevel="0" collapsed="false">
      <c r="A79" s="11" t="s">
        <v>21</v>
      </c>
      <c r="B79" s="12" t="s">
        <v>22</v>
      </c>
      <c r="C79" s="12" t="s">
        <v>23</v>
      </c>
      <c r="D79" s="12" t="s">
        <v>24</v>
      </c>
      <c r="E79" s="12" t="s">
        <v>25</v>
      </c>
      <c r="F79" s="12" t="s">
        <v>26</v>
      </c>
      <c r="G79" s="12" t="s">
        <v>27</v>
      </c>
      <c r="H79" s="13" t="s">
        <v>28</v>
      </c>
      <c r="I79" s="13"/>
      <c r="J79" s="13"/>
      <c r="K79" s="13"/>
      <c r="L79" s="13"/>
      <c r="M79" s="12" t="s">
        <v>29</v>
      </c>
      <c r="N79" s="12" t="s">
        <v>30</v>
      </c>
      <c r="O79" s="9"/>
    </row>
    <row r="80" customFormat="false" ht="16.5" hidden="false" customHeight="true" outlineLevel="0" collapsed="false">
      <c r="A80" s="11"/>
      <c r="B80" s="12"/>
      <c r="C80" s="12"/>
      <c r="D80" s="12"/>
      <c r="E80" s="12"/>
      <c r="F80" s="12"/>
      <c r="G80" s="12"/>
      <c r="H80" s="12" t="s">
        <v>32</v>
      </c>
      <c r="I80" s="14" t="s">
        <v>33</v>
      </c>
      <c r="J80" s="12" t="s">
        <v>34</v>
      </c>
      <c r="K80" s="14" t="s">
        <v>167</v>
      </c>
      <c r="L80" s="12" t="s">
        <v>36</v>
      </c>
      <c r="M80" s="12"/>
      <c r="N80" s="12"/>
      <c r="O80" s="9"/>
    </row>
    <row r="81" customFormat="false" ht="16.5" hidden="false" customHeight="true" outlineLevel="0" collapsed="false">
      <c r="A81" s="15" t="n">
        <v>3</v>
      </c>
      <c r="B81" s="61" t="s">
        <v>168</v>
      </c>
      <c r="C81" s="61"/>
      <c r="D81" s="61"/>
      <c r="E81" s="61"/>
      <c r="F81" s="61"/>
      <c r="G81" s="19"/>
      <c r="H81" s="19"/>
      <c r="I81" s="19"/>
      <c r="J81" s="19"/>
      <c r="K81" s="19"/>
      <c r="L81" s="19"/>
      <c r="M81" s="20" t="n">
        <f aca="false">SUM(M82:M101)</f>
        <v>34167.6049839376</v>
      </c>
      <c r="N81" s="19"/>
      <c r="O81" s="9"/>
    </row>
    <row r="82" customFormat="false" ht="26.25" hidden="false" customHeight="true" outlineLevel="0" collapsed="false">
      <c r="A82" s="22" t="s">
        <v>169</v>
      </c>
      <c r="B82" s="22" t="s">
        <v>39</v>
      </c>
      <c r="C82" s="23" t="s">
        <v>53</v>
      </c>
      <c r="D82" s="23" t="s">
        <v>41</v>
      </c>
      <c r="E82" s="24" t="s">
        <v>54</v>
      </c>
      <c r="F82" s="25" t="s">
        <v>43</v>
      </c>
      <c r="G82" s="26" t="n">
        <v>180</v>
      </c>
      <c r="H82" s="54" t="n">
        <v>28.4</v>
      </c>
      <c r="I82" s="28" t="n">
        <f aca="false">H82*0.2232</f>
        <v>6.33888</v>
      </c>
      <c r="J82" s="28" t="n">
        <f aca="false">H82+I82</f>
        <v>34.73888</v>
      </c>
      <c r="K82" s="28" t="n">
        <f aca="false">J82*(0.03%)</f>
        <v>0.010421664</v>
      </c>
      <c r="L82" s="28" t="n">
        <f aca="false">J82-K82</f>
        <v>34.728458336</v>
      </c>
      <c r="M82" s="28" t="n">
        <f aca="false">L82*G82</f>
        <v>6251.12250048</v>
      </c>
      <c r="N82" s="28" t="n">
        <f aca="false">M82/M$16</f>
        <v>0.0943421297403598</v>
      </c>
      <c r="O82" s="9"/>
    </row>
    <row r="83" customFormat="false" ht="26.25" hidden="false" customHeight="true" outlineLevel="0" collapsed="false">
      <c r="A83" s="22" t="s">
        <v>170</v>
      </c>
      <c r="B83" s="22" t="s">
        <v>39</v>
      </c>
      <c r="C83" s="23" t="s">
        <v>57</v>
      </c>
      <c r="D83" s="23" t="s">
        <v>41</v>
      </c>
      <c r="E83" s="24" t="s">
        <v>58</v>
      </c>
      <c r="F83" s="25" t="s">
        <v>43</v>
      </c>
      <c r="G83" s="26" t="n">
        <v>180</v>
      </c>
      <c r="H83" s="54" t="n">
        <v>24.45</v>
      </c>
      <c r="I83" s="28" t="n">
        <f aca="false">H83*0.2232</f>
        <v>5.45724</v>
      </c>
      <c r="J83" s="28" t="n">
        <f aca="false">H83+I83</f>
        <v>29.90724</v>
      </c>
      <c r="K83" s="28" t="n">
        <f aca="false">J83*(0.03%)</f>
        <v>0.008972172</v>
      </c>
      <c r="L83" s="28" t="n">
        <f aca="false">J83-K83</f>
        <v>29.898267828</v>
      </c>
      <c r="M83" s="28" t="n">
        <f aca="false">L83*G83</f>
        <v>5381.68820904</v>
      </c>
      <c r="N83" s="28" t="n">
        <f aca="false">M83/M$16</f>
        <v>0.0812206011321055</v>
      </c>
      <c r="O83" s="9"/>
    </row>
    <row r="84" s="67" customFormat="true" ht="23.25" hidden="false" customHeight="true" outlineLevel="0" collapsed="false">
      <c r="A84" s="62" t="s">
        <v>169</v>
      </c>
      <c r="B84" s="26" t="s">
        <v>39</v>
      </c>
      <c r="C84" s="63" t="n">
        <v>93588</v>
      </c>
      <c r="D84" s="63" t="s">
        <v>41</v>
      </c>
      <c r="E84" s="64" t="s">
        <v>171</v>
      </c>
      <c r="F84" s="65" t="s">
        <v>172</v>
      </c>
      <c r="G84" s="63" t="n">
        <f aca="false">5*34</f>
        <v>170</v>
      </c>
      <c r="H84" s="66" t="n">
        <v>3</v>
      </c>
      <c r="I84" s="28" t="n">
        <f aca="false">H84*0.2232</f>
        <v>0.6696</v>
      </c>
      <c r="J84" s="28" t="n">
        <f aca="false">H84+I84</f>
        <v>3.6696</v>
      </c>
      <c r="K84" s="28" t="n">
        <f aca="false">J84*(0.03%)</f>
        <v>0.00110088</v>
      </c>
      <c r="L84" s="28" t="n">
        <f aca="false">J84-K84</f>
        <v>3.66849912</v>
      </c>
      <c r="M84" s="28" t="n">
        <f aca="false">L84*G84</f>
        <v>623.6448504</v>
      </c>
      <c r="N84" s="28" t="n">
        <f aca="false">M84/M83</f>
        <v>0.115882753919564</v>
      </c>
      <c r="O84" s="9"/>
    </row>
    <row r="85" s="67" customFormat="true" ht="23.25" hidden="false" customHeight="true" outlineLevel="0" collapsed="false">
      <c r="A85" s="68" t="s">
        <v>173</v>
      </c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9"/>
    </row>
    <row r="86" s="72" customFormat="true" ht="26.25" hidden="false" customHeight="true" outlineLevel="0" collapsed="false">
      <c r="A86" s="62" t="s">
        <v>174</v>
      </c>
      <c r="B86" s="22" t="s">
        <v>39</v>
      </c>
      <c r="C86" s="69" t="n">
        <v>90822</v>
      </c>
      <c r="D86" s="69" t="s">
        <v>41</v>
      </c>
      <c r="E86" s="70" t="s">
        <v>175</v>
      </c>
      <c r="F86" s="69" t="s">
        <v>176</v>
      </c>
      <c r="G86" s="69" t="n">
        <v>7</v>
      </c>
      <c r="H86" s="71" t="n">
        <v>404.45</v>
      </c>
      <c r="I86" s="28" t="n">
        <f aca="false">H86*0.2232</f>
        <v>90.27324</v>
      </c>
      <c r="J86" s="28" t="n">
        <f aca="false">H86+I86</f>
        <v>494.72324</v>
      </c>
      <c r="K86" s="28" t="n">
        <f aca="false">J86*(0.03%)</f>
        <v>0.148416972</v>
      </c>
      <c r="L86" s="28" t="n">
        <f aca="false">J86-K86</f>
        <v>494.574823028</v>
      </c>
      <c r="M86" s="28" t="n">
        <f aca="false">L86*G86</f>
        <v>3462.023761196</v>
      </c>
      <c r="N86" s="28" t="n">
        <f aca="false">M86/M$16</f>
        <v>0.0522489672563419</v>
      </c>
      <c r="O86" s="9"/>
    </row>
    <row r="87" s="72" customFormat="true" ht="26.25" hidden="false" customHeight="true" outlineLevel="0" collapsed="false">
      <c r="A87" s="62" t="s">
        <v>177</v>
      </c>
      <c r="B87" s="22" t="s">
        <v>39</v>
      </c>
      <c r="C87" s="69" t="n">
        <v>91306</v>
      </c>
      <c r="D87" s="69" t="s">
        <v>41</v>
      </c>
      <c r="E87" s="70" t="s">
        <v>178</v>
      </c>
      <c r="F87" s="69" t="s">
        <v>179</v>
      </c>
      <c r="G87" s="69" t="n">
        <v>7</v>
      </c>
      <c r="H87" s="71" t="n">
        <v>173.38</v>
      </c>
      <c r="I87" s="28" t="n">
        <f aca="false">H87*0.2232</f>
        <v>38.698416</v>
      </c>
      <c r="J87" s="28" t="n">
        <f aca="false">H87+I87</f>
        <v>212.078416</v>
      </c>
      <c r="K87" s="28" t="n">
        <f aca="false">J87*(0.03%)</f>
        <v>0.0636235248</v>
      </c>
      <c r="L87" s="28" t="n">
        <f aca="false">J87-K87</f>
        <v>212.0147924752</v>
      </c>
      <c r="M87" s="28" t="n">
        <f aca="false">L87*G87</f>
        <v>1484.1035473264</v>
      </c>
      <c r="N87" s="28" t="n">
        <f aca="false">M87/M$16</f>
        <v>0.0223981355987256</v>
      </c>
      <c r="O87" s="9"/>
    </row>
    <row r="88" s="72" customFormat="true" ht="26.25" hidden="false" customHeight="true" outlineLevel="0" collapsed="false">
      <c r="A88" s="62" t="s">
        <v>180</v>
      </c>
      <c r="B88" s="22" t="s">
        <v>39</v>
      </c>
      <c r="C88" s="69" t="n">
        <v>97644</v>
      </c>
      <c r="D88" s="69" t="s">
        <v>41</v>
      </c>
      <c r="E88" s="70" t="s">
        <v>181</v>
      </c>
      <c r="F88" s="69" t="s">
        <v>89</v>
      </c>
      <c r="G88" s="69" t="n">
        <f aca="false">2.1*0.8</f>
        <v>1.68</v>
      </c>
      <c r="H88" s="71" t="n">
        <v>10.03</v>
      </c>
      <c r="I88" s="28" t="n">
        <f aca="false">H88*0.2232</f>
        <v>2.238696</v>
      </c>
      <c r="J88" s="28" t="n">
        <f aca="false">H88+I88</f>
        <v>12.268696</v>
      </c>
      <c r="K88" s="28" t="n">
        <f aca="false">J88*(0.03%)</f>
        <v>0.0036806088</v>
      </c>
      <c r="L88" s="28" t="n">
        <f aca="false">J88-K88</f>
        <v>12.2650153912</v>
      </c>
      <c r="M88" s="28" t="n">
        <f aca="false">L88*G88</f>
        <v>20.605225857216</v>
      </c>
      <c r="N88" s="28" t="n">
        <f aca="false">M88/M$16</f>
        <v>0.000310974691505665</v>
      </c>
      <c r="O88" s="9"/>
    </row>
    <row r="89" s="67" customFormat="true" ht="23.25" hidden="false" customHeight="true" outlineLevel="0" collapsed="false">
      <c r="A89" s="73" t="s">
        <v>182</v>
      </c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9"/>
    </row>
    <row r="90" s="67" customFormat="true" ht="23.25" hidden="false" customHeight="true" outlineLevel="0" collapsed="false">
      <c r="A90" s="74" t="s">
        <v>183</v>
      </c>
      <c r="B90" s="22" t="s">
        <v>39</v>
      </c>
      <c r="C90" s="63" t="n">
        <v>88488</v>
      </c>
      <c r="D90" s="63" t="s">
        <v>41</v>
      </c>
      <c r="E90" s="70" t="s">
        <v>184</v>
      </c>
      <c r="F90" s="69" t="s">
        <v>89</v>
      </c>
      <c r="G90" s="69" t="n">
        <v>17.23</v>
      </c>
      <c r="H90" s="71" t="n">
        <v>18.53</v>
      </c>
      <c r="I90" s="28" t="n">
        <f aca="false">H90*0.2232</f>
        <v>4.135896</v>
      </c>
      <c r="J90" s="28" t="n">
        <f aca="false">H90+I90</f>
        <v>22.665896</v>
      </c>
      <c r="K90" s="28" t="n">
        <f aca="false">J90*(0.03%)</f>
        <v>0.0067997688</v>
      </c>
      <c r="L90" s="28" t="n">
        <f aca="false">J90-K90</f>
        <v>22.6590962312</v>
      </c>
      <c r="M90" s="28" t="n">
        <f aca="false">L90*G90</f>
        <v>390.416228063576</v>
      </c>
      <c r="N90" s="28" t="n">
        <f aca="false">M90/M$16</f>
        <v>0.00589217351569859</v>
      </c>
      <c r="O90" s="9"/>
    </row>
    <row r="91" s="67" customFormat="true" ht="23.25" hidden="false" customHeight="true" outlineLevel="0" collapsed="false">
      <c r="A91" s="74" t="s">
        <v>185</v>
      </c>
      <c r="B91" s="22" t="s">
        <v>39</v>
      </c>
      <c r="C91" s="63" t="s">
        <v>186</v>
      </c>
      <c r="D91" s="63" t="s">
        <v>41</v>
      </c>
      <c r="E91" s="70" t="s">
        <v>187</v>
      </c>
      <c r="F91" s="69" t="s">
        <v>89</v>
      </c>
      <c r="G91" s="69" t="n">
        <v>253.04</v>
      </c>
      <c r="H91" s="71" t="n">
        <v>16.19</v>
      </c>
      <c r="I91" s="28" t="n">
        <f aca="false">H91*0.2232</f>
        <v>3.613608</v>
      </c>
      <c r="J91" s="28" t="n">
        <f aca="false">H91+I91</f>
        <v>19.803608</v>
      </c>
      <c r="K91" s="28" t="n">
        <f aca="false">J91*(0.03%)</f>
        <v>0.0059410824</v>
      </c>
      <c r="L91" s="28" t="n">
        <f aca="false">J91-K91</f>
        <v>19.7976669176</v>
      </c>
      <c r="M91" s="28" t="n">
        <f aca="false">L91*G91</f>
        <v>5009.6016368295</v>
      </c>
      <c r="N91" s="28" t="n">
        <f aca="false">M91/M$16</f>
        <v>0.0756050593366228</v>
      </c>
      <c r="O91" s="9"/>
    </row>
    <row r="92" s="67" customFormat="true" ht="23.25" hidden="false" customHeight="true" outlineLevel="0" collapsed="false">
      <c r="A92" s="74" t="s">
        <v>188</v>
      </c>
      <c r="B92" s="22" t="s">
        <v>39</v>
      </c>
      <c r="C92" s="63" t="s">
        <v>189</v>
      </c>
      <c r="D92" s="63" t="s">
        <v>41</v>
      </c>
      <c r="E92" s="70" t="s">
        <v>190</v>
      </c>
      <c r="F92" s="69" t="s">
        <v>89</v>
      </c>
      <c r="G92" s="69" t="n">
        <v>15</v>
      </c>
      <c r="H92" s="75" t="n">
        <v>3.18</v>
      </c>
      <c r="I92" s="28" t="n">
        <f aca="false">H92*0.2232</f>
        <v>0.709776</v>
      </c>
      <c r="J92" s="28" t="n">
        <f aca="false">H92+I92</f>
        <v>3.889776</v>
      </c>
      <c r="K92" s="28" t="n">
        <f aca="false">J92*(0.03%)</f>
        <v>0.0011669328</v>
      </c>
      <c r="L92" s="28" t="n">
        <f aca="false">J92-K92</f>
        <v>3.8886090672</v>
      </c>
      <c r="M92" s="28" t="n">
        <f aca="false">L92*G92</f>
        <v>58.329136008</v>
      </c>
      <c r="N92" s="28" t="n">
        <f aca="false">M92/M$16</f>
        <v>0.000880305083844907</v>
      </c>
      <c r="O92" s="9"/>
    </row>
    <row r="93" s="67" customFormat="true" ht="23.25" hidden="false" customHeight="true" outlineLevel="0" collapsed="false">
      <c r="A93" s="74" t="s">
        <v>191</v>
      </c>
      <c r="B93" s="22" t="s">
        <v>39</v>
      </c>
      <c r="C93" s="63" t="s">
        <v>192</v>
      </c>
      <c r="D93" s="63" t="s">
        <v>41</v>
      </c>
      <c r="E93" s="70" t="s">
        <v>193</v>
      </c>
      <c r="F93" s="69" t="s">
        <v>89</v>
      </c>
      <c r="G93" s="69" t="n">
        <v>20</v>
      </c>
      <c r="H93" s="75" t="n">
        <v>2.22</v>
      </c>
      <c r="I93" s="28" t="n">
        <f aca="false">H93*0.2232</f>
        <v>0.495504</v>
      </c>
      <c r="J93" s="28" t="n">
        <f aca="false">H93+I93</f>
        <v>2.715504</v>
      </c>
      <c r="K93" s="28" t="n">
        <f aca="false">J93*(0.03%)</f>
        <v>0.0008146512</v>
      </c>
      <c r="L93" s="28" t="n">
        <f aca="false">J93-K93</f>
        <v>2.7146893488</v>
      </c>
      <c r="M93" s="28" t="n">
        <f aca="false">L93*G93</f>
        <v>54.293786976</v>
      </c>
      <c r="N93" s="28" t="n">
        <f aca="false">M93/M$16</f>
        <v>0.000819403474270731</v>
      </c>
      <c r="O93" s="9"/>
    </row>
    <row r="94" s="67" customFormat="true" ht="23.25" hidden="false" customHeight="true" outlineLevel="0" collapsed="false">
      <c r="A94" s="73" t="s">
        <v>194</v>
      </c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9"/>
    </row>
    <row r="95" s="67" customFormat="true" ht="23.25" hidden="false" customHeight="true" outlineLevel="0" collapsed="false">
      <c r="A95" s="74" t="s">
        <v>195</v>
      </c>
      <c r="B95" s="22" t="s">
        <v>39</v>
      </c>
      <c r="C95" s="76" t="n">
        <v>100717</v>
      </c>
      <c r="D95" s="76" t="s">
        <v>41</v>
      </c>
      <c r="E95" s="77" t="s">
        <v>196</v>
      </c>
      <c r="F95" s="69" t="s">
        <v>89</v>
      </c>
      <c r="G95" s="76" t="n">
        <v>37.69</v>
      </c>
      <c r="H95" s="78" t="n">
        <v>10.73</v>
      </c>
      <c r="I95" s="28" t="n">
        <f aca="false">H95*0.2232</f>
        <v>2.394936</v>
      </c>
      <c r="J95" s="28" t="n">
        <f aca="false">H95+I95</f>
        <v>13.124936</v>
      </c>
      <c r="K95" s="28" t="n">
        <f aca="false">J95*(0.03%)</f>
        <v>0.0039374808</v>
      </c>
      <c r="L95" s="28" t="n">
        <f aca="false">J95-K95</f>
        <v>13.1209985192</v>
      </c>
      <c r="M95" s="28" t="n">
        <f aca="false">L95*G95</f>
        <v>494.530434188648</v>
      </c>
      <c r="N95" s="28" t="n">
        <f aca="false">M95/M$16</f>
        <v>0.0074634682617721</v>
      </c>
      <c r="O95" s="9"/>
    </row>
    <row r="96" s="67" customFormat="true" ht="23.25" hidden="false" customHeight="true" outlineLevel="0" collapsed="false">
      <c r="A96" s="74" t="s">
        <v>197</v>
      </c>
      <c r="B96" s="22" t="s">
        <v>39</v>
      </c>
      <c r="C96" s="76" t="n">
        <v>100719</v>
      </c>
      <c r="D96" s="76" t="s">
        <v>41</v>
      </c>
      <c r="E96" s="77" t="s">
        <v>198</v>
      </c>
      <c r="F96" s="69" t="s">
        <v>89</v>
      </c>
      <c r="G96" s="76" t="n">
        <v>37.69</v>
      </c>
      <c r="H96" s="79" t="n">
        <v>11.27</v>
      </c>
      <c r="I96" s="28" t="n">
        <f aca="false">H96*0.2232</f>
        <v>2.515464</v>
      </c>
      <c r="J96" s="28" t="n">
        <f aca="false">H96+I96</f>
        <v>13.785464</v>
      </c>
      <c r="K96" s="28" t="n">
        <f aca="false">J96*(0.03%)</f>
        <v>0.0041356392</v>
      </c>
      <c r="L96" s="28" t="n">
        <f aca="false">J96-K96</f>
        <v>13.7813283608</v>
      </c>
      <c r="M96" s="28" t="n">
        <f aca="false">L96*G96</f>
        <v>519.418265918552</v>
      </c>
      <c r="N96" s="28" t="n">
        <f aca="false">M96/M$16</f>
        <v>0.00783907617056584</v>
      </c>
      <c r="O96" s="9"/>
    </row>
    <row r="97" s="67" customFormat="true" ht="23.25" hidden="false" customHeight="true" outlineLevel="0" collapsed="false">
      <c r="A97" s="74" t="s">
        <v>199</v>
      </c>
      <c r="B97" s="22" t="s">
        <v>39</v>
      </c>
      <c r="C97" s="69" t="n">
        <v>100759</v>
      </c>
      <c r="D97" s="69" t="s">
        <v>41</v>
      </c>
      <c r="E97" s="80" t="s">
        <v>200</v>
      </c>
      <c r="F97" s="69" t="s">
        <v>89</v>
      </c>
      <c r="G97" s="69" t="n">
        <v>37.69</v>
      </c>
      <c r="H97" s="71" t="n">
        <v>52.77</v>
      </c>
      <c r="I97" s="28" t="n">
        <f aca="false">H97*0.2232</f>
        <v>11.778264</v>
      </c>
      <c r="J97" s="28" t="n">
        <f aca="false">H97+I97</f>
        <v>64.548264</v>
      </c>
      <c r="K97" s="28" t="n">
        <f aca="false">J97*(0.03%)</f>
        <v>0.0193644792</v>
      </c>
      <c r="L97" s="28" t="n">
        <f aca="false">J97-K97</f>
        <v>64.5288995208</v>
      </c>
      <c r="M97" s="28" t="n">
        <f aca="false">L97*G97</f>
        <v>2432.09422293895</v>
      </c>
      <c r="N97" s="28" t="n">
        <f aca="false">M97/M$16</f>
        <v>0.036705239531567</v>
      </c>
      <c r="O97" s="9"/>
    </row>
    <row r="98" s="67" customFormat="true" ht="23.25" hidden="false" customHeight="true" outlineLevel="0" collapsed="false">
      <c r="A98" s="73" t="s">
        <v>201</v>
      </c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9"/>
    </row>
    <row r="99" s="67" customFormat="true" ht="23.25" hidden="false" customHeight="true" outlineLevel="0" collapsed="false">
      <c r="A99" s="74" t="s">
        <v>202</v>
      </c>
      <c r="B99" s="22" t="s">
        <v>39</v>
      </c>
      <c r="C99" s="69" t="n">
        <v>88488</v>
      </c>
      <c r="D99" s="69" t="s">
        <v>41</v>
      </c>
      <c r="E99" s="70" t="s">
        <v>184</v>
      </c>
      <c r="F99" s="69" t="s">
        <v>89</v>
      </c>
      <c r="G99" s="69" t="n">
        <v>97.14</v>
      </c>
      <c r="H99" s="71" t="n">
        <v>18.53</v>
      </c>
      <c r="I99" s="28" t="n">
        <f aca="false">H99*0.2232</f>
        <v>4.135896</v>
      </c>
      <c r="J99" s="28" t="n">
        <f aca="false">H99+I99</f>
        <v>22.665896</v>
      </c>
      <c r="K99" s="28" t="n">
        <f aca="false">J99*(0.03%)</f>
        <v>0.0067997688</v>
      </c>
      <c r="L99" s="28" t="n">
        <f aca="false">J99-K99</f>
        <v>22.6590962312</v>
      </c>
      <c r="M99" s="28" t="n">
        <f aca="false">L99*G99</f>
        <v>2201.10460789877</v>
      </c>
      <c r="N99" s="28" t="e">
        <f aca="false">M99/M80</f>
        <v>#DIV/0!</v>
      </c>
      <c r="O99" s="9"/>
    </row>
    <row r="100" s="72" customFormat="true" ht="23.25" hidden="false" customHeight="true" outlineLevel="0" collapsed="false">
      <c r="A100" s="23" t="s">
        <v>203</v>
      </c>
      <c r="B100" s="22" t="s">
        <v>39</v>
      </c>
      <c r="C100" s="69" t="s">
        <v>186</v>
      </c>
      <c r="D100" s="69" t="s">
        <v>41</v>
      </c>
      <c r="E100" s="70" t="s">
        <v>187</v>
      </c>
      <c r="F100" s="69" t="s">
        <v>89</v>
      </c>
      <c r="G100" s="69" t="n">
        <v>273.02</v>
      </c>
      <c r="H100" s="71" t="n">
        <v>16.19</v>
      </c>
      <c r="I100" s="28" t="n">
        <f aca="false">H100*0.2232</f>
        <v>3.613608</v>
      </c>
      <c r="J100" s="28" t="n">
        <f aca="false">H100+I100</f>
        <v>19.803608</v>
      </c>
      <c r="K100" s="28" t="n">
        <f aca="false">J100*(0.03%)</f>
        <v>0.0059410824</v>
      </c>
      <c r="L100" s="28" t="n">
        <f aca="false">J100-K100</f>
        <v>19.7976669176</v>
      </c>
      <c r="M100" s="28" t="n">
        <f aca="false">L100*G100</f>
        <v>5405.15902184315</v>
      </c>
      <c r="N100" s="28" t="n">
        <f aca="false">M100/M81</f>
        <v>0.158195431736704</v>
      </c>
      <c r="O100" s="9"/>
    </row>
    <row r="101" s="67" customFormat="true" ht="23.25" hidden="false" customHeight="true" outlineLevel="0" collapsed="false">
      <c r="A101" s="62" t="s">
        <v>204</v>
      </c>
      <c r="B101" s="22" t="s">
        <v>39</v>
      </c>
      <c r="C101" s="69" t="n">
        <v>96113</v>
      </c>
      <c r="D101" s="69" t="s">
        <v>41</v>
      </c>
      <c r="E101" s="70" t="s">
        <v>205</v>
      </c>
      <c r="F101" s="69" t="s">
        <v>89</v>
      </c>
      <c r="G101" s="69" t="n">
        <v>8</v>
      </c>
      <c r="H101" s="71" t="n">
        <v>38.79</v>
      </c>
      <c r="I101" s="28" t="n">
        <f aca="false">H101*0.2232</f>
        <v>8.657928</v>
      </c>
      <c r="J101" s="28" t="n">
        <f aca="false">H101+I101</f>
        <v>47.447928</v>
      </c>
      <c r="K101" s="28" t="n">
        <f aca="false">J101*(0.03%)</f>
        <v>0.0142343784</v>
      </c>
      <c r="L101" s="28" t="n">
        <f aca="false">J101-K101</f>
        <v>47.4336936216</v>
      </c>
      <c r="M101" s="28" t="n">
        <f aca="false">L101*G101</f>
        <v>379.4695489728</v>
      </c>
      <c r="N101" s="28" t="n">
        <f aca="false">M101/J103</f>
        <v>0.00298028713780837</v>
      </c>
      <c r="O101" s="9"/>
    </row>
    <row r="102" customFormat="false" ht="16.5" hidden="false" customHeight="tru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9"/>
    </row>
    <row r="103" customFormat="false" ht="16.5" hidden="false" customHeight="true" outlineLevel="0" collapsed="false">
      <c r="A103" s="82"/>
      <c r="B103" s="82"/>
      <c r="C103" s="82"/>
      <c r="D103" s="82"/>
      <c r="E103" s="82"/>
      <c r="F103" s="82"/>
      <c r="G103" s="82"/>
      <c r="H103" s="83" t="s">
        <v>206</v>
      </c>
      <c r="I103" s="84"/>
      <c r="J103" s="85" t="n">
        <f aca="false">M16+M31+M81</f>
        <v>127326.50628149</v>
      </c>
      <c r="K103" s="85"/>
      <c r="L103" s="85"/>
      <c r="M103" s="85"/>
      <c r="N103" s="85"/>
      <c r="O103" s="9"/>
    </row>
    <row r="104" customFormat="false" ht="16.5" hidden="false" customHeight="true" outlineLevel="0" collapsed="false">
      <c r="A104" s="86" t="s">
        <v>207</v>
      </c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9"/>
    </row>
    <row r="105" customFormat="false" ht="16.5" hidden="false" customHeight="true" outlineLevel="0" collapsed="false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9"/>
    </row>
    <row r="106" customFormat="false" ht="16.5" hidden="false" customHeight="true" outlineLevel="0" collapsed="false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9"/>
    </row>
    <row r="107" customFormat="false" ht="16.5" hidden="false" customHeight="true" outlineLevel="0" collapsed="false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9"/>
    </row>
    <row r="108" customFormat="false" ht="16.5" hidden="false" customHeight="true" outlineLevel="0" collapsed="false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9"/>
    </row>
    <row r="109" customFormat="false" ht="16.5" hidden="false" customHeight="true" outlineLevel="0" collapsed="false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9"/>
    </row>
    <row r="110" customFormat="false" ht="16.5" hidden="false" customHeight="true" outlineLevel="0" collapsed="false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9"/>
    </row>
    <row r="111" customFormat="false" ht="16.5" hidden="false" customHeight="true" outlineLevel="0" collapsed="false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</row>
    <row r="112" customFormat="false" ht="16.5" hidden="false" customHeight="true" outlineLevel="0" collapsed="false">
      <c r="A112" s="88" t="s">
        <v>208</v>
      </c>
      <c r="B112" s="88"/>
      <c r="C112" s="88"/>
      <c r="D112" s="88"/>
      <c r="E112" s="88"/>
      <c r="F112" s="88"/>
      <c r="G112" s="89" t="s">
        <v>209</v>
      </c>
      <c r="H112" s="89"/>
      <c r="I112" s="89"/>
      <c r="J112" s="89"/>
      <c r="K112" s="90"/>
      <c r="L112" s="90"/>
      <c r="M112" s="90"/>
      <c r="N112" s="90"/>
      <c r="O112" s="91" t="s">
        <v>210</v>
      </c>
    </row>
    <row r="113" customFormat="false" ht="16.5" hidden="false" customHeight="true" outlineLevel="0" collapsed="false">
      <c r="A113" s="92" t="s">
        <v>211</v>
      </c>
      <c r="B113" s="92"/>
      <c r="C113" s="92"/>
      <c r="D113" s="92"/>
      <c r="E113" s="92"/>
      <c r="F113" s="92"/>
      <c r="G113" s="93" t="s">
        <v>212</v>
      </c>
      <c r="H113" s="93"/>
      <c r="I113" s="93"/>
      <c r="J113" s="93"/>
      <c r="K113" s="90"/>
      <c r="L113" s="90"/>
      <c r="M113" s="90"/>
      <c r="N113" s="90"/>
      <c r="O113" s="91"/>
    </row>
    <row r="114" customFormat="false" ht="16.5" hidden="false" customHeight="true" outlineLevel="0" collapsed="false">
      <c r="A114" s="92"/>
      <c r="B114" s="92"/>
      <c r="C114" s="92"/>
      <c r="D114" s="92"/>
      <c r="E114" s="92"/>
      <c r="F114" s="92"/>
      <c r="G114" s="93"/>
      <c r="H114" s="93"/>
      <c r="I114" s="93"/>
      <c r="J114" s="93"/>
      <c r="K114" s="90"/>
      <c r="L114" s="90"/>
      <c r="M114" s="90"/>
      <c r="N114" s="90"/>
      <c r="O114" s="91"/>
    </row>
    <row r="115" customFormat="false" ht="16.5" hidden="false" customHeight="true" outlineLevel="0" collapsed="false">
      <c r="A115" s="92"/>
      <c r="B115" s="92"/>
      <c r="C115" s="92"/>
      <c r="D115" s="92"/>
      <c r="E115" s="92"/>
      <c r="F115" s="92"/>
      <c r="G115" s="93"/>
      <c r="H115" s="93"/>
      <c r="I115" s="93"/>
      <c r="J115" s="93"/>
      <c r="K115" s="90"/>
      <c r="L115" s="90"/>
      <c r="M115" s="90"/>
      <c r="N115" s="90"/>
      <c r="O115" s="91"/>
    </row>
    <row r="116" customFormat="false" ht="16.5" hidden="false" customHeight="true" outlineLevel="0" collapsed="false">
      <c r="A116" s="92"/>
      <c r="B116" s="92"/>
      <c r="C116" s="92"/>
      <c r="D116" s="92"/>
      <c r="E116" s="92"/>
      <c r="F116" s="92"/>
      <c r="G116" s="93"/>
      <c r="H116" s="93"/>
      <c r="I116" s="93"/>
      <c r="J116" s="93"/>
      <c r="K116" s="90"/>
      <c r="L116" s="90"/>
      <c r="M116" s="90"/>
      <c r="N116" s="90"/>
      <c r="O116" s="91"/>
    </row>
    <row r="117" customFormat="false" ht="16.5" hidden="false" customHeight="true" outlineLevel="0" collapsed="false">
      <c r="A117" s="92"/>
      <c r="B117" s="92"/>
      <c r="C117" s="92"/>
      <c r="D117" s="92"/>
      <c r="E117" s="92"/>
      <c r="F117" s="92"/>
      <c r="G117" s="93"/>
      <c r="H117" s="93"/>
      <c r="I117" s="93"/>
      <c r="J117" s="93"/>
      <c r="K117" s="90"/>
      <c r="L117" s="90"/>
      <c r="M117" s="90"/>
      <c r="N117" s="90"/>
      <c r="O117" s="91"/>
    </row>
    <row r="118" customFormat="false" ht="16.5" hidden="false" customHeight="true" outlineLevel="0" collapsed="false">
      <c r="A118" s="92"/>
      <c r="B118" s="92"/>
      <c r="C118" s="92"/>
      <c r="D118" s="92"/>
      <c r="E118" s="92"/>
      <c r="F118" s="92"/>
      <c r="G118" s="93"/>
      <c r="H118" s="93"/>
      <c r="I118" s="93"/>
      <c r="J118" s="93"/>
      <c r="K118" s="90"/>
      <c r="L118" s="90"/>
      <c r="M118" s="90"/>
      <c r="N118" s="90"/>
      <c r="O118" s="91"/>
    </row>
    <row r="119" customFormat="false" ht="16.5" hidden="false" customHeight="true" outlineLevel="0" collapsed="false">
      <c r="A119" s="92"/>
      <c r="B119" s="92"/>
      <c r="C119" s="92"/>
      <c r="D119" s="92"/>
      <c r="E119" s="92"/>
      <c r="F119" s="92"/>
      <c r="G119" s="93"/>
      <c r="H119" s="93"/>
      <c r="I119" s="93"/>
      <c r="J119" s="93"/>
      <c r="K119" s="90"/>
      <c r="L119" s="90"/>
      <c r="M119" s="90"/>
      <c r="N119" s="90"/>
      <c r="O119" s="91"/>
    </row>
    <row r="120" customFormat="false" ht="16.5" hidden="false" customHeight="true" outlineLevel="0" collapsed="false">
      <c r="A120" s="92"/>
      <c r="B120" s="92"/>
      <c r="C120" s="92"/>
      <c r="D120" s="92"/>
      <c r="E120" s="92"/>
      <c r="F120" s="92"/>
      <c r="G120" s="93"/>
      <c r="H120" s="93"/>
      <c r="I120" s="93"/>
      <c r="J120" s="93"/>
      <c r="K120" s="90"/>
      <c r="L120" s="90"/>
      <c r="M120" s="90"/>
      <c r="N120" s="90"/>
      <c r="O120" s="91"/>
    </row>
    <row r="121" customFormat="false" ht="16.5" hidden="false" customHeight="true" outlineLevel="0" collapsed="false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</row>
    <row r="122" customFormat="false" ht="16.5" hidden="false" customHeight="true" outlineLevel="0" collapsed="false">
      <c r="A122" s="86" t="s">
        <v>213</v>
      </c>
      <c r="B122" s="86"/>
      <c r="C122" s="86"/>
      <c r="D122" s="86"/>
      <c r="E122" s="95" t="s">
        <v>214</v>
      </c>
      <c r="F122" s="95"/>
      <c r="G122" s="95"/>
      <c r="H122" s="95"/>
      <c r="I122" s="95"/>
      <c r="J122" s="95"/>
      <c r="K122" s="96" t="s">
        <v>215</v>
      </c>
      <c r="L122" s="96"/>
      <c r="M122" s="96"/>
      <c r="N122" s="96"/>
      <c r="O122" s="97" t="s">
        <v>216</v>
      </c>
    </row>
    <row r="123" customFormat="false" ht="16.5" hidden="false" customHeight="true" outlineLevel="0" collapsed="false">
      <c r="A123" s="86"/>
      <c r="B123" s="86"/>
      <c r="C123" s="86"/>
      <c r="D123" s="86"/>
      <c r="E123" s="95"/>
      <c r="F123" s="95"/>
      <c r="G123" s="95"/>
      <c r="H123" s="95"/>
      <c r="I123" s="95"/>
      <c r="J123" s="95"/>
      <c r="K123" s="96"/>
      <c r="L123" s="96"/>
      <c r="M123" s="96"/>
      <c r="N123" s="96"/>
      <c r="O123" s="97"/>
    </row>
    <row r="124" customFormat="false" ht="16.5" hidden="false" customHeight="true" outlineLevel="0" collapsed="false">
      <c r="A124" s="98" t="s">
        <v>217</v>
      </c>
      <c r="B124" s="98"/>
      <c r="C124" s="98"/>
      <c r="D124" s="98"/>
      <c r="E124" s="98"/>
      <c r="F124" s="98"/>
      <c r="G124" s="98"/>
      <c r="H124" s="98"/>
      <c r="I124" s="98"/>
      <c r="J124" s="98"/>
      <c r="K124" s="96"/>
      <c r="L124" s="96"/>
      <c r="M124" s="96"/>
      <c r="N124" s="96"/>
      <c r="O124" s="97"/>
    </row>
    <row r="125" customFormat="false" ht="16.5" hidden="false" customHeight="true" outlineLevel="0" collapsed="false">
      <c r="A125" s="98"/>
      <c r="B125" s="98"/>
      <c r="C125" s="98"/>
      <c r="D125" s="98"/>
      <c r="E125" s="98"/>
      <c r="F125" s="98"/>
      <c r="G125" s="98"/>
      <c r="H125" s="98"/>
      <c r="I125" s="98"/>
      <c r="J125" s="98"/>
      <c r="K125" s="96"/>
      <c r="L125" s="96"/>
      <c r="M125" s="96"/>
      <c r="N125" s="96"/>
      <c r="O125" s="97"/>
    </row>
    <row r="126" customFormat="false" ht="16.5" hidden="false" customHeight="true" outlineLevel="0" collapsed="false">
      <c r="A126" s="98"/>
      <c r="B126" s="98"/>
      <c r="C126" s="98"/>
      <c r="D126" s="98"/>
      <c r="E126" s="98"/>
      <c r="F126" s="98"/>
      <c r="G126" s="98"/>
      <c r="H126" s="98"/>
      <c r="I126" s="98"/>
      <c r="J126" s="98"/>
      <c r="K126" s="96"/>
      <c r="L126" s="96"/>
      <c r="M126" s="96"/>
      <c r="N126" s="96"/>
      <c r="O126" s="97"/>
    </row>
    <row r="127" customFormat="false" ht="16.5" hidden="false" customHeight="true" outlineLevel="0" collapsed="false">
      <c r="A127" s="98"/>
      <c r="B127" s="98"/>
      <c r="C127" s="98"/>
      <c r="D127" s="98"/>
      <c r="E127" s="98"/>
      <c r="F127" s="98"/>
      <c r="G127" s="98"/>
      <c r="H127" s="98"/>
      <c r="I127" s="98"/>
      <c r="J127" s="98"/>
      <c r="K127" s="96"/>
      <c r="L127" s="96"/>
      <c r="M127" s="96"/>
      <c r="N127" s="96"/>
      <c r="O127" s="97"/>
    </row>
    <row r="128" customFormat="false" ht="16.5" hidden="false" customHeight="true" outlineLevel="0" collapsed="false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6"/>
      <c r="L128" s="96"/>
      <c r="M128" s="96"/>
      <c r="N128" s="96"/>
      <c r="O128" s="97"/>
    </row>
    <row r="129" customFormat="false" ht="13.5" hidden="false" customHeight="true" outlineLevel="0" collapsed="false">
      <c r="A129" s="99"/>
      <c r="B129" s="99"/>
      <c r="C129" s="99"/>
      <c r="D129" s="99"/>
      <c r="E129" s="99"/>
      <c r="F129" s="99"/>
      <c r="G129" s="99"/>
      <c r="H129" s="99"/>
      <c r="I129" s="99"/>
      <c r="J129" s="99"/>
      <c r="K129" s="99"/>
      <c r="L129" s="99"/>
      <c r="M129" s="99"/>
      <c r="N129" s="99"/>
      <c r="O129" s="99"/>
      <c r="P129" s="99"/>
      <c r="Q129" s="99"/>
      <c r="R129" s="99"/>
      <c r="S129" s="99"/>
    </row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</sheetData>
  <mergeCells count="76">
    <mergeCell ref="A1:I6"/>
    <mergeCell ref="J1:O1"/>
    <mergeCell ref="J2:O2"/>
    <mergeCell ref="J3:L3"/>
    <mergeCell ref="M3:N3"/>
    <mergeCell ref="J4:L4"/>
    <mergeCell ref="M4:N4"/>
    <mergeCell ref="J5:L5"/>
    <mergeCell ref="M5:N5"/>
    <mergeCell ref="J6:L6"/>
    <mergeCell ref="M6:N6"/>
    <mergeCell ref="A7:I7"/>
    <mergeCell ref="J7:N7"/>
    <mergeCell ref="O7:O13"/>
    <mergeCell ref="A8:I13"/>
    <mergeCell ref="J8:N8"/>
    <mergeCell ref="J9:N9"/>
    <mergeCell ref="J10:N10"/>
    <mergeCell ref="J11:N11"/>
    <mergeCell ref="J12:N12"/>
    <mergeCell ref="J13:N13"/>
    <mergeCell ref="A14:A15"/>
    <mergeCell ref="B14:B15"/>
    <mergeCell ref="C14:C15"/>
    <mergeCell ref="D14:D15"/>
    <mergeCell ref="E14:E15"/>
    <mergeCell ref="F14:F15"/>
    <mergeCell ref="G14:G15"/>
    <mergeCell ref="H14:L14"/>
    <mergeCell ref="M14:M15"/>
    <mergeCell ref="N14:N15"/>
    <mergeCell ref="O14:O110"/>
    <mergeCell ref="A29:A30"/>
    <mergeCell ref="B29:B30"/>
    <mergeCell ref="C29:C30"/>
    <mergeCell ref="D29:D30"/>
    <mergeCell ref="E29:E30"/>
    <mergeCell ref="F29:F30"/>
    <mergeCell ref="G29:G30"/>
    <mergeCell ref="H29:L29"/>
    <mergeCell ref="M29:M30"/>
    <mergeCell ref="N29:N30"/>
    <mergeCell ref="B31:F31"/>
    <mergeCell ref="A79:A80"/>
    <mergeCell ref="B79:B80"/>
    <mergeCell ref="C79:C80"/>
    <mergeCell ref="D79:D80"/>
    <mergeCell ref="E79:E80"/>
    <mergeCell ref="F79:F80"/>
    <mergeCell ref="G79:G80"/>
    <mergeCell ref="H79:L79"/>
    <mergeCell ref="M79:M80"/>
    <mergeCell ref="N79:N80"/>
    <mergeCell ref="B81:F81"/>
    <mergeCell ref="A85:N85"/>
    <mergeCell ref="A89:N89"/>
    <mergeCell ref="A94:N94"/>
    <mergeCell ref="A98:N98"/>
    <mergeCell ref="A103:G103"/>
    <mergeCell ref="J103:N103"/>
    <mergeCell ref="A104:N110"/>
    <mergeCell ref="A111:O111"/>
    <mergeCell ref="A112:F112"/>
    <mergeCell ref="G112:J112"/>
    <mergeCell ref="K112:N120"/>
    <mergeCell ref="O112:O120"/>
    <mergeCell ref="A113:F120"/>
    <mergeCell ref="G113:J120"/>
    <mergeCell ref="A121:O121"/>
    <mergeCell ref="A122:D123"/>
    <mergeCell ref="E122:J123"/>
    <mergeCell ref="K122:N128"/>
    <mergeCell ref="O122:O128"/>
    <mergeCell ref="A124:J128"/>
    <mergeCell ref="A129:J129"/>
    <mergeCell ref="K129:S129"/>
  </mergeCells>
  <hyperlinks>
    <hyperlink ref="E33" r:id="rId1" display="AREIA GROSSA - POSTO JAZIDA/FORNECEDOR (RETIRADO NA JAZIDA, SEM TRANSPORTE)"/>
    <hyperlink ref="E34" r:id="rId2" display="PEDRA BRITADA N. 0, OU PEDRISCO (4,8 A 9,5 MM) POSTO PEDREIRA/FORNECEDOR, SEM FRETE"/>
    <hyperlink ref="E35" r:id="rId3" display="AREIA GROSSA - POSTO JAZIDA/FORNECEDOR (RETIRADO NA JAZIDA, SEM TRANSPORTE)"/>
  </hyperlink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5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2"/>
  <sheetViews>
    <sheetView showFormulas="false" showGridLines="true" showRowColHeaders="true" showZeros="true" rightToLeft="false" tabSelected="false" showOutlineSymbols="true" defaultGridColor="true" view="normal" topLeftCell="E40" colorId="64" zoomScale="85" zoomScaleNormal="85" zoomScalePageLayoutView="100" workbookViewId="0">
      <selection pane="topLeft" activeCell="N62" activeCellId="0" sqref="N62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0.71"/>
    <col collapsed="false" customWidth="true" hidden="false" outlineLevel="0" max="4" min="4" style="0" width="12.15"/>
    <col collapsed="false" customWidth="true" hidden="false" outlineLevel="0" max="5" min="5" style="0" width="66.57"/>
    <col collapsed="false" customWidth="true" hidden="false" outlineLevel="0" max="6" min="6" style="0" width="5.71"/>
    <col collapsed="false" customWidth="true" hidden="false" outlineLevel="0" max="13" min="8" style="0" width="12.71"/>
    <col collapsed="false" customWidth="true" hidden="false" outlineLevel="0" max="14" min="14" style="100" width="13.15"/>
    <col collapsed="false" customWidth="true" hidden="false" outlineLevel="0" max="15" min="15" style="0" width="12.71"/>
    <col collapsed="false" customWidth="true" hidden="false" outlineLevel="0" max="16" min="16" style="0" width="13.86"/>
    <col collapsed="false" customWidth="true" hidden="false" outlineLevel="0" max="17" min="17" style="0" width="12.71"/>
    <col collapsed="false" customWidth="true" hidden="false" outlineLevel="0" max="18" min="18" style="0" width="15.85"/>
  </cols>
  <sheetData>
    <row r="1" customFormat="false" ht="15" hidden="false" customHeight="true" outlineLevel="0" collapsed="false">
      <c r="A1" s="11" t="s">
        <v>21</v>
      </c>
      <c r="B1" s="12" t="s">
        <v>22</v>
      </c>
      <c r="C1" s="12" t="s">
        <v>23</v>
      </c>
      <c r="D1" s="12" t="s">
        <v>24</v>
      </c>
      <c r="E1" s="12" t="s">
        <v>25</v>
      </c>
      <c r="F1" s="12" t="s">
        <v>26</v>
      </c>
      <c r="G1" s="12" t="s">
        <v>27</v>
      </c>
      <c r="H1" s="101" t="s">
        <v>28</v>
      </c>
      <c r="I1" s="101"/>
      <c r="J1" s="101"/>
      <c r="K1" s="101"/>
      <c r="L1" s="101"/>
      <c r="M1" s="102" t="s">
        <v>29</v>
      </c>
      <c r="N1" s="103"/>
      <c r="O1" s="104"/>
      <c r="P1" s="104"/>
      <c r="Q1" s="104"/>
      <c r="R1" s="105"/>
    </row>
    <row r="2" customFormat="false" ht="32.25" hidden="false" customHeight="true" outlineLevel="0" collapsed="false">
      <c r="A2" s="11"/>
      <c r="B2" s="12"/>
      <c r="C2" s="12"/>
      <c r="D2" s="12"/>
      <c r="E2" s="12"/>
      <c r="F2" s="12"/>
      <c r="G2" s="12"/>
      <c r="H2" s="106" t="s">
        <v>32</v>
      </c>
      <c r="I2" s="107" t="s">
        <v>65</v>
      </c>
      <c r="J2" s="106" t="s">
        <v>34</v>
      </c>
      <c r="K2" s="107" t="s">
        <v>35</v>
      </c>
      <c r="L2" s="106" t="s">
        <v>36</v>
      </c>
      <c r="M2" s="102"/>
      <c r="N2" s="108" t="s">
        <v>218</v>
      </c>
      <c r="O2" s="109" t="s">
        <v>219</v>
      </c>
      <c r="P2" s="109" t="s">
        <v>220</v>
      </c>
      <c r="Q2" s="109" t="s">
        <v>221</v>
      </c>
      <c r="R2" s="110" t="s">
        <v>222</v>
      </c>
      <c r="S2" s="111" t="n">
        <f aca="false">SUM(S3:S35)/47</f>
        <v>0.126691686781963</v>
      </c>
    </row>
    <row r="3" s="37" customFormat="true" ht="16.5" hidden="false" customHeight="true" outlineLevel="0" collapsed="false">
      <c r="A3" s="34" t="s">
        <v>77</v>
      </c>
      <c r="B3" s="34" t="s">
        <v>68</v>
      </c>
      <c r="C3" s="34" t="n">
        <v>1379</v>
      </c>
      <c r="D3" s="34" t="s">
        <v>41</v>
      </c>
      <c r="E3" s="112" t="s">
        <v>69</v>
      </c>
      <c r="F3" s="34" t="s">
        <v>70</v>
      </c>
      <c r="G3" s="34" t="n">
        <v>1500</v>
      </c>
      <c r="H3" s="113" t="n">
        <v>0.66</v>
      </c>
      <c r="I3" s="28" t="n">
        <f aca="false">H3*0.1532</f>
        <v>0.101112</v>
      </c>
      <c r="J3" s="28" t="n">
        <f aca="false">H3+I3</f>
        <v>0.761112</v>
      </c>
      <c r="K3" s="28" t="n">
        <f aca="false">J3*(0.03%)</f>
        <v>0.0002283336</v>
      </c>
      <c r="L3" s="28" t="n">
        <f aca="false">J3-K3</f>
        <v>0.7608836664</v>
      </c>
      <c r="M3" s="114" t="n">
        <f aca="false">L3*G3</f>
        <v>1141.3254996</v>
      </c>
      <c r="N3" s="115" t="n">
        <f aca="false">33.75/50</f>
        <v>0.675</v>
      </c>
      <c r="O3" s="116" t="n">
        <f aca="false">N3*G3</f>
        <v>1012.5</v>
      </c>
      <c r="P3" s="23" t="s">
        <v>223</v>
      </c>
      <c r="Q3" s="23" t="n">
        <v>116196</v>
      </c>
      <c r="R3" s="117" t="n">
        <f aca="false">M3-O3</f>
        <v>128.8254996</v>
      </c>
      <c r="S3" s="118" t="n">
        <f aca="false">1-(O3/M3)</f>
        <v>0.112873583955803</v>
      </c>
    </row>
    <row r="4" s="37" customFormat="true" ht="16.5" hidden="false" customHeight="true" outlineLevel="0" collapsed="false">
      <c r="A4" s="34" t="s">
        <v>118</v>
      </c>
      <c r="B4" s="34" t="s">
        <v>68</v>
      </c>
      <c r="C4" s="34" t="n">
        <v>367</v>
      </c>
      <c r="D4" s="34" t="s">
        <v>41</v>
      </c>
      <c r="E4" s="119" t="s">
        <v>72</v>
      </c>
      <c r="F4" s="34" t="s">
        <v>73</v>
      </c>
      <c r="G4" s="34" t="n">
        <v>5</v>
      </c>
      <c r="H4" s="120" t="n">
        <v>53.13</v>
      </c>
      <c r="I4" s="28" t="n">
        <f aca="false">H4*0.1532</f>
        <v>8.139516</v>
      </c>
      <c r="J4" s="28" t="n">
        <f aca="false">H4+I4</f>
        <v>61.269516</v>
      </c>
      <c r="K4" s="28" t="n">
        <f aca="false">J4*(0.03%)</f>
        <v>0.0183808548</v>
      </c>
      <c r="L4" s="28" t="n">
        <f aca="false">J4-K4</f>
        <v>61.2511351452</v>
      </c>
      <c r="M4" s="114" t="n">
        <f aca="false">L4*G4</f>
        <v>306.255675726</v>
      </c>
      <c r="N4" s="115" t="n">
        <v>98</v>
      </c>
      <c r="O4" s="116" t="n">
        <f aca="false">N4*G4</f>
        <v>490</v>
      </c>
      <c r="P4" s="23" t="s">
        <v>223</v>
      </c>
      <c r="Q4" s="44" t="n">
        <v>116195</v>
      </c>
      <c r="R4" s="117" t="n">
        <f aca="false">M4-O4</f>
        <v>-183.744324274</v>
      </c>
      <c r="S4" s="118" t="n">
        <f aca="false">1-(O4/M4)</f>
        <v>-0.599970347776973</v>
      </c>
    </row>
    <row r="5" s="37" customFormat="true" ht="16.5" hidden="false" customHeight="true" outlineLevel="0" collapsed="false">
      <c r="A5" s="34" t="s">
        <v>90</v>
      </c>
      <c r="B5" s="34" t="s">
        <v>68</v>
      </c>
      <c r="C5" s="34" t="n">
        <v>4720</v>
      </c>
      <c r="D5" s="34" t="s">
        <v>41</v>
      </c>
      <c r="E5" s="40" t="s">
        <v>75</v>
      </c>
      <c r="F5" s="34" t="s">
        <v>73</v>
      </c>
      <c r="G5" s="34" t="n">
        <v>5</v>
      </c>
      <c r="H5" s="113" t="n">
        <v>80.39</v>
      </c>
      <c r="I5" s="28" t="n">
        <f aca="false">H5*0.1532</f>
        <v>12.315748</v>
      </c>
      <c r="J5" s="28" t="n">
        <f aca="false">H5+I5</f>
        <v>92.705748</v>
      </c>
      <c r="K5" s="28" t="n">
        <f aca="false">J5*(0.03%)</f>
        <v>0.0278117244</v>
      </c>
      <c r="L5" s="28" t="n">
        <f aca="false">J5-K5</f>
        <v>92.6779362756</v>
      </c>
      <c r="M5" s="114" t="n">
        <f aca="false">L5*G5</f>
        <v>463.389681378</v>
      </c>
      <c r="N5" s="115" t="n">
        <v>127.06</v>
      </c>
      <c r="O5" s="116" t="n">
        <f aca="false">N5*G5</f>
        <v>635.3</v>
      </c>
      <c r="P5" s="23" t="s">
        <v>223</v>
      </c>
      <c r="Q5" s="44" t="n">
        <v>115166</v>
      </c>
      <c r="R5" s="117" t="n">
        <f aca="false">M5-O5</f>
        <v>-171.910318622</v>
      </c>
      <c r="S5" s="118" t="n">
        <f aca="false">1-(O5/M5)</f>
        <v>-0.370984347581464</v>
      </c>
    </row>
    <row r="6" s="37" customFormat="true" ht="16.5" hidden="false" customHeight="true" outlineLevel="0" collapsed="false">
      <c r="A6" s="34" t="s">
        <v>118</v>
      </c>
      <c r="B6" s="34" t="s">
        <v>68</v>
      </c>
      <c r="C6" s="34" t="n">
        <v>367</v>
      </c>
      <c r="D6" s="34" t="s">
        <v>41</v>
      </c>
      <c r="E6" s="119" t="s">
        <v>72</v>
      </c>
      <c r="F6" s="34" t="s">
        <v>73</v>
      </c>
      <c r="G6" s="34" t="n">
        <v>5</v>
      </c>
      <c r="H6" s="120" t="n">
        <v>53.13</v>
      </c>
      <c r="I6" s="28" t="n">
        <f aca="false">H6*0.1532</f>
        <v>8.139516</v>
      </c>
      <c r="J6" s="28" t="n">
        <f aca="false">H6+I6</f>
        <v>61.269516</v>
      </c>
      <c r="K6" s="28" t="n">
        <f aca="false">J6*(0.03%)</f>
        <v>0.0183808548</v>
      </c>
      <c r="L6" s="28" t="n">
        <f aca="false">J6-K6</f>
        <v>61.2511351452</v>
      </c>
      <c r="M6" s="114" t="n">
        <f aca="false">L6*G6</f>
        <v>306.255675726</v>
      </c>
      <c r="N6" s="115" t="n">
        <v>98</v>
      </c>
      <c r="O6" s="116" t="n">
        <f aca="false">N6*G6</f>
        <v>490</v>
      </c>
      <c r="P6" s="23" t="s">
        <v>223</v>
      </c>
      <c r="Q6" s="44" t="n">
        <v>115165</v>
      </c>
      <c r="R6" s="117" t="n">
        <f aca="false">M6-O6</f>
        <v>-183.744324274</v>
      </c>
      <c r="S6" s="118" t="n">
        <f aca="false">1-(O6/M6)</f>
        <v>-0.599970347776973</v>
      </c>
    </row>
    <row r="7" s="37" customFormat="true" ht="16.5" hidden="false" customHeight="true" outlineLevel="0" collapsed="false">
      <c r="A7" s="34" t="s">
        <v>77</v>
      </c>
      <c r="B7" s="34" t="s">
        <v>68</v>
      </c>
      <c r="C7" s="34" t="n">
        <v>1379</v>
      </c>
      <c r="D7" s="34" t="s">
        <v>41</v>
      </c>
      <c r="E7" s="112" t="s">
        <v>69</v>
      </c>
      <c r="F7" s="34" t="s">
        <v>26</v>
      </c>
      <c r="G7" s="34" t="n">
        <v>1000</v>
      </c>
      <c r="H7" s="113" t="n">
        <v>0.66</v>
      </c>
      <c r="I7" s="28" t="n">
        <f aca="false">H7*0.1532</f>
        <v>0.101112</v>
      </c>
      <c r="J7" s="28" t="n">
        <f aca="false">H7+I7</f>
        <v>0.761112</v>
      </c>
      <c r="K7" s="28" t="n">
        <f aca="false">J7*(0.03%)</f>
        <v>0.0002283336</v>
      </c>
      <c r="L7" s="28" t="n">
        <f aca="false">J7-K7</f>
        <v>0.7608836664</v>
      </c>
      <c r="M7" s="114" t="n">
        <f aca="false">L7*G7</f>
        <v>760.8836664</v>
      </c>
      <c r="N7" s="115" t="n">
        <f aca="false">33.75/50</f>
        <v>0.675</v>
      </c>
      <c r="O7" s="116" t="n">
        <f aca="false">N7*G7</f>
        <v>675</v>
      </c>
      <c r="P7" s="23" t="s">
        <v>223</v>
      </c>
      <c r="Q7" s="23" t="n">
        <v>116196</v>
      </c>
      <c r="R7" s="117" t="n">
        <f aca="false">M7-O7</f>
        <v>85.8836664</v>
      </c>
      <c r="S7" s="118" t="n">
        <f aca="false">1-(O7/M7)</f>
        <v>0.112873583955804</v>
      </c>
    </row>
    <row r="8" s="37" customFormat="true" ht="16.5" hidden="false" customHeight="true" outlineLevel="0" collapsed="false">
      <c r="A8" s="34" t="s">
        <v>110</v>
      </c>
      <c r="B8" s="34" t="s">
        <v>68</v>
      </c>
      <c r="C8" s="34" t="n">
        <v>43132</v>
      </c>
      <c r="D8" s="34" t="s">
        <v>41</v>
      </c>
      <c r="E8" s="121" t="s">
        <v>79</v>
      </c>
      <c r="F8" s="34" t="s">
        <v>80</v>
      </c>
      <c r="G8" s="34" t="n">
        <v>6</v>
      </c>
      <c r="H8" s="113" t="n">
        <v>22.83</v>
      </c>
      <c r="I8" s="28" t="n">
        <f aca="false">H8*0.1532</f>
        <v>3.497556</v>
      </c>
      <c r="J8" s="28" t="n">
        <f aca="false">H8+I8</f>
        <v>26.327556</v>
      </c>
      <c r="K8" s="28" t="n">
        <f aca="false">J8*(0.03%)</f>
        <v>0.0078982668</v>
      </c>
      <c r="L8" s="28" t="n">
        <f aca="false">J8-K8</f>
        <v>26.3196577332</v>
      </c>
      <c r="M8" s="114" t="n">
        <f aca="false">L8*G8</f>
        <v>157.9179463992</v>
      </c>
      <c r="N8" s="115" t="n">
        <v>25.17</v>
      </c>
      <c r="O8" s="116" t="n">
        <f aca="false">N8*G8</f>
        <v>151.02</v>
      </c>
      <c r="P8" s="23" t="s">
        <v>223</v>
      </c>
      <c r="Q8" s="44" t="n">
        <v>115164</v>
      </c>
      <c r="R8" s="117" t="n">
        <f aca="false">M8-O8</f>
        <v>6.89794639919998</v>
      </c>
      <c r="S8" s="118" t="n">
        <f aca="false">1-(O8/M8)</f>
        <v>0.0436805730854851</v>
      </c>
    </row>
    <row r="9" s="37" customFormat="true" ht="16.5" hidden="false" customHeight="true" outlineLevel="0" collapsed="false">
      <c r="A9" s="34" t="s">
        <v>81</v>
      </c>
      <c r="B9" s="34" t="s">
        <v>68</v>
      </c>
      <c r="C9" s="34" t="n">
        <v>1381</v>
      </c>
      <c r="D9" s="34" t="s">
        <v>41</v>
      </c>
      <c r="E9" s="42" t="s">
        <v>82</v>
      </c>
      <c r="F9" s="34" t="s">
        <v>70</v>
      </c>
      <c r="G9" s="34" t="n">
        <v>100</v>
      </c>
      <c r="H9" s="113" t="n">
        <v>0.69</v>
      </c>
      <c r="I9" s="28" t="n">
        <f aca="false">H9*0.1532</f>
        <v>0.105708</v>
      </c>
      <c r="J9" s="28" t="n">
        <f aca="false">H9+I9</f>
        <v>0.795708</v>
      </c>
      <c r="K9" s="28" t="n">
        <f aca="false">J9*(0.03%)</f>
        <v>0.0002387124</v>
      </c>
      <c r="L9" s="28" t="n">
        <f aca="false">J9-K9</f>
        <v>0.7954692876</v>
      </c>
      <c r="M9" s="114" t="n">
        <f aca="false">L9*G9</f>
        <v>79.54692876</v>
      </c>
      <c r="N9" s="115" t="n">
        <v>11.31</v>
      </c>
      <c r="O9" s="122" t="n">
        <f aca="false">N9*5</f>
        <v>56.55</v>
      </c>
      <c r="P9" s="23" t="s">
        <v>223</v>
      </c>
      <c r="Q9" s="44" t="n">
        <v>115164</v>
      </c>
      <c r="R9" s="117" t="n">
        <f aca="false">M9-O9</f>
        <v>22.99692876</v>
      </c>
      <c r="S9" s="118" t="n">
        <f aca="false">1-(O9/M9)</f>
        <v>0.28909888940381</v>
      </c>
    </row>
    <row r="10" s="37" customFormat="true" ht="16.5" hidden="false" customHeight="true" outlineLevel="0" collapsed="false">
      <c r="A10" s="34" t="s">
        <v>106</v>
      </c>
      <c r="B10" s="34" t="s">
        <v>68</v>
      </c>
      <c r="C10" s="34" t="n">
        <v>43060</v>
      </c>
      <c r="D10" s="34" t="s">
        <v>41</v>
      </c>
      <c r="E10" s="43" t="s">
        <v>84</v>
      </c>
      <c r="F10" s="34" t="s">
        <v>70</v>
      </c>
      <c r="G10" s="34" t="n">
        <f aca="false">4.704*10</f>
        <v>47.04</v>
      </c>
      <c r="H10" s="60" t="n">
        <v>8.87</v>
      </c>
      <c r="I10" s="28" t="n">
        <f aca="false">H10*0.1532</f>
        <v>1.358884</v>
      </c>
      <c r="J10" s="28" t="n">
        <f aca="false">H10+I10</f>
        <v>10.228884</v>
      </c>
      <c r="K10" s="28" t="n">
        <f aca="false">J10*(0.03%)</f>
        <v>0.0030686652</v>
      </c>
      <c r="L10" s="28" t="n">
        <f aca="false">J10-K10</f>
        <v>10.2258153348</v>
      </c>
      <c r="M10" s="114" t="n">
        <f aca="false">L10*G10</f>
        <v>481.022353348992</v>
      </c>
      <c r="N10" s="115" t="n">
        <v>43.41</v>
      </c>
      <c r="O10" s="122" t="n">
        <f aca="false">N10*10</f>
        <v>434.1</v>
      </c>
      <c r="P10" s="23" t="s">
        <v>223</v>
      </c>
      <c r="Q10" s="44" t="n">
        <v>115164</v>
      </c>
      <c r="R10" s="117" t="n">
        <f aca="false">M10-O10</f>
        <v>46.9223533489919</v>
      </c>
      <c r="S10" s="118" t="n">
        <f aca="false">1-(O10/M10)</f>
        <v>0.0975471368893927</v>
      </c>
    </row>
    <row r="11" s="37" customFormat="true" ht="16.5" hidden="false" customHeight="true" outlineLevel="0" collapsed="false">
      <c r="A11" s="34"/>
      <c r="B11" s="34" t="s">
        <v>68</v>
      </c>
      <c r="C11" s="34" t="n">
        <v>34357</v>
      </c>
      <c r="D11" s="34" t="s">
        <v>41</v>
      </c>
      <c r="E11" s="123" t="s">
        <v>86</v>
      </c>
      <c r="F11" s="34" t="s">
        <v>70</v>
      </c>
      <c r="G11" s="34" t="n">
        <v>5</v>
      </c>
      <c r="H11" s="60" t="n">
        <v>4.05</v>
      </c>
      <c r="I11" s="28" t="n">
        <f aca="false">H11*0.1532</f>
        <v>0.62046</v>
      </c>
      <c r="J11" s="28" t="n">
        <f aca="false">H11+I11</f>
        <v>4.67046</v>
      </c>
      <c r="K11" s="28" t="n">
        <f aca="false">J11*(0.03%)</f>
        <v>0.001401138</v>
      </c>
      <c r="L11" s="28" t="n">
        <f aca="false">J11-K11</f>
        <v>4.669058862</v>
      </c>
      <c r="M11" s="114" t="n">
        <f aca="false">L11*G11</f>
        <v>23.34529431</v>
      </c>
      <c r="N11" s="115" t="n">
        <v>11.49</v>
      </c>
      <c r="O11" s="122" t="n">
        <f aca="false">N11*G11</f>
        <v>57.45</v>
      </c>
      <c r="P11" s="23" t="s">
        <v>223</v>
      </c>
      <c r="Q11" s="44" t="n">
        <v>115164</v>
      </c>
      <c r="R11" s="117" t="n">
        <f aca="false">M11-O11</f>
        <v>-34.10470569</v>
      </c>
      <c r="S11" s="118" t="n">
        <f aca="false">1-(O11/M11)</f>
        <v>-1.46088137665462</v>
      </c>
    </row>
    <row r="12" s="37" customFormat="true" ht="16.5" hidden="false" customHeight="true" outlineLevel="0" collapsed="false">
      <c r="A12" s="34" t="s">
        <v>96</v>
      </c>
      <c r="B12" s="34" t="s">
        <v>68</v>
      </c>
      <c r="C12" s="34" t="n">
        <v>10515</v>
      </c>
      <c r="D12" s="34" t="s">
        <v>41</v>
      </c>
      <c r="E12" s="124" t="s">
        <v>88</v>
      </c>
      <c r="F12" s="23" t="s">
        <v>89</v>
      </c>
      <c r="G12" s="34" t="n">
        <v>10</v>
      </c>
      <c r="H12" s="60" t="n">
        <v>46.86</v>
      </c>
      <c r="I12" s="28" t="n">
        <f aca="false">H12*0.1532</f>
        <v>7.178952</v>
      </c>
      <c r="J12" s="28" t="n">
        <f aca="false">H12+I12</f>
        <v>54.038952</v>
      </c>
      <c r="K12" s="28" t="n">
        <f aca="false">J12*(0.03%)</f>
        <v>0.0162116856</v>
      </c>
      <c r="L12" s="28" t="n">
        <f aca="false">J12-K12</f>
        <v>54.0227403144</v>
      </c>
      <c r="M12" s="125" t="n">
        <f aca="false">L12*G12</f>
        <v>540.227403144</v>
      </c>
      <c r="N12" s="115" t="n">
        <v>22.5</v>
      </c>
      <c r="O12" s="122" t="n">
        <f aca="false">N12*G12</f>
        <v>225</v>
      </c>
      <c r="P12" s="23" t="s">
        <v>223</v>
      </c>
      <c r="Q12" s="44" t="n">
        <v>115164</v>
      </c>
      <c r="R12" s="117" t="n">
        <f aca="false">M12-O12</f>
        <v>315.227403144</v>
      </c>
      <c r="S12" s="118" t="n">
        <f aca="false">1-(O12/M12)</f>
        <v>0.58350872486188</v>
      </c>
    </row>
    <row r="13" s="37" customFormat="true" ht="16.5" hidden="false" customHeight="true" outlineLevel="0" collapsed="false">
      <c r="A13" s="34"/>
      <c r="B13" s="34"/>
      <c r="C13" s="34" t="n">
        <v>779</v>
      </c>
      <c r="D13" s="34" t="s">
        <v>41</v>
      </c>
      <c r="E13" s="43" t="s">
        <v>91</v>
      </c>
      <c r="F13" s="34" t="s">
        <v>26</v>
      </c>
      <c r="G13" s="34" t="n">
        <v>20</v>
      </c>
      <c r="H13" s="60" t="n">
        <v>8.07</v>
      </c>
      <c r="I13" s="28" t="n">
        <f aca="false">H13*0.1532</f>
        <v>1.236324</v>
      </c>
      <c r="J13" s="28" t="n">
        <f aca="false">H13+I13</f>
        <v>9.306324</v>
      </c>
      <c r="K13" s="28" t="n">
        <f aca="false">J13*(0.03%)</f>
        <v>0.0027918972</v>
      </c>
      <c r="L13" s="28" t="n">
        <f aca="false">J13-K13</f>
        <v>9.3035321028</v>
      </c>
      <c r="M13" s="114" t="n">
        <f aca="false">L13*G13</f>
        <v>186.070642056</v>
      </c>
      <c r="N13" s="115" t="n">
        <v>6.09</v>
      </c>
      <c r="O13" s="122" t="n">
        <f aca="false">N13*G13</f>
        <v>121.8</v>
      </c>
      <c r="P13" s="44" t="s">
        <v>224</v>
      </c>
      <c r="Q13" s="44" t="n">
        <v>545094</v>
      </c>
      <c r="R13" s="117" t="n">
        <f aca="false">M13-O13</f>
        <v>64.270642056</v>
      </c>
      <c r="S13" s="118" t="n">
        <f aca="false">1-(O13/M13)</f>
        <v>0.345409901023811</v>
      </c>
    </row>
    <row r="14" s="37" customFormat="true" ht="16.5" hidden="false" customHeight="true" outlineLevel="0" collapsed="false">
      <c r="A14" s="34" t="s">
        <v>87</v>
      </c>
      <c r="B14" s="34" t="s">
        <v>68</v>
      </c>
      <c r="C14" s="44" t="n">
        <v>377</v>
      </c>
      <c r="D14" s="34" t="s">
        <v>41</v>
      </c>
      <c r="E14" s="35" t="s">
        <v>93</v>
      </c>
      <c r="F14" s="34" t="s">
        <v>26</v>
      </c>
      <c r="G14" s="34" t="n">
        <v>20</v>
      </c>
      <c r="H14" s="126" t="n">
        <v>42.48</v>
      </c>
      <c r="I14" s="28" t="n">
        <f aca="false">H14*0.1532</f>
        <v>6.507936</v>
      </c>
      <c r="J14" s="28" t="n">
        <f aca="false">H14+I14</f>
        <v>48.987936</v>
      </c>
      <c r="K14" s="28" t="n">
        <f aca="false">J14*(0.03%)</f>
        <v>0.0146963808</v>
      </c>
      <c r="L14" s="28" t="n">
        <f aca="false">J14-K14</f>
        <v>48.9732396192</v>
      </c>
      <c r="M14" s="114" t="n">
        <f aca="false">L14*G14</f>
        <v>979.464792384</v>
      </c>
      <c r="N14" s="115" t="n">
        <v>37.59</v>
      </c>
      <c r="O14" s="122" t="n">
        <f aca="false">N14*G14</f>
        <v>751.8</v>
      </c>
      <c r="P14" s="44" t="s">
        <v>224</v>
      </c>
      <c r="Q14" s="44" t="n">
        <v>545094</v>
      </c>
      <c r="R14" s="117" t="n">
        <f aca="false">M14-O14</f>
        <v>227.664792384</v>
      </c>
      <c r="S14" s="118" t="n">
        <f aca="false">1-(O14/M14)</f>
        <v>0.232437954027799</v>
      </c>
    </row>
    <row r="15" s="37" customFormat="true" ht="16.5" hidden="false" customHeight="true" outlineLevel="0" collapsed="false">
      <c r="A15" s="34" t="s">
        <v>108</v>
      </c>
      <c r="B15" s="34" t="s">
        <v>68</v>
      </c>
      <c r="C15" s="34" t="n">
        <v>12613</v>
      </c>
      <c r="D15" s="34" t="s">
        <v>41</v>
      </c>
      <c r="E15" s="50" t="s">
        <v>95</v>
      </c>
      <c r="F15" s="34" t="s">
        <v>26</v>
      </c>
      <c r="G15" s="34" t="n">
        <v>15</v>
      </c>
      <c r="H15" s="113" t="n">
        <v>21.41</v>
      </c>
      <c r="I15" s="28" t="n">
        <f aca="false">H15*0.1532</f>
        <v>3.280012</v>
      </c>
      <c r="J15" s="28" t="n">
        <f aca="false">H15+I15</f>
        <v>24.690012</v>
      </c>
      <c r="K15" s="28" t="n">
        <f aca="false">J15*(0.03%)</f>
        <v>0.0074070036</v>
      </c>
      <c r="L15" s="28" t="n">
        <f aca="false">J15-K15</f>
        <v>24.6826049964</v>
      </c>
      <c r="M15" s="114" t="n">
        <f aca="false">L15*G15</f>
        <v>370.239074946</v>
      </c>
      <c r="N15" s="115" t="n">
        <v>19.57</v>
      </c>
      <c r="O15" s="122" t="n">
        <f aca="false">N15*G15</f>
        <v>293.55</v>
      </c>
      <c r="P15" s="44" t="s">
        <v>224</v>
      </c>
      <c r="Q15" s="44" t="n">
        <v>545094</v>
      </c>
      <c r="R15" s="117" t="n">
        <f aca="false">M15-O15</f>
        <v>76.689074946</v>
      </c>
      <c r="S15" s="118" t="n">
        <f aca="false">1-(O15/M15)</f>
        <v>0.20713393084505</v>
      </c>
    </row>
    <row r="16" s="37" customFormat="true" ht="16.5" hidden="false" customHeight="true" outlineLevel="0" collapsed="false">
      <c r="A16" s="34" t="s">
        <v>131</v>
      </c>
      <c r="B16" s="34" t="s">
        <v>68</v>
      </c>
      <c r="C16" s="34" t="n">
        <v>6148</v>
      </c>
      <c r="D16" s="34" t="s">
        <v>41</v>
      </c>
      <c r="E16" s="46" t="s">
        <v>97</v>
      </c>
      <c r="F16" s="34" t="s">
        <v>26</v>
      </c>
      <c r="G16" s="34" t="n">
        <v>15</v>
      </c>
      <c r="H16" s="113" t="n">
        <v>10.8</v>
      </c>
      <c r="I16" s="28" t="n">
        <f aca="false">H16*0.1532</f>
        <v>1.65456</v>
      </c>
      <c r="J16" s="28" t="n">
        <f aca="false">H16+I16</f>
        <v>12.45456</v>
      </c>
      <c r="K16" s="28" t="n">
        <f aca="false">J16*(0.03%)</f>
        <v>0.003736368</v>
      </c>
      <c r="L16" s="28" t="n">
        <f aca="false">J16-K16</f>
        <v>12.450823632</v>
      </c>
      <c r="M16" s="114" t="n">
        <f aca="false">L16*G16</f>
        <v>186.76235448</v>
      </c>
      <c r="N16" s="115" t="n">
        <v>7.49</v>
      </c>
      <c r="O16" s="122" t="n">
        <f aca="false">N16*G16</f>
        <v>112.35</v>
      </c>
      <c r="P16" s="44" t="s">
        <v>224</v>
      </c>
      <c r="Q16" s="44" t="n">
        <v>545094</v>
      </c>
      <c r="R16" s="117" t="n">
        <f aca="false">M16-O16</f>
        <v>74.41235448</v>
      </c>
      <c r="S16" s="118" t="n">
        <f aca="false">1-(O16/M16)</f>
        <v>0.398433371046244</v>
      </c>
    </row>
    <row r="17" s="37" customFormat="true" ht="16.5" hidden="false" customHeight="true" outlineLevel="0" collapsed="false">
      <c r="A17" s="34" t="s">
        <v>106</v>
      </c>
      <c r="B17" s="34" t="s">
        <v>68</v>
      </c>
      <c r="C17" s="34" t="n">
        <v>11830</v>
      </c>
      <c r="D17" s="34" t="s">
        <v>41</v>
      </c>
      <c r="E17" s="35" t="s">
        <v>99</v>
      </c>
      <c r="F17" s="34" t="s">
        <v>26</v>
      </c>
      <c r="G17" s="34" t="n">
        <v>10</v>
      </c>
      <c r="H17" s="113" t="n">
        <v>70.95</v>
      </c>
      <c r="I17" s="28" t="n">
        <f aca="false">H17*0.1532</f>
        <v>10.86954</v>
      </c>
      <c r="J17" s="28" t="n">
        <f aca="false">H17+I17</f>
        <v>81.81954</v>
      </c>
      <c r="K17" s="28" t="n">
        <f aca="false">J17*(0.03%)</f>
        <v>0.024545862</v>
      </c>
      <c r="L17" s="28" t="n">
        <f aca="false">J17-K17</f>
        <v>81.794994138</v>
      </c>
      <c r="M17" s="114" t="n">
        <f aca="false">L17*G17</f>
        <v>817.94994138</v>
      </c>
      <c r="N17" s="115" t="n">
        <v>38.23</v>
      </c>
      <c r="O17" s="122" t="n">
        <f aca="false">N17*G17</f>
        <v>382.3</v>
      </c>
      <c r="P17" s="44" t="s">
        <v>224</v>
      </c>
      <c r="Q17" s="44" t="n">
        <v>545094</v>
      </c>
      <c r="R17" s="117" t="n">
        <f aca="false">M17-O17</f>
        <v>435.64994138</v>
      </c>
      <c r="S17" s="118" t="n">
        <f aca="false">1-(O17/M17)</f>
        <v>0.532611984353218</v>
      </c>
    </row>
    <row r="18" s="37" customFormat="true" ht="16.5" hidden="false" customHeight="true" outlineLevel="0" collapsed="false">
      <c r="A18" s="34" t="s">
        <v>137</v>
      </c>
      <c r="B18" s="34" t="s">
        <v>68</v>
      </c>
      <c r="C18" s="34" t="n">
        <v>11825</v>
      </c>
      <c r="D18" s="34" t="s">
        <v>41</v>
      </c>
      <c r="E18" s="46" t="s">
        <v>101</v>
      </c>
      <c r="F18" s="34" t="s">
        <v>26</v>
      </c>
      <c r="G18" s="34" t="n">
        <v>10</v>
      </c>
      <c r="H18" s="113" t="n">
        <v>159.61</v>
      </c>
      <c r="I18" s="28" t="n">
        <f aca="false">H18*0.1532</f>
        <v>24.452252</v>
      </c>
      <c r="J18" s="28" t="n">
        <f aca="false">H18+I18</f>
        <v>184.062252</v>
      </c>
      <c r="K18" s="28" t="n">
        <f aca="false">J18*(0.03%)</f>
        <v>0.0552186756</v>
      </c>
      <c r="L18" s="28" t="n">
        <f aca="false">J18-K18</f>
        <v>184.0070333244</v>
      </c>
      <c r="M18" s="114" t="n">
        <f aca="false">L18*G18</f>
        <v>1840.070333244</v>
      </c>
      <c r="N18" s="115" t="n">
        <v>119.88</v>
      </c>
      <c r="O18" s="122" t="n">
        <f aca="false">N18*G18</f>
        <v>1198.8</v>
      </c>
      <c r="P18" s="44" t="s">
        <v>224</v>
      </c>
      <c r="Q18" s="44" t="n">
        <v>545094</v>
      </c>
      <c r="R18" s="117" t="n">
        <f aca="false">M18-O18</f>
        <v>641.270333244</v>
      </c>
      <c r="S18" s="118" t="n">
        <f aca="false">1-(O18/M18)</f>
        <v>0.348503164068439</v>
      </c>
    </row>
    <row r="19" s="37" customFormat="true" ht="16.5" hidden="false" customHeight="true" outlineLevel="0" collapsed="false">
      <c r="A19" s="34"/>
      <c r="B19" s="34"/>
      <c r="C19" s="34" t="n">
        <v>11678</v>
      </c>
      <c r="D19" s="34" t="s">
        <v>41</v>
      </c>
      <c r="E19" s="41" t="s">
        <v>103</v>
      </c>
      <c r="F19" s="34" t="s">
        <v>26</v>
      </c>
      <c r="G19" s="34" t="n">
        <v>2</v>
      </c>
      <c r="H19" s="113" t="n">
        <v>125.39</v>
      </c>
      <c r="I19" s="28" t="n">
        <f aca="false">H19*0.1532</f>
        <v>19.209748</v>
      </c>
      <c r="J19" s="28" t="n">
        <f aca="false">H19+I19</f>
        <v>144.599748</v>
      </c>
      <c r="K19" s="28" t="n">
        <f aca="false">J19*(0.03%)</f>
        <v>0.0433799244</v>
      </c>
      <c r="L19" s="28" t="n">
        <f aca="false">J19-K19</f>
        <v>144.5563680756</v>
      </c>
      <c r="M19" s="114" t="n">
        <f aca="false">L19*G19</f>
        <v>289.1127361512</v>
      </c>
      <c r="N19" s="115" t="n">
        <v>104.26</v>
      </c>
      <c r="O19" s="122" t="n">
        <f aca="false">N19*G19</f>
        <v>208.52</v>
      </c>
      <c r="P19" s="44" t="s">
        <v>224</v>
      </c>
      <c r="Q19" s="44" t="n">
        <v>545094</v>
      </c>
      <c r="R19" s="117" t="n">
        <f aca="false">M19-O19</f>
        <v>80.5927361512</v>
      </c>
      <c r="S19" s="118" t="n">
        <f aca="false">1-(O19/M19)</f>
        <v>0.278758857960002</v>
      </c>
    </row>
    <row r="20" s="37" customFormat="true" ht="16.5" hidden="false" customHeight="true" outlineLevel="0" collapsed="false">
      <c r="A20" s="34"/>
      <c r="B20" s="34"/>
      <c r="C20" s="34" t="n">
        <v>1925</v>
      </c>
      <c r="D20" s="34" t="s">
        <v>41</v>
      </c>
      <c r="E20" s="41" t="s">
        <v>105</v>
      </c>
      <c r="F20" s="34" t="s">
        <v>26</v>
      </c>
      <c r="G20" s="34" t="n">
        <v>5</v>
      </c>
      <c r="H20" s="113" t="n">
        <v>51.75</v>
      </c>
      <c r="I20" s="28" t="n">
        <f aca="false">H20*0.1532</f>
        <v>7.9281</v>
      </c>
      <c r="J20" s="28" t="n">
        <f aca="false">H20+I20</f>
        <v>59.6781</v>
      </c>
      <c r="K20" s="28" t="n">
        <f aca="false">J20*(0.03%)</f>
        <v>0.01790343</v>
      </c>
      <c r="L20" s="28" t="n">
        <f aca="false">J20-K20</f>
        <v>59.66019657</v>
      </c>
      <c r="M20" s="114" t="n">
        <f aca="false">L20*G20</f>
        <v>298.30098285</v>
      </c>
      <c r="N20" s="115" t="n">
        <v>33.58</v>
      </c>
      <c r="O20" s="122" t="n">
        <f aca="false">N20*G20</f>
        <v>167.9</v>
      </c>
      <c r="P20" s="44" t="s">
        <v>224</v>
      </c>
      <c r="Q20" s="44" t="n">
        <v>545095</v>
      </c>
      <c r="R20" s="117" t="n">
        <f aca="false">M20-O20</f>
        <v>130.40098285</v>
      </c>
      <c r="S20" s="118" t="n">
        <f aca="false">1-(O20/M20)</f>
        <v>0.437145669464897</v>
      </c>
    </row>
    <row r="21" s="37" customFormat="true" ht="16.5" hidden="false" customHeight="true" outlineLevel="0" collapsed="false">
      <c r="A21" s="34"/>
      <c r="B21" s="34"/>
      <c r="C21" s="34" t="n">
        <v>1960</v>
      </c>
      <c r="D21" s="34" t="s">
        <v>41</v>
      </c>
      <c r="E21" s="47" t="s">
        <v>107</v>
      </c>
      <c r="F21" s="34" t="s">
        <v>26</v>
      </c>
      <c r="G21" s="34" t="n">
        <v>5</v>
      </c>
      <c r="H21" s="113" t="n">
        <v>73.57</v>
      </c>
      <c r="I21" s="28" t="n">
        <f aca="false">H21*0.1532</f>
        <v>11.270924</v>
      </c>
      <c r="J21" s="28" t="n">
        <f aca="false">H21+I21</f>
        <v>84.840924</v>
      </c>
      <c r="K21" s="28" t="n">
        <f aca="false">J21*(0.03%)</f>
        <v>0.0254522772</v>
      </c>
      <c r="L21" s="28" t="n">
        <f aca="false">J21-K21</f>
        <v>84.8154717228</v>
      </c>
      <c r="M21" s="114" t="n">
        <f aca="false">L21*G21</f>
        <v>424.077358614</v>
      </c>
      <c r="N21" s="115" t="n">
        <v>69.47</v>
      </c>
      <c r="O21" s="122" t="n">
        <f aca="false">N21*G21</f>
        <v>347.35</v>
      </c>
      <c r="P21" s="44" t="s">
        <v>224</v>
      </c>
      <c r="Q21" s="44" t="n">
        <v>545095</v>
      </c>
      <c r="R21" s="117" t="n">
        <f aca="false">M21-O21</f>
        <v>76.7273586139999</v>
      </c>
      <c r="S21" s="118" t="n">
        <f aca="false">1-(O21/M21)</f>
        <v>0.180927741261089</v>
      </c>
    </row>
    <row r="22" s="37" customFormat="true" ht="16.5" hidden="false" customHeight="true" outlineLevel="0" collapsed="false">
      <c r="A22" s="34"/>
      <c r="B22" s="34"/>
      <c r="C22" s="34" t="n">
        <v>19.61</v>
      </c>
      <c r="D22" s="34" t="s">
        <v>41</v>
      </c>
      <c r="E22" s="41" t="s">
        <v>109</v>
      </c>
      <c r="F22" s="34" t="s">
        <v>26</v>
      </c>
      <c r="G22" s="34" t="n">
        <v>5</v>
      </c>
      <c r="H22" s="113" t="n">
        <v>105.72</v>
      </c>
      <c r="I22" s="28" t="n">
        <f aca="false">H22*0.1532</f>
        <v>16.196304</v>
      </c>
      <c r="J22" s="28" t="n">
        <f aca="false">H22+I22</f>
        <v>121.916304</v>
      </c>
      <c r="K22" s="28" t="n">
        <f aca="false">J22*(0.03%)</f>
        <v>0.0365748912</v>
      </c>
      <c r="L22" s="28" t="n">
        <f aca="false">J22-K22</f>
        <v>121.8797291088</v>
      </c>
      <c r="M22" s="114" t="n">
        <f aca="false">L22*G22</f>
        <v>609.398645544</v>
      </c>
      <c r="N22" s="115" t="n">
        <v>89.66</v>
      </c>
      <c r="O22" s="122" t="n">
        <f aca="false">N22*G22</f>
        <v>448.3</v>
      </c>
      <c r="P22" s="44" t="s">
        <v>224</v>
      </c>
      <c r="Q22" s="44" t="n">
        <v>545095</v>
      </c>
      <c r="R22" s="117" t="n">
        <f aca="false">M22-O22</f>
        <v>161.098645544</v>
      </c>
      <c r="S22" s="118" t="n">
        <f aca="false">1-(O22/M22)</f>
        <v>0.264356750252029</v>
      </c>
    </row>
    <row r="23" s="37" customFormat="true" ht="16.5" hidden="false" customHeight="true" outlineLevel="0" collapsed="false">
      <c r="A23" s="34" t="s">
        <v>112</v>
      </c>
      <c r="B23" s="34" t="s">
        <v>68</v>
      </c>
      <c r="C23" s="34" t="n">
        <v>3529</v>
      </c>
      <c r="D23" s="34" t="s">
        <v>41</v>
      </c>
      <c r="E23" s="42" t="s">
        <v>111</v>
      </c>
      <c r="F23" s="34" t="s">
        <v>26</v>
      </c>
      <c r="G23" s="34" t="n">
        <v>10</v>
      </c>
      <c r="H23" s="113" t="n">
        <v>1.01</v>
      </c>
      <c r="I23" s="28" t="n">
        <f aca="false">H23*0.1532</f>
        <v>0.154732</v>
      </c>
      <c r="J23" s="28" t="n">
        <f aca="false">H23+I23</f>
        <v>1.164732</v>
      </c>
      <c r="K23" s="28" t="n">
        <f aca="false">J23*(0.03%)</f>
        <v>0.0003494196</v>
      </c>
      <c r="L23" s="28" t="n">
        <f aca="false">J23-K23</f>
        <v>1.1643825804</v>
      </c>
      <c r="M23" s="114" t="n">
        <f aca="false">L23*G23</f>
        <v>11.643825804</v>
      </c>
      <c r="N23" s="115" t="n">
        <v>0.72</v>
      </c>
      <c r="O23" s="122" t="n">
        <f aca="false">N23*G23</f>
        <v>7.2</v>
      </c>
      <c r="P23" s="44" t="s">
        <v>224</v>
      </c>
      <c r="Q23" s="44" t="n">
        <v>545095</v>
      </c>
      <c r="R23" s="117" t="n">
        <f aca="false">M23-O23</f>
        <v>4.443825804</v>
      </c>
      <c r="S23" s="118" t="n">
        <f aca="false">1-(O23/M23)</f>
        <v>0.38164653772761</v>
      </c>
    </row>
    <row r="24" s="37" customFormat="true" ht="16.5" hidden="false" customHeight="true" outlineLevel="0" collapsed="false">
      <c r="A24" s="34" t="s">
        <v>106</v>
      </c>
      <c r="B24" s="34" t="s">
        <v>68</v>
      </c>
      <c r="C24" s="34" t="n">
        <v>3904</v>
      </c>
      <c r="D24" s="34" t="s">
        <v>41</v>
      </c>
      <c r="E24" s="49" t="s">
        <v>113</v>
      </c>
      <c r="F24" s="34" t="s">
        <v>26</v>
      </c>
      <c r="G24" s="34" t="n">
        <v>10</v>
      </c>
      <c r="H24" s="127" t="n">
        <v>1.09</v>
      </c>
      <c r="I24" s="28" t="n">
        <f aca="false">H24*0.1532</f>
        <v>0.166988</v>
      </c>
      <c r="J24" s="28" t="n">
        <f aca="false">H24+I24</f>
        <v>1.256988</v>
      </c>
      <c r="K24" s="28" t="n">
        <f aca="false">J24*(0.03%)</f>
        <v>0.0003770964</v>
      </c>
      <c r="L24" s="28" t="n">
        <f aca="false">J24-K24</f>
        <v>1.2566109036</v>
      </c>
      <c r="M24" s="114" t="n">
        <f aca="false">L24*G24</f>
        <v>12.566109036</v>
      </c>
      <c r="N24" s="115" t="n">
        <v>0.81</v>
      </c>
      <c r="O24" s="122" t="n">
        <f aca="false">N24*G24</f>
        <v>8.1</v>
      </c>
      <c r="P24" s="44" t="s">
        <v>224</v>
      </c>
      <c r="Q24" s="44" t="n">
        <v>545095</v>
      </c>
      <c r="R24" s="117" t="n">
        <f aca="false">M24-O24</f>
        <v>4.466109036</v>
      </c>
      <c r="S24" s="118" t="n">
        <f aca="false">1-(O24/M24)</f>
        <v>0.355409062837611</v>
      </c>
    </row>
    <row r="25" s="37" customFormat="true" ht="16.5" hidden="false" customHeight="true" outlineLevel="0" collapsed="false">
      <c r="A25" s="34" t="s">
        <v>114</v>
      </c>
      <c r="B25" s="34" t="s">
        <v>68</v>
      </c>
      <c r="C25" s="34" t="n">
        <v>3874</v>
      </c>
      <c r="D25" s="34" t="s">
        <v>41</v>
      </c>
      <c r="E25" s="42" t="s">
        <v>115</v>
      </c>
      <c r="F25" s="34" t="s">
        <v>26</v>
      </c>
      <c r="G25" s="34" t="n">
        <v>5</v>
      </c>
      <c r="H25" s="113" t="n">
        <v>7.52</v>
      </c>
      <c r="I25" s="28" t="n">
        <f aca="false">H25*0.1532</f>
        <v>1.152064</v>
      </c>
      <c r="J25" s="28" t="n">
        <f aca="false">H25+I25</f>
        <v>8.672064</v>
      </c>
      <c r="K25" s="28" t="n">
        <f aca="false">J25*(0.03%)</f>
        <v>0.0026016192</v>
      </c>
      <c r="L25" s="28" t="n">
        <f aca="false">J25-K25</f>
        <v>8.6694623808</v>
      </c>
      <c r="M25" s="114" t="n">
        <f aca="false">L25*G25</f>
        <v>43.347311904</v>
      </c>
      <c r="N25" s="115" t="n">
        <v>6.14</v>
      </c>
      <c r="O25" s="122" t="n">
        <f aca="false">N25*G25</f>
        <v>30.7</v>
      </c>
      <c r="P25" s="44" t="s">
        <v>224</v>
      </c>
      <c r="Q25" s="44" t="n">
        <v>545095</v>
      </c>
      <c r="R25" s="117" t="n">
        <f aca="false">M25-O25</f>
        <v>12.647311904</v>
      </c>
      <c r="S25" s="118" t="n">
        <f aca="false">1-(O25/M25)</f>
        <v>0.291766925063534</v>
      </c>
    </row>
    <row r="26" s="37" customFormat="true" ht="16.5" hidden="false" customHeight="true" outlineLevel="0" collapsed="false">
      <c r="A26" s="34"/>
      <c r="B26" s="34"/>
      <c r="C26" s="34" t="n">
        <v>7139</v>
      </c>
      <c r="D26" s="34" t="s">
        <v>41</v>
      </c>
      <c r="E26" s="49" t="s">
        <v>117</v>
      </c>
      <c r="F26" s="34" t="s">
        <v>26</v>
      </c>
      <c r="G26" s="34" t="n">
        <v>10</v>
      </c>
      <c r="H26" s="127" t="n">
        <v>1.72</v>
      </c>
      <c r="I26" s="28" t="n">
        <f aca="false">H26*0.1532</f>
        <v>0.263504</v>
      </c>
      <c r="J26" s="28" t="n">
        <f aca="false">H26+I26</f>
        <v>1.983504</v>
      </c>
      <c r="K26" s="28" t="n">
        <f aca="false">J26*(0.03%)</f>
        <v>0.0005950512</v>
      </c>
      <c r="L26" s="28" t="n">
        <f aca="false">J26-K26</f>
        <v>1.9829089488</v>
      </c>
      <c r="M26" s="114" t="n">
        <f aca="false">L26*G26</f>
        <v>19.829089488</v>
      </c>
      <c r="N26" s="115" t="n">
        <v>1.19</v>
      </c>
      <c r="O26" s="122" t="n">
        <f aca="false">N26*G26</f>
        <v>11.9</v>
      </c>
      <c r="P26" s="44" t="s">
        <v>224</v>
      </c>
      <c r="Q26" s="44" t="n">
        <v>545095</v>
      </c>
      <c r="R26" s="117" t="n">
        <f aca="false">M26-O26</f>
        <v>7.929089488</v>
      </c>
      <c r="S26" s="118" t="n">
        <f aca="false">1-(O26/M26)</f>
        <v>0.399871587285864</v>
      </c>
    </row>
    <row r="27" s="37" customFormat="true" ht="16.5" hidden="false" customHeight="true" outlineLevel="0" collapsed="false">
      <c r="A27" s="34"/>
      <c r="B27" s="34"/>
      <c r="C27" s="34" t="n">
        <v>7143</v>
      </c>
      <c r="D27" s="34" t="s">
        <v>41</v>
      </c>
      <c r="E27" s="49" t="s">
        <v>119</v>
      </c>
      <c r="F27" s="34" t="s">
        <v>26</v>
      </c>
      <c r="G27" s="34" t="n">
        <v>5</v>
      </c>
      <c r="H27" s="127" t="n">
        <v>41.68</v>
      </c>
      <c r="I27" s="28" t="n">
        <f aca="false">H27*0.1532</f>
        <v>6.385376</v>
      </c>
      <c r="J27" s="28" t="n">
        <f aca="false">H27+I27</f>
        <v>48.065376</v>
      </c>
      <c r="K27" s="28" t="n">
        <f aca="false">J27*(0.03%)</f>
        <v>0.0144196128</v>
      </c>
      <c r="L27" s="28" t="n">
        <f aca="false">J27-K27</f>
        <v>48.0509563872</v>
      </c>
      <c r="M27" s="114" t="n">
        <f aca="false">L27*G27</f>
        <v>240.254781936</v>
      </c>
      <c r="N27" s="115" t="n">
        <v>30.59</v>
      </c>
      <c r="O27" s="122" t="n">
        <f aca="false">N27*G27</f>
        <v>152.95</v>
      </c>
      <c r="P27" s="44" t="s">
        <v>224</v>
      </c>
      <c r="Q27" s="44" t="n">
        <v>545095</v>
      </c>
      <c r="R27" s="117" t="n">
        <f aca="false">M27-O27</f>
        <v>87.304781936</v>
      </c>
      <c r="S27" s="118" t="n">
        <f aca="false">1-(O27/M27)</f>
        <v>0.363384159234993</v>
      </c>
    </row>
    <row r="28" s="37" customFormat="true" ht="16.5" hidden="false" customHeight="true" outlineLevel="0" collapsed="false">
      <c r="A28" s="34"/>
      <c r="B28" s="34"/>
      <c r="C28" s="34" t="n">
        <v>7144</v>
      </c>
      <c r="D28" s="34" t="s">
        <v>41</v>
      </c>
      <c r="E28" s="49" t="s">
        <v>121</v>
      </c>
      <c r="F28" s="34" t="s">
        <v>26</v>
      </c>
      <c r="G28" s="34" t="n">
        <v>10</v>
      </c>
      <c r="H28" s="127" t="n">
        <v>83.37</v>
      </c>
      <c r="I28" s="28" t="n">
        <f aca="false">H28*0.1532</f>
        <v>12.772284</v>
      </c>
      <c r="J28" s="28" t="n">
        <f aca="false">H28+I28</f>
        <v>96.142284</v>
      </c>
      <c r="K28" s="28" t="n">
        <f aca="false">J28*(0.03%)</f>
        <v>0.0288426852</v>
      </c>
      <c r="L28" s="28" t="n">
        <f aca="false">J28-K28</f>
        <v>96.1134413148</v>
      </c>
      <c r="M28" s="114" t="n">
        <f aca="false">L28*G28</f>
        <v>961.134413148</v>
      </c>
      <c r="N28" s="115" t="n">
        <v>65.3</v>
      </c>
      <c r="O28" s="122" t="n">
        <f aca="false">N28*G28</f>
        <v>653</v>
      </c>
      <c r="P28" s="44" t="s">
        <v>224</v>
      </c>
      <c r="Q28" s="44" t="n">
        <v>545095</v>
      </c>
      <c r="R28" s="117" t="n">
        <f aca="false">M28-O28</f>
        <v>308.134413148</v>
      </c>
      <c r="S28" s="118" t="n">
        <f aca="false">1-(O28/M28)</f>
        <v>0.32059450679616</v>
      </c>
    </row>
    <row r="29" s="37" customFormat="true" ht="16.5" hidden="false" customHeight="true" outlineLevel="0" collapsed="false">
      <c r="A29" s="34" t="s">
        <v>125</v>
      </c>
      <c r="B29" s="34" t="s">
        <v>68</v>
      </c>
      <c r="C29" s="34" t="n">
        <v>9868</v>
      </c>
      <c r="D29" s="34" t="s">
        <v>41</v>
      </c>
      <c r="E29" s="50" t="s">
        <v>123</v>
      </c>
      <c r="F29" s="34" t="s">
        <v>225</v>
      </c>
      <c r="G29" s="34" t="n">
        <v>60</v>
      </c>
      <c r="H29" s="113" t="n">
        <v>5.14</v>
      </c>
      <c r="I29" s="28" t="n">
        <f aca="false">H29*0.1532</f>
        <v>0.787448</v>
      </c>
      <c r="J29" s="28" t="n">
        <f aca="false">H29+I29</f>
        <v>5.927448</v>
      </c>
      <c r="K29" s="28" t="n">
        <f aca="false">J29*(0.03%)</f>
        <v>0.0017782344</v>
      </c>
      <c r="L29" s="28" t="n">
        <f aca="false">J29-K29</f>
        <v>5.9256697656</v>
      </c>
      <c r="M29" s="114" t="n">
        <f aca="false">L29*G29</f>
        <v>355.540185936</v>
      </c>
      <c r="N29" s="115" t="n">
        <v>4.33</v>
      </c>
      <c r="O29" s="122" t="n">
        <f aca="false">N29*G29</f>
        <v>259.8</v>
      </c>
      <c r="P29" s="44" t="s">
        <v>224</v>
      </c>
      <c r="Q29" s="44" t="n">
        <v>545095</v>
      </c>
      <c r="R29" s="117" t="n">
        <f aca="false">M29-O29</f>
        <v>95.740185936</v>
      </c>
      <c r="S29" s="118" t="n">
        <f aca="false">1-(O29/M29)</f>
        <v>0.269280913165844</v>
      </c>
    </row>
    <row r="30" s="37" customFormat="true" ht="16.5" hidden="false" customHeight="true" outlineLevel="0" collapsed="false">
      <c r="A30" s="34"/>
      <c r="B30" s="34"/>
      <c r="C30" s="34" t="n">
        <v>9872</v>
      </c>
      <c r="D30" s="34" t="s">
        <v>41</v>
      </c>
      <c r="E30" s="49" t="s">
        <v>126</v>
      </c>
      <c r="F30" s="34" t="s">
        <v>124</v>
      </c>
      <c r="G30" s="34" t="n">
        <v>24</v>
      </c>
      <c r="H30" s="127" t="n">
        <v>67.97</v>
      </c>
      <c r="I30" s="28" t="n">
        <f aca="false">H30*0.1532</f>
        <v>10.413004</v>
      </c>
      <c r="J30" s="28" t="n">
        <f aca="false">H30+I30</f>
        <v>78.383004</v>
      </c>
      <c r="K30" s="28" t="n">
        <f aca="false">J30*(0.03%)</f>
        <v>0.0235149012</v>
      </c>
      <c r="L30" s="28" t="n">
        <f aca="false">J30-K30</f>
        <v>78.3594890988</v>
      </c>
      <c r="M30" s="114" t="n">
        <f aca="false">L30*G30</f>
        <v>1880.6277383712</v>
      </c>
      <c r="N30" s="115" t="n">
        <v>72.36</v>
      </c>
      <c r="O30" s="122" t="n">
        <f aca="false">N30*G30</f>
        <v>1736.64</v>
      </c>
      <c r="P30" s="44" t="s">
        <v>224</v>
      </c>
      <c r="Q30" s="44" t="n">
        <v>545095</v>
      </c>
      <c r="R30" s="117" t="n">
        <f aca="false">M30-O30</f>
        <v>143.9877383712</v>
      </c>
      <c r="S30" s="118" t="n">
        <f aca="false">1-(O30/M30)</f>
        <v>0.076563657673106</v>
      </c>
    </row>
    <row r="31" s="37" customFormat="true" ht="16.5" hidden="false" customHeight="true" outlineLevel="0" collapsed="false">
      <c r="A31" s="34" t="s">
        <v>87</v>
      </c>
      <c r="B31" s="34" t="s">
        <v>68</v>
      </c>
      <c r="C31" s="44" t="n">
        <v>377</v>
      </c>
      <c r="D31" s="34" t="s">
        <v>41</v>
      </c>
      <c r="E31" s="35" t="s">
        <v>93</v>
      </c>
      <c r="F31" s="34" t="s">
        <v>26</v>
      </c>
      <c r="G31" s="34" t="n">
        <v>10</v>
      </c>
      <c r="H31" s="126" t="n">
        <v>42.48</v>
      </c>
      <c r="I31" s="28" t="n">
        <f aca="false">H31*0.1532</f>
        <v>6.507936</v>
      </c>
      <c r="J31" s="28" t="n">
        <f aca="false">H31+I31</f>
        <v>48.987936</v>
      </c>
      <c r="K31" s="28" t="n">
        <f aca="false">J31*(0.03%)</f>
        <v>0.0146963808</v>
      </c>
      <c r="L31" s="28" t="n">
        <f aca="false">J31-K31</f>
        <v>48.9732396192</v>
      </c>
      <c r="M31" s="114" t="n">
        <f aca="false">L31*G31</f>
        <v>489.732396192</v>
      </c>
      <c r="N31" s="115" t="n">
        <v>38.3</v>
      </c>
      <c r="O31" s="122" t="n">
        <f aca="false">N31*G31</f>
        <v>383</v>
      </c>
      <c r="P31" s="44" t="s">
        <v>224</v>
      </c>
      <c r="Q31" s="44" t="n">
        <v>547866</v>
      </c>
      <c r="R31" s="117" t="n">
        <f aca="false">M31-O31</f>
        <v>106.732396192</v>
      </c>
      <c r="S31" s="118" t="n">
        <f aca="false">1-(O31/M31)</f>
        <v>0.217940240469931</v>
      </c>
    </row>
    <row r="32" s="37" customFormat="true" ht="16.5" hidden="false" customHeight="true" outlineLevel="0" collapsed="false">
      <c r="A32" s="34" t="s">
        <v>110</v>
      </c>
      <c r="B32" s="34" t="s">
        <v>68</v>
      </c>
      <c r="C32" s="34" t="n">
        <v>11762</v>
      </c>
      <c r="D32" s="34" t="s">
        <v>41</v>
      </c>
      <c r="E32" s="35" t="s">
        <v>128</v>
      </c>
      <c r="F32" s="34" t="s">
        <v>26</v>
      </c>
      <c r="G32" s="34" t="n">
        <v>10</v>
      </c>
      <c r="H32" s="113" t="n">
        <v>49.2</v>
      </c>
      <c r="I32" s="28" t="n">
        <f aca="false">H32*0.1532</f>
        <v>7.53744</v>
      </c>
      <c r="J32" s="28" t="n">
        <f aca="false">H32+I32</f>
        <v>56.73744</v>
      </c>
      <c r="K32" s="28" t="n">
        <f aca="false">J32*(0.03%)</f>
        <v>0.017021232</v>
      </c>
      <c r="L32" s="28" t="n">
        <f aca="false">J32-K32</f>
        <v>56.720418768</v>
      </c>
      <c r="M32" s="114" t="n">
        <f aca="false">L32*G32</f>
        <v>567.20418768</v>
      </c>
      <c r="N32" s="115" t="n">
        <v>35.39</v>
      </c>
      <c r="O32" s="122" t="n">
        <f aca="false">N32*G32</f>
        <v>353.9</v>
      </c>
      <c r="P32" s="44" t="s">
        <v>224</v>
      </c>
      <c r="Q32" s="44" t="n">
        <v>547866</v>
      </c>
      <c r="R32" s="117" t="n">
        <f aca="false">M32-O32</f>
        <v>213.30418768</v>
      </c>
      <c r="S32" s="118" t="n">
        <f aca="false">1-(O32/M32)</f>
        <v>0.376062434504345</v>
      </c>
    </row>
    <row r="33" s="37" customFormat="true" ht="16.5" hidden="false" customHeight="true" outlineLevel="0" collapsed="false">
      <c r="A33" s="34" t="s">
        <v>92</v>
      </c>
      <c r="B33" s="34" t="s">
        <v>68</v>
      </c>
      <c r="C33" s="34" t="n">
        <v>4376</v>
      </c>
      <c r="D33" s="34" t="s">
        <v>41</v>
      </c>
      <c r="E33" s="41" t="s">
        <v>130</v>
      </c>
      <c r="F33" s="34" t="s">
        <v>26</v>
      </c>
      <c r="G33" s="34" t="n">
        <v>100</v>
      </c>
      <c r="H33" s="113" t="n">
        <v>0.17</v>
      </c>
      <c r="I33" s="28" t="n">
        <f aca="false">H33*0.1532</f>
        <v>0.026044</v>
      </c>
      <c r="J33" s="28" t="n">
        <f aca="false">H33+I33</f>
        <v>0.196044</v>
      </c>
      <c r="K33" s="28" t="n">
        <f aca="false">J33*(0.03%)</f>
        <v>5.88132E-005</v>
      </c>
      <c r="L33" s="28" t="n">
        <f aca="false">J33-K33</f>
        <v>0.1959851868</v>
      </c>
      <c r="M33" s="114" t="n">
        <f aca="false">L33*G33</f>
        <v>19.59851868</v>
      </c>
      <c r="N33" s="115" t="n">
        <v>0.12</v>
      </c>
      <c r="O33" s="122" t="n">
        <f aca="false">N33*G33</f>
        <v>12</v>
      </c>
      <c r="P33" s="44" t="s">
        <v>224</v>
      </c>
      <c r="Q33" s="44" t="n">
        <v>547866</v>
      </c>
      <c r="R33" s="117" t="n">
        <f aca="false">M33-O33</f>
        <v>7.59851868</v>
      </c>
      <c r="S33" s="118" t="n">
        <f aca="false">1-(O33/M33)</f>
        <v>0.387708826573417</v>
      </c>
    </row>
    <row r="34" s="37" customFormat="true" ht="16.5" hidden="false" customHeight="true" outlineLevel="0" collapsed="false">
      <c r="A34" s="34"/>
      <c r="B34" s="34"/>
      <c r="C34" s="34" t="n">
        <v>4375</v>
      </c>
      <c r="D34" s="34" t="s">
        <v>41</v>
      </c>
      <c r="E34" s="41" t="s">
        <v>132</v>
      </c>
      <c r="F34" s="34" t="s">
        <v>26</v>
      </c>
      <c r="G34" s="34" t="n">
        <v>50</v>
      </c>
      <c r="H34" s="113" t="n">
        <v>0.09</v>
      </c>
      <c r="I34" s="28" t="n">
        <f aca="false">H34*0.1532</f>
        <v>0.013788</v>
      </c>
      <c r="J34" s="28" t="n">
        <f aca="false">H34+I34</f>
        <v>0.103788</v>
      </c>
      <c r="K34" s="28" t="n">
        <f aca="false">J34*(0.03%)</f>
        <v>3.11364E-005</v>
      </c>
      <c r="L34" s="28" t="n">
        <f aca="false">J34-K34</f>
        <v>0.1037568636</v>
      </c>
      <c r="M34" s="114" t="n">
        <f aca="false">L34*G34</f>
        <v>5.18784318</v>
      </c>
      <c r="N34" s="115" t="n">
        <v>0.06</v>
      </c>
      <c r="O34" s="122" t="n">
        <f aca="false">N34*G34</f>
        <v>3</v>
      </c>
      <c r="P34" s="44" t="s">
        <v>224</v>
      </c>
      <c r="Q34" s="44" t="n">
        <v>547866</v>
      </c>
      <c r="R34" s="117" t="n">
        <f aca="false">M34-O34</f>
        <v>2.18784318</v>
      </c>
      <c r="S34" s="118" t="n">
        <f aca="false">1-(O34/M34)</f>
        <v>0.421725002874894</v>
      </c>
    </row>
    <row r="35" s="37" customFormat="true" ht="16.5" hidden="false" customHeight="true" outlineLevel="0" collapsed="false">
      <c r="A35" s="34" t="s">
        <v>90</v>
      </c>
      <c r="B35" s="34" t="s">
        <v>68</v>
      </c>
      <c r="C35" s="34" t="n">
        <v>20111</v>
      </c>
      <c r="D35" s="34" t="s">
        <v>41</v>
      </c>
      <c r="E35" s="43" t="s">
        <v>134</v>
      </c>
      <c r="F35" s="34" t="s">
        <v>26</v>
      </c>
      <c r="G35" s="34" t="n">
        <v>5</v>
      </c>
      <c r="H35" s="128" t="n">
        <v>18.14</v>
      </c>
      <c r="I35" s="28" t="n">
        <f aca="false">H35*0.1532</f>
        <v>2.779048</v>
      </c>
      <c r="J35" s="28" t="n">
        <f aca="false">H35+I35</f>
        <v>20.919048</v>
      </c>
      <c r="K35" s="28" t="n">
        <f aca="false">J35*(0.03%)</f>
        <v>0.0062757144</v>
      </c>
      <c r="L35" s="28" t="n">
        <f aca="false">J35-K35</f>
        <v>20.9127722856</v>
      </c>
      <c r="M35" s="114" t="n">
        <f aca="false">L35*G35</f>
        <v>104.563861428</v>
      </c>
      <c r="N35" s="115" t="n">
        <v>7.13</v>
      </c>
      <c r="O35" s="122" t="n">
        <f aca="false">N35*G35</f>
        <v>35.65</v>
      </c>
      <c r="P35" s="44" t="s">
        <v>224</v>
      </c>
      <c r="Q35" s="44" t="n">
        <v>547866</v>
      </c>
      <c r="R35" s="117" t="n">
        <f aca="false">M35-O35</f>
        <v>68.913861428</v>
      </c>
      <c r="S35" s="118" t="n">
        <f aca="false">1-(O35/M35)</f>
        <v>0.659060027880209</v>
      </c>
    </row>
    <row r="36" s="37" customFormat="true" ht="16.5" hidden="false" customHeight="true" outlineLevel="0" collapsed="false">
      <c r="A36" s="34" t="s">
        <v>94</v>
      </c>
      <c r="B36" s="34" t="s">
        <v>68</v>
      </c>
      <c r="C36" s="34" t="n">
        <v>38194</v>
      </c>
      <c r="D36" s="34" t="s">
        <v>41</v>
      </c>
      <c r="E36" s="43" t="s">
        <v>136</v>
      </c>
      <c r="F36" s="34" t="s">
        <v>26</v>
      </c>
      <c r="G36" s="34" t="n">
        <v>20</v>
      </c>
      <c r="H36" s="128" t="n">
        <v>9.43</v>
      </c>
      <c r="I36" s="28" t="n">
        <f aca="false">H36*0.1532</f>
        <v>1.444676</v>
      </c>
      <c r="J36" s="28" t="n">
        <f aca="false">H36+I36</f>
        <v>10.874676</v>
      </c>
      <c r="K36" s="28" t="n">
        <f aca="false">J36*(0.03%)</f>
        <v>0.0032624028</v>
      </c>
      <c r="L36" s="28" t="n">
        <f aca="false">J36-K36</f>
        <v>10.8714135972</v>
      </c>
      <c r="M36" s="114" t="n">
        <f aca="false">L36*G36</f>
        <v>217.428271944</v>
      </c>
      <c r="N36" s="115" t="n">
        <v>5.99</v>
      </c>
      <c r="O36" s="122" t="n">
        <f aca="false">N36*G36</f>
        <v>119.8</v>
      </c>
      <c r="P36" s="44" t="s">
        <v>224</v>
      </c>
      <c r="Q36" s="44" t="n">
        <v>547866</v>
      </c>
      <c r="R36" s="117" t="n">
        <f aca="false">M36-O36</f>
        <v>97.628271944</v>
      </c>
      <c r="S36" s="118" t="n">
        <f aca="false">1-(O36/M36)</f>
        <v>0.449013695740289</v>
      </c>
    </row>
    <row r="37" s="37" customFormat="true" ht="16.5" hidden="false" customHeight="true" outlineLevel="0" collapsed="false">
      <c r="A37" s="34"/>
      <c r="B37" s="34"/>
      <c r="C37" s="34" t="n">
        <v>3864</v>
      </c>
      <c r="D37" s="34" t="s">
        <v>41</v>
      </c>
      <c r="E37" s="41" t="s">
        <v>138</v>
      </c>
      <c r="F37" s="34" t="s">
        <v>26</v>
      </c>
      <c r="G37" s="34" t="n">
        <v>15</v>
      </c>
      <c r="H37" s="113" t="n">
        <v>19.8</v>
      </c>
      <c r="I37" s="28" t="n">
        <f aca="false">H37*0.1532</f>
        <v>3.03336</v>
      </c>
      <c r="J37" s="28" t="n">
        <f aca="false">H37+I37</f>
        <v>22.83336</v>
      </c>
      <c r="K37" s="28" t="n">
        <f aca="false">J37*(0.03%)</f>
        <v>0.006850008</v>
      </c>
      <c r="L37" s="28" t="n">
        <f aca="false">J37-K37</f>
        <v>22.826509992</v>
      </c>
      <c r="M37" s="114" t="n">
        <f aca="false">L37*G37</f>
        <v>342.39764988</v>
      </c>
      <c r="N37" s="115" t="n">
        <v>15.01</v>
      </c>
      <c r="O37" s="122" t="n">
        <f aca="false">N37*G37</f>
        <v>225.15</v>
      </c>
      <c r="P37" s="44" t="s">
        <v>224</v>
      </c>
      <c r="Q37" s="44" t="n">
        <v>547866</v>
      </c>
      <c r="R37" s="117" t="n">
        <f aca="false">M37-O37</f>
        <v>117.24764988</v>
      </c>
      <c r="S37" s="118" t="n">
        <f aca="false">1-(O37/M37)</f>
        <v>0.342431234329709</v>
      </c>
    </row>
    <row r="38" s="37" customFormat="true" ht="16.5" hidden="false" customHeight="true" outlineLevel="0" collapsed="false">
      <c r="A38" s="34"/>
      <c r="B38" s="34"/>
      <c r="C38" s="34" t="n">
        <v>38063</v>
      </c>
      <c r="D38" s="34" t="s">
        <v>41</v>
      </c>
      <c r="E38" s="41" t="s">
        <v>140</v>
      </c>
      <c r="F38" s="34" t="s">
        <v>26</v>
      </c>
      <c r="G38" s="34" t="n">
        <v>10</v>
      </c>
      <c r="H38" s="113" t="n">
        <v>9.55</v>
      </c>
      <c r="I38" s="28" t="n">
        <f aca="false">H38*0.1532</f>
        <v>1.46306</v>
      </c>
      <c r="J38" s="28" t="n">
        <f aca="false">H38+I38</f>
        <v>11.01306</v>
      </c>
      <c r="K38" s="28" t="n">
        <f aca="false">J38*(0.03%)</f>
        <v>0.003303918</v>
      </c>
      <c r="L38" s="28" t="n">
        <f aca="false">J38-K38</f>
        <v>11.009756082</v>
      </c>
      <c r="M38" s="114" t="n">
        <f aca="false">L38*G38</f>
        <v>110.09756082</v>
      </c>
      <c r="N38" s="115" t="n">
        <v>5.81</v>
      </c>
      <c r="O38" s="122" t="n">
        <f aca="false">N38*G38</f>
        <v>58.1</v>
      </c>
      <c r="P38" s="44" t="s">
        <v>224</v>
      </c>
      <c r="Q38" s="44" t="n">
        <v>547866</v>
      </c>
      <c r="R38" s="117" t="n">
        <f aca="false">M38-O38</f>
        <v>51.99756082</v>
      </c>
      <c r="S38" s="118" t="n">
        <f aca="false">1-(O38/M38)</f>
        <v>0.472286219901016</v>
      </c>
    </row>
    <row r="39" s="37" customFormat="true" ht="16.5" hidden="false" customHeight="true" outlineLevel="0" collapsed="false">
      <c r="A39" s="34" t="s">
        <v>112</v>
      </c>
      <c r="B39" s="34" t="s">
        <v>68</v>
      </c>
      <c r="C39" s="34" t="n">
        <v>13813</v>
      </c>
      <c r="D39" s="34" t="s">
        <v>142</v>
      </c>
      <c r="E39" s="51" t="s">
        <v>143</v>
      </c>
      <c r="F39" s="34" t="s">
        <v>26</v>
      </c>
      <c r="G39" s="34" t="n">
        <v>10</v>
      </c>
      <c r="H39" s="120" t="n">
        <v>156.2</v>
      </c>
      <c r="I39" s="28" t="n">
        <f aca="false">H39*0.1532</f>
        <v>23.92984</v>
      </c>
      <c r="J39" s="28" t="n">
        <f aca="false">H39+I39</f>
        <v>180.12984</v>
      </c>
      <c r="K39" s="28" t="n">
        <f aca="false">J39*(0.03%)</f>
        <v>0.054038952</v>
      </c>
      <c r="L39" s="28" t="n">
        <f aca="false">J39-K39</f>
        <v>180.075801048</v>
      </c>
      <c r="M39" s="114" t="n">
        <f aca="false">L39*G39</f>
        <v>1800.75801048</v>
      </c>
      <c r="N39" s="115" t="n">
        <v>146.17</v>
      </c>
      <c r="O39" s="122" t="n">
        <f aca="false">N39*G39</f>
        <v>1461.7</v>
      </c>
      <c r="P39" s="44" t="s">
        <v>224</v>
      </c>
      <c r="Q39" s="44" t="n">
        <v>547866</v>
      </c>
      <c r="R39" s="117" t="n">
        <f aca="false">M39-O39</f>
        <v>339.05801048</v>
      </c>
      <c r="S39" s="118" t="n">
        <f aca="false">1-(O39/M39)</f>
        <v>0.188286270840813</v>
      </c>
    </row>
    <row r="40" s="37" customFormat="true" ht="16.5" hidden="false" customHeight="true" outlineLevel="0" collapsed="false">
      <c r="A40" s="34" t="s">
        <v>139</v>
      </c>
      <c r="B40" s="34" t="s">
        <v>68</v>
      </c>
      <c r="C40" s="34" t="n">
        <v>36791</v>
      </c>
      <c r="D40" s="34" t="s">
        <v>41</v>
      </c>
      <c r="E40" s="53" t="s">
        <v>145</v>
      </c>
      <c r="F40" s="34" t="s">
        <v>26</v>
      </c>
      <c r="G40" s="34" t="n">
        <v>15</v>
      </c>
      <c r="H40" s="120" t="n">
        <v>117.09</v>
      </c>
      <c r="I40" s="28" t="n">
        <f aca="false">H40*0.1532</f>
        <v>17.938188</v>
      </c>
      <c r="J40" s="28" t="n">
        <f aca="false">H40+I40</f>
        <v>135.028188</v>
      </c>
      <c r="K40" s="28" t="n">
        <f aca="false">J40*(0.03%)</f>
        <v>0.0405084564</v>
      </c>
      <c r="L40" s="28" t="n">
        <f aca="false">J40-K40</f>
        <v>134.9876795436</v>
      </c>
      <c r="M40" s="114" t="n">
        <f aca="false">L40*G40</f>
        <v>2024.815193154</v>
      </c>
      <c r="N40" s="115" t="n">
        <v>68.26</v>
      </c>
      <c r="O40" s="122" t="n">
        <f aca="false">N40*G40</f>
        <v>1023.9</v>
      </c>
      <c r="P40" s="44" t="s">
        <v>224</v>
      </c>
      <c r="Q40" s="44" t="n">
        <v>547866</v>
      </c>
      <c r="R40" s="117" t="n">
        <f aca="false">M40-O40</f>
        <v>1000.915193154</v>
      </c>
      <c r="S40" s="118" t="n">
        <f aca="false">1-(O40/M40)</f>
        <v>0.494324221063801</v>
      </c>
    </row>
    <row r="41" s="37" customFormat="true" ht="16.5" hidden="false" customHeight="true" outlineLevel="0" collapsed="false">
      <c r="A41" s="34" t="s">
        <v>87</v>
      </c>
      <c r="B41" s="34" t="s">
        <v>68</v>
      </c>
      <c r="C41" s="44" t="n">
        <v>142</v>
      </c>
      <c r="D41" s="34" t="s">
        <v>41</v>
      </c>
      <c r="E41" s="43" t="s">
        <v>147</v>
      </c>
      <c r="F41" s="34" t="s">
        <v>26</v>
      </c>
      <c r="G41" s="34" t="n">
        <v>60</v>
      </c>
      <c r="H41" s="128" t="n">
        <v>36.3</v>
      </c>
      <c r="I41" s="28" t="n">
        <f aca="false">H41*0.1532</f>
        <v>5.56116</v>
      </c>
      <c r="J41" s="28" t="n">
        <f aca="false">H41+I41</f>
        <v>41.86116</v>
      </c>
      <c r="K41" s="28" t="n">
        <f aca="false">J41*(0.03%)</f>
        <v>0.012558348</v>
      </c>
      <c r="L41" s="28" t="n">
        <f aca="false">J41-K41</f>
        <v>41.848601652</v>
      </c>
      <c r="M41" s="114" t="n">
        <f aca="false">L41*G41</f>
        <v>2510.91609912</v>
      </c>
      <c r="N41" s="115" t="n">
        <v>25.57</v>
      </c>
      <c r="O41" s="122" t="n">
        <f aca="false">N41*G41</f>
        <v>1534.2</v>
      </c>
      <c r="P41" s="44" t="s">
        <v>224</v>
      </c>
      <c r="Q41" s="44" t="n">
        <v>547866</v>
      </c>
      <c r="R41" s="117" t="n">
        <f aca="false">M41-O41</f>
        <v>976.71609912</v>
      </c>
      <c r="S41" s="118" t="n">
        <f aca="false">1-(O41/M41)</f>
        <v>0.388987947252523</v>
      </c>
    </row>
    <row r="42" s="37" customFormat="true" ht="16.5" hidden="false" customHeight="true" outlineLevel="0" collapsed="false">
      <c r="A42" s="34" t="s">
        <v>114</v>
      </c>
      <c r="B42" s="34" t="s">
        <v>68</v>
      </c>
      <c r="C42" s="34" t="n">
        <v>3874</v>
      </c>
      <c r="D42" s="34" t="s">
        <v>41</v>
      </c>
      <c r="E42" s="42" t="s">
        <v>115</v>
      </c>
      <c r="F42" s="34" t="s">
        <v>26</v>
      </c>
      <c r="G42" s="34" t="n">
        <v>5</v>
      </c>
      <c r="H42" s="113" t="n">
        <v>7.52</v>
      </c>
      <c r="I42" s="28" t="n">
        <f aca="false">H42*0.1532</f>
        <v>1.152064</v>
      </c>
      <c r="J42" s="28" t="n">
        <f aca="false">H42+I42</f>
        <v>8.672064</v>
      </c>
      <c r="K42" s="28" t="n">
        <f aca="false">J42*(0.03%)</f>
        <v>0.0026016192</v>
      </c>
      <c r="L42" s="28" t="n">
        <f aca="false">J42-K42</f>
        <v>8.6694623808</v>
      </c>
      <c r="M42" s="114" t="n">
        <f aca="false">L42*G42</f>
        <v>43.347311904</v>
      </c>
      <c r="N42" s="115" t="n">
        <v>5.87</v>
      </c>
      <c r="O42" s="122" t="n">
        <f aca="false">N42*G42</f>
        <v>29.35</v>
      </c>
      <c r="P42" s="44" t="s">
        <v>224</v>
      </c>
      <c r="Q42" s="44" t="n">
        <v>547866</v>
      </c>
      <c r="R42" s="117" t="n">
        <f aca="false">M42-O42</f>
        <v>13.997311904</v>
      </c>
      <c r="S42" s="118" t="n">
        <f aca="false">1-(O42/M42)</f>
        <v>0.322910724775724</v>
      </c>
    </row>
    <row r="43" s="37" customFormat="true" ht="16.5" hidden="false" customHeight="true" outlineLevel="0" collapsed="false">
      <c r="A43" s="34" t="s">
        <v>116</v>
      </c>
      <c r="B43" s="34" t="s">
        <v>68</v>
      </c>
      <c r="C43" s="34" t="s">
        <v>149</v>
      </c>
      <c r="D43" s="34" t="s">
        <v>41</v>
      </c>
      <c r="E43" s="55" t="s">
        <v>151</v>
      </c>
      <c r="F43" s="34" t="s">
        <v>26</v>
      </c>
      <c r="G43" s="34" t="n">
        <v>20</v>
      </c>
      <c r="H43" s="127" t="n">
        <v>78.02</v>
      </c>
      <c r="I43" s="28" t="n">
        <f aca="false">H43*0.1532</f>
        <v>11.952664</v>
      </c>
      <c r="J43" s="28" t="n">
        <f aca="false">H43+I43</f>
        <v>89.972664</v>
      </c>
      <c r="K43" s="28" t="n">
        <f aca="false">J43*0.03</f>
        <v>2.69917992</v>
      </c>
      <c r="L43" s="28" t="n">
        <f aca="false">J43-K43</f>
        <v>87.27348408</v>
      </c>
      <c r="M43" s="114" t="n">
        <f aca="false">L43*G43</f>
        <v>1745.4696816</v>
      </c>
      <c r="N43" s="115" t="n">
        <f aca="false">M43/M$28</f>
        <v>1.81605159249586</v>
      </c>
      <c r="O43" s="122" t="n">
        <f aca="false">N43*G43</f>
        <v>36.3210318499172</v>
      </c>
      <c r="P43" s="44" t="s">
        <v>224</v>
      </c>
      <c r="Q43" s="44" t="n">
        <v>547866</v>
      </c>
      <c r="R43" s="117" t="n">
        <f aca="false">M43-O43</f>
        <v>1709.14864975008</v>
      </c>
      <c r="S43" s="118" t="n">
        <f aca="false">1-(O43/M43)</f>
        <v>0.979191255950878</v>
      </c>
    </row>
    <row r="44" s="37" customFormat="true" ht="16.5" hidden="false" customHeight="true" outlineLevel="0" collapsed="false">
      <c r="A44" s="34" t="s">
        <v>226</v>
      </c>
      <c r="B44" s="34" t="s">
        <v>68</v>
      </c>
      <c r="C44" s="34" t="n">
        <v>20971</v>
      </c>
      <c r="D44" s="34" t="s">
        <v>41</v>
      </c>
      <c r="E44" s="57" t="s">
        <v>153</v>
      </c>
      <c r="F44" s="34" t="s">
        <v>26</v>
      </c>
      <c r="G44" s="34" t="n">
        <v>1</v>
      </c>
      <c r="H44" s="60" t="n">
        <v>25.33</v>
      </c>
      <c r="I44" s="28" t="n">
        <f aca="false">H44*0.1532</f>
        <v>3.880556</v>
      </c>
      <c r="J44" s="28" t="n">
        <f aca="false">H44+I44</f>
        <v>29.210556</v>
      </c>
      <c r="K44" s="28" t="n">
        <f aca="false">J44*(0.03%)</f>
        <v>0.0087631668</v>
      </c>
      <c r="L44" s="28" t="n">
        <f aca="false">J44-K44</f>
        <v>29.2017928332</v>
      </c>
      <c r="M44" s="114" t="n">
        <f aca="false">L44*G44</f>
        <v>29.2017928332</v>
      </c>
      <c r="N44" s="115" t="n">
        <v>22</v>
      </c>
      <c r="O44" s="122" t="n">
        <f aca="false">N44*G44</f>
        <v>22</v>
      </c>
      <c r="P44" s="43" t="s">
        <v>227</v>
      </c>
      <c r="Q44" s="43"/>
      <c r="R44" s="117" t="n">
        <f aca="false">M44-O44</f>
        <v>7.2017928332</v>
      </c>
      <c r="S44" s="118" t="n">
        <f aca="false">1-(O44/M44)</f>
        <v>0.246621598692124</v>
      </c>
    </row>
    <row r="45" s="37" customFormat="true" ht="16.5" hidden="false" customHeight="true" outlineLevel="0" collapsed="false">
      <c r="A45" s="34" t="s">
        <v>228</v>
      </c>
      <c r="B45" s="34" t="s">
        <v>68</v>
      </c>
      <c r="C45" s="34" t="n">
        <v>37554</v>
      </c>
      <c r="D45" s="34" t="s">
        <v>41</v>
      </c>
      <c r="E45" s="43" t="s">
        <v>155</v>
      </c>
      <c r="F45" s="34" t="s">
        <v>26</v>
      </c>
      <c r="G45" s="34" t="n">
        <v>2</v>
      </c>
      <c r="H45" s="60" t="n">
        <v>312.38</v>
      </c>
      <c r="I45" s="28" t="n">
        <f aca="false">H45*0.1532</f>
        <v>47.856616</v>
      </c>
      <c r="J45" s="28" t="n">
        <f aca="false">H45+I45</f>
        <v>360.236616</v>
      </c>
      <c r="K45" s="28" t="n">
        <f aca="false">J45*(0.03%)</f>
        <v>0.1080709848</v>
      </c>
      <c r="L45" s="28" t="n">
        <f aca="false">J45-K45</f>
        <v>360.1285450152</v>
      </c>
      <c r="M45" s="114" t="n">
        <f aca="false">L45*G45</f>
        <v>720.2570900304</v>
      </c>
      <c r="N45" s="115" t="n">
        <v>260</v>
      </c>
      <c r="O45" s="122" t="n">
        <f aca="false">N45*G45</f>
        <v>520</v>
      </c>
      <c r="P45" s="43" t="s">
        <v>227</v>
      </c>
      <c r="Q45" s="43"/>
      <c r="R45" s="117" t="n">
        <f aca="false">M45-O45</f>
        <v>200.2570900304</v>
      </c>
      <c r="S45" s="118" t="n">
        <f aca="false">1-(O45/M45)</f>
        <v>0.278035569246459</v>
      </c>
    </row>
    <row r="46" s="37" customFormat="true" ht="16.5" hidden="false" customHeight="true" outlineLevel="0" collapsed="false">
      <c r="A46" s="34" t="s">
        <v>229</v>
      </c>
      <c r="B46" s="34" t="s">
        <v>68</v>
      </c>
      <c r="C46" s="34" t="n">
        <v>37530</v>
      </c>
      <c r="D46" s="34" t="s">
        <v>41</v>
      </c>
      <c r="E46" s="57" t="s">
        <v>157</v>
      </c>
      <c r="F46" s="34" t="s">
        <v>26</v>
      </c>
      <c r="G46" s="34" t="n">
        <v>2</v>
      </c>
      <c r="H46" s="60" t="n">
        <v>823.66</v>
      </c>
      <c r="I46" s="28" t="n">
        <f aca="false">H46*0.1532</f>
        <v>126.184712</v>
      </c>
      <c r="J46" s="28" t="n">
        <f aca="false">H46+I46</f>
        <v>949.844712</v>
      </c>
      <c r="K46" s="28" t="n">
        <f aca="false">J46*(0.03%)</f>
        <v>0.2849534136</v>
      </c>
      <c r="L46" s="28" t="n">
        <f aca="false">J46-K46</f>
        <v>949.5597585864</v>
      </c>
      <c r="M46" s="114" t="n">
        <f aca="false">L46*G46</f>
        <v>1899.1195171728</v>
      </c>
      <c r="N46" s="115" t="n">
        <v>500</v>
      </c>
      <c r="O46" s="122" t="n">
        <f aca="false">N46*G46</f>
        <v>1000</v>
      </c>
      <c r="P46" s="43" t="s">
        <v>227</v>
      </c>
      <c r="Q46" s="43"/>
      <c r="R46" s="117" t="n">
        <f aca="false">M46-O46</f>
        <v>899.1195171728</v>
      </c>
      <c r="S46" s="118" t="n">
        <f aca="false">1-(O46/M46)</f>
        <v>0.473440196387066</v>
      </c>
    </row>
    <row r="47" s="37" customFormat="true" ht="16.5" hidden="false" customHeight="true" outlineLevel="0" collapsed="false">
      <c r="A47" s="34" t="s">
        <v>230</v>
      </c>
      <c r="B47" s="34" t="s">
        <v>68</v>
      </c>
      <c r="C47" s="34" t="n">
        <v>10892</v>
      </c>
      <c r="D47" s="34" t="s">
        <v>41</v>
      </c>
      <c r="E47" s="47" t="s">
        <v>159</v>
      </c>
      <c r="F47" s="34" t="s">
        <v>26</v>
      </c>
      <c r="G47" s="34" t="n">
        <v>3</v>
      </c>
      <c r="H47" s="60" t="n">
        <v>196</v>
      </c>
      <c r="I47" s="28" t="n">
        <f aca="false">H47*0.1532</f>
        <v>30.0272</v>
      </c>
      <c r="J47" s="28" t="n">
        <f aca="false">H47+I47</f>
        <v>226.0272</v>
      </c>
      <c r="K47" s="28" t="n">
        <f aca="false">J47*(0.03%)</f>
        <v>0.06780816</v>
      </c>
      <c r="L47" s="28" t="n">
        <f aca="false">J47-K47</f>
        <v>225.95939184</v>
      </c>
      <c r="M47" s="114" t="n">
        <f aca="false">L47*G47</f>
        <v>677.87817552</v>
      </c>
      <c r="N47" s="115" t="n">
        <v>180</v>
      </c>
      <c r="O47" s="122" t="n">
        <f aca="false">N47*G47</f>
        <v>540</v>
      </c>
      <c r="P47" s="43" t="s">
        <v>227</v>
      </c>
      <c r="Q47" s="43"/>
      <c r="R47" s="117" t="n">
        <f aca="false">M47-O47</f>
        <v>137.87817552</v>
      </c>
      <c r="S47" s="118" t="n">
        <f aca="false">1-(O47/M47)</f>
        <v>0.203396687633783</v>
      </c>
    </row>
    <row r="48" s="37" customFormat="true" ht="16.5" hidden="false" customHeight="true" outlineLevel="0" collapsed="false">
      <c r="A48" s="34" t="s">
        <v>231</v>
      </c>
      <c r="B48" s="34" t="s">
        <v>68</v>
      </c>
      <c r="C48" s="34" t="s">
        <v>232</v>
      </c>
      <c r="D48" s="34" t="s">
        <v>162</v>
      </c>
      <c r="E48" s="43" t="s">
        <v>163</v>
      </c>
      <c r="F48" s="34" t="s">
        <v>70</v>
      </c>
      <c r="G48" s="34" t="n">
        <v>4</v>
      </c>
      <c r="H48" s="60" t="n">
        <v>9.48</v>
      </c>
      <c r="I48" s="28" t="n">
        <f aca="false">H48*0.1532</f>
        <v>1.452336</v>
      </c>
      <c r="J48" s="28" t="n">
        <f aca="false">H48+I48</f>
        <v>10.932336</v>
      </c>
      <c r="K48" s="28" t="n">
        <f aca="false">J48*(0.03%)</f>
        <v>0.0032797008</v>
      </c>
      <c r="L48" s="28" t="n">
        <f aca="false">J48-K48</f>
        <v>10.9290562992</v>
      </c>
      <c r="M48" s="114" t="n">
        <f aca="false">L48*G48</f>
        <v>43.7162251968</v>
      </c>
      <c r="N48" s="115" t="n">
        <v>30</v>
      </c>
      <c r="O48" s="122" t="n">
        <f aca="false">N48</f>
        <v>30</v>
      </c>
      <c r="P48" s="43" t="s">
        <v>227</v>
      </c>
      <c r="Q48" s="43"/>
      <c r="R48" s="117" t="n">
        <f aca="false">M48-O48</f>
        <v>13.7162251968</v>
      </c>
      <c r="S48" s="118" t="n">
        <f aca="false">1-(O48/M48)</f>
        <v>0.313755936955966</v>
      </c>
    </row>
    <row r="49" s="37" customFormat="true" ht="16.5" hidden="false" customHeight="true" outlineLevel="0" collapsed="false">
      <c r="A49" s="34" t="s">
        <v>233</v>
      </c>
      <c r="B49" s="34" t="s">
        <v>68</v>
      </c>
      <c r="C49" s="34" t="s">
        <v>234</v>
      </c>
      <c r="D49" s="34" t="s">
        <v>162</v>
      </c>
      <c r="E49" s="43" t="s">
        <v>235</v>
      </c>
      <c r="F49" s="34" t="s">
        <v>70</v>
      </c>
      <c r="G49" s="34" t="n">
        <v>6</v>
      </c>
      <c r="H49" s="60" t="n">
        <v>12.16</v>
      </c>
      <c r="I49" s="28" t="n">
        <f aca="false">H49*0.1532</f>
        <v>1.862912</v>
      </c>
      <c r="J49" s="28" t="n">
        <f aca="false">H49+I49</f>
        <v>14.022912</v>
      </c>
      <c r="K49" s="28" t="n">
        <f aca="false">J49*(0.03%)</f>
        <v>0.0042068736</v>
      </c>
      <c r="L49" s="28" t="n">
        <f aca="false">J49-K49</f>
        <v>14.0187051264</v>
      </c>
      <c r="M49" s="114" t="n">
        <f aca="false">L49*G49</f>
        <v>84.1122307584</v>
      </c>
      <c r="N49" s="115" t="n">
        <v>30</v>
      </c>
      <c r="O49" s="122" t="n">
        <f aca="false">N49</f>
        <v>30</v>
      </c>
      <c r="P49" s="43" t="s">
        <v>227</v>
      </c>
      <c r="Q49" s="43"/>
      <c r="R49" s="117" t="n">
        <f aca="false">M49-O49</f>
        <v>54.1122307584</v>
      </c>
      <c r="S49" s="118" t="n">
        <f aca="false">1-(O49/M49)</f>
        <v>0.643333677760009</v>
      </c>
    </row>
    <row r="50" s="37" customFormat="true" ht="16.5" hidden="false" customHeight="true" outlineLevel="0" collapsed="false">
      <c r="A50" s="34"/>
      <c r="B50" s="34"/>
      <c r="C50" s="34"/>
      <c r="D50" s="34"/>
      <c r="E50" s="57"/>
      <c r="F50" s="34"/>
      <c r="G50" s="34"/>
      <c r="H50" s="60"/>
      <c r="I50" s="28"/>
      <c r="J50" s="28"/>
      <c r="K50" s="28"/>
      <c r="L50" s="28"/>
      <c r="M50" s="114"/>
      <c r="N50" s="115"/>
      <c r="O50" s="122"/>
      <c r="P50" s="43"/>
      <c r="Q50" s="43"/>
      <c r="R50" s="129"/>
    </row>
    <row r="51" s="37" customFormat="true" ht="16.5" hidden="false" customHeight="true" outlineLevel="0" collapsed="false">
      <c r="A51" s="34"/>
      <c r="B51" s="34"/>
      <c r="C51" s="34"/>
      <c r="D51" s="34"/>
      <c r="E51" s="41"/>
      <c r="F51" s="34"/>
      <c r="G51" s="34"/>
      <c r="H51" s="113"/>
      <c r="I51" s="28"/>
      <c r="J51" s="28"/>
      <c r="K51" s="28"/>
      <c r="L51" s="28"/>
      <c r="M51" s="114"/>
      <c r="N51" s="130"/>
      <c r="O51" s="131"/>
      <c r="P51" s="132"/>
      <c r="Q51" s="132"/>
      <c r="R51" s="133"/>
      <c r="S51" s="118"/>
    </row>
    <row r="52" s="37" customFormat="true" ht="16.5" hidden="false" customHeight="true" outlineLevel="0" collapsed="false">
      <c r="A52" s="34"/>
      <c r="B52" s="34"/>
      <c r="C52" s="34"/>
      <c r="D52" s="34"/>
      <c r="E52" s="41"/>
      <c r="F52" s="34"/>
      <c r="G52" s="34"/>
      <c r="H52" s="113"/>
      <c r="I52" s="28"/>
      <c r="J52" s="28"/>
      <c r="K52" s="28"/>
      <c r="L52" s="28"/>
      <c r="M52" s="28"/>
      <c r="N52" s="134"/>
      <c r="O52" s="135"/>
      <c r="P52" s="136"/>
      <c r="Q52" s="136"/>
      <c r="R52" s="137"/>
      <c r="S52" s="118"/>
    </row>
    <row r="53" s="37" customFormat="true" ht="16.5" hidden="false" customHeight="true" outlineLevel="0" collapsed="false">
      <c r="A53" s="34"/>
      <c r="B53" s="34"/>
      <c r="C53" s="34"/>
      <c r="D53" s="34"/>
      <c r="E53" s="41"/>
      <c r="F53" s="34"/>
      <c r="G53" s="34"/>
      <c r="H53" s="113"/>
      <c r="I53" s="28"/>
      <c r="J53" s="28"/>
      <c r="K53" s="28"/>
      <c r="L53" s="28"/>
      <c r="M53" s="28"/>
      <c r="N53" s="138"/>
      <c r="O53" s="122"/>
      <c r="P53" s="44"/>
      <c r="Q53" s="44"/>
      <c r="R53" s="139"/>
      <c r="S53" s="118"/>
    </row>
    <row r="54" s="37" customFormat="true" ht="16.5" hidden="false" customHeight="true" outlineLevel="0" collapsed="false">
      <c r="A54" s="34"/>
      <c r="B54" s="34"/>
      <c r="C54" s="34"/>
      <c r="D54" s="34"/>
      <c r="E54" s="49"/>
      <c r="F54" s="34"/>
      <c r="G54" s="34"/>
      <c r="H54" s="127"/>
      <c r="I54" s="28"/>
      <c r="J54" s="28"/>
      <c r="K54" s="28"/>
      <c r="L54" s="28"/>
      <c r="M54" s="28"/>
      <c r="N54" s="138"/>
      <c r="O54" s="122"/>
      <c r="P54" s="44"/>
      <c r="Q54" s="44"/>
      <c r="R54" s="139"/>
      <c r="S54" s="118"/>
    </row>
    <row r="55" s="37" customFormat="true" ht="16.5" hidden="false" customHeight="true" outlineLevel="0" collapsed="false">
      <c r="A55" s="34"/>
      <c r="B55" s="34"/>
      <c r="C55" s="44"/>
      <c r="D55" s="34"/>
      <c r="E55" s="35"/>
      <c r="F55" s="34"/>
      <c r="G55" s="34"/>
      <c r="H55" s="126"/>
      <c r="I55" s="28"/>
      <c r="J55" s="28"/>
      <c r="K55" s="28"/>
      <c r="L55" s="28"/>
      <c r="M55" s="28"/>
      <c r="N55" s="138"/>
      <c r="O55" s="122"/>
      <c r="P55" s="44"/>
      <c r="Q55" s="44"/>
      <c r="R55" s="139"/>
      <c r="S55" s="118"/>
    </row>
    <row r="56" s="37" customFormat="true" ht="16.5" hidden="false" customHeight="true" outlineLevel="0" collapsed="false">
      <c r="A56" s="34"/>
      <c r="B56" s="34"/>
      <c r="C56" s="44"/>
      <c r="D56" s="34"/>
      <c r="E56" s="35"/>
      <c r="F56" s="34"/>
      <c r="G56" s="34"/>
      <c r="H56" s="126"/>
      <c r="I56" s="28"/>
      <c r="J56" s="28"/>
      <c r="K56" s="28"/>
      <c r="L56" s="28"/>
      <c r="M56" s="28"/>
      <c r="N56" s="138"/>
      <c r="O56" s="122"/>
      <c r="P56" s="44"/>
      <c r="Q56" s="44"/>
      <c r="R56" s="139"/>
      <c r="S56" s="118"/>
    </row>
    <row r="57" s="37" customFormat="true" ht="16.5" hidden="false" customHeight="true" outlineLevel="0" collapsed="false">
      <c r="A57" s="34"/>
      <c r="B57" s="34"/>
      <c r="C57" s="34"/>
      <c r="D57" s="34"/>
      <c r="E57" s="43"/>
      <c r="F57" s="34"/>
      <c r="G57" s="34"/>
      <c r="H57" s="60"/>
      <c r="I57" s="28"/>
      <c r="J57" s="28"/>
      <c r="K57" s="28"/>
      <c r="L57" s="28"/>
      <c r="M57" s="28"/>
      <c r="N57" s="138"/>
      <c r="O57" s="43"/>
      <c r="P57" s="43"/>
      <c r="Q57" s="43"/>
      <c r="R57" s="43"/>
      <c r="S57" s="118"/>
    </row>
    <row r="58" s="37" customFormat="true" ht="16.5" hidden="false" customHeight="true" outlineLevel="0" collapsed="false">
      <c r="A58" s="34"/>
      <c r="B58" s="34"/>
      <c r="C58" s="34"/>
      <c r="D58" s="34"/>
      <c r="E58" s="43"/>
      <c r="F58" s="34"/>
      <c r="G58" s="34"/>
      <c r="H58" s="60"/>
      <c r="I58" s="28"/>
      <c r="J58" s="28"/>
      <c r="K58" s="28"/>
      <c r="L58" s="28"/>
      <c r="M58" s="28"/>
      <c r="N58" s="138"/>
      <c r="O58" s="43"/>
      <c r="P58" s="43"/>
      <c r="Q58" s="43"/>
      <c r="R58" s="43"/>
    </row>
    <row r="59" s="37" customFormat="true" ht="16.5" hidden="false" customHeight="true" outlineLevel="0" collapsed="false">
      <c r="A59" s="34"/>
      <c r="B59" s="34"/>
      <c r="C59" s="34"/>
      <c r="D59" s="34"/>
      <c r="E59" s="43"/>
      <c r="F59" s="34"/>
      <c r="G59" s="34"/>
      <c r="H59" s="60"/>
      <c r="I59" s="28"/>
      <c r="J59" s="28"/>
      <c r="K59" s="28"/>
      <c r="L59" s="28"/>
      <c r="M59" s="28" t="n">
        <f aca="false">SUM(M3:M58)</f>
        <v>27222.3620596382</v>
      </c>
      <c r="N59" s="138"/>
      <c r="O59" s="140" t="n">
        <f aca="false">SUM(O3:O58)</f>
        <v>18537.9510318499</v>
      </c>
      <c r="P59" s="43"/>
      <c r="Q59" s="43"/>
      <c r="R59" s="43"/>
      <c r="S59" s="141" t="n">
        <f aca="false">AVERAGE(S3:S58)</f>
        <v>0.250011159899626</v>
      </c>
    </row>
    <row r="62" customFormat="false" ht="15" hidden="false" customHeight="false" outlineLevel="0" collapsed="false">
      <c r="N62" s="100" t="n">
        <f aca="false">M59-O59</f>
        <v>8684.41102778828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L1"/>
    <mergeCell ref="M1:M2"/>
  </mergeCells>
  <hyperlinks>
    <hyperlink ref="E4" r:id="rId1" display="AREIA GROSSA - POSTO JAZIDA/FORNECEDOR (RETIRADO NA JAZIDA, SEM TRANSPORTE)"/>
    <hyperlink ref="E5" r:id="rId2" display="PEDRA BRITADA N. 0, OU PEDRISCO (4,8 A 9,5 MM) POSTO PEDREIRA/FORNECEDOR, SEM FRETE"/>
    <hyperlink ref="E6" r:id="rId3" display="AREIA GROSSA - POSTO JAZIDA/FORNECEDOR (RETIRADO NA JAZIDA, SEM TRANSPORTE)"/>
  </hyperlink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8C476279ECFF49B7018EB20C51517F" ma:contentTypeVersion="12" ma:contentTypeDescription="Crie um novo documento." ma:contentTypeScope="" ma:versionID="34a0628b53b29352da2689cb67653714">
  <xsd:schema xmlns:xsd="http://www.w3.org/2001/XMLSchema" xmlns:xs="http://www.w3.org/2001/XMLSchema" xmlns:p="http://schemas.microsoft.com/office/2006/metadata/properties" xmlns:ns1="http://schemas.microsoft.com/sharepoint/v3" xmlns:ns2="0e7c8a86-84e5-4d34-8d3b-2e08d231c207" xmlns:ns3="1d1dcbf2-98b8-40e7-8092-e982a632e348" targetNamespace="http://schemas.microsoft.com/office/2006/metadata/properties" ma:root="true" ma:fieldsID="226731e1c54f699cb1f59e9a6e85886a" ns1:_="" ns2:_="" ns3:_="">
    <xsd:import namespace="http://schemas.microsoft.com/sharepoint/v3"/>
    <xsd:import namespace="0e7c8a86-84e5-4d34-8d3b-2e08d231c207"/>
    <xsd:import namespace="1d1dcbf2-98b8-40e7-8092-e982a632e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7c8a86-84e5-4d34-8d3b-2e08d231c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691ea95-0c2d-4cc1-8ba1-2cbd03c807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dcbf2-98b8-40e7-8092-e982a632e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2901c6-92c3-4448-8229-dbefe5f23788}" ma:internalName="TaxCatchAll" ma:showField="CatchAllData" ma:web="1d1dcbf2-98b8-40e7-8092-e982a632e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7c8a86-84e5-4d34-8d3b-2e08d231c207">
      <Terms xmlns="http://schemas.microsoft.com/office/infopath/2007/PartnerControls"/>
    </lcf76f155ced4ddcb4097134ff3c332f>
    <TaxCatchAll xmlns="1d1dcbf2-98b8-40e7-8092-e982a632e348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23ADD31-5CB8-4A24-808E-5DBDDFAFE8B4}"/>
</file>

<file path=customXml/itemProps2.xml><?xml version="1.0" encoding="utf-8"?>
<ds:datastoreItem xmlns:ds="http://schemas.openxmlformats.org/officeDocument/2006/customXml" ds:itemID="{74056173-83B4-429F-A927-42CB3DFE3E68}"/>
</file>

<file path=customXml/itemProps3.xml><?xml version="1.0" encoding="utf-8"?>
<ds:datastoreItem xmlns:ds="http://schemas.openxmlformats.org/officeDocument/2006/customXml" ds:itemID="{60802F05-5931-4330-A8AA-B8FC7624304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LibreOffice/7.5.2.2$Windows_X86_64 LibreOffice_project/53bb9681a964705cf672590721dbc85eb4d0c3a2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Anivaldo Junior</dc:creator>
  <dc:description/>
  <cp:lastModifiedBy/>
  <cp:revision>2</cp:revision>
  <cp:lastPrinted>2022-04-24T23:49:58Z</cp:lastPrinted>
  <dcterms:created xsi:type="dcterms:W3CDTF">2022-01-02T19:12:46Z</dcterms:created>
  <dcterms:modified xsi:type="dcterms:W3CDTF">2023-04-13T12:56:57Z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0x0101006F8C476279ECFF49B7018EB20C51517F</vt:lpwstr>
  </property>
</Properties>
</file>