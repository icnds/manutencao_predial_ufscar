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7-Junho-25\"/>
    </mc:Choice>
  </mc:AlternateContent>
  <bookViews>
    <workbookView xWindow="0" yWindow="0" windowWidth="20490" windowHeight="7050"/>
  </bookViews>
  <sheets>
    <sheet name="São Carlos" sheetId="1" r:id="rId1"/>
  </sheets>
  <definedNames>
    <definedName name="_xlnm.Print_Area" localSheetId="0">'São Carlos'!$A$1:$O$96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2" i="1" l="1"/>
  <c r="I39" i="1" l="1"/>
  <c r="G67" i="1" l="1"/>
  <c r="I68" i="1"/>
  <c r="J68" i="1" s="1"/>
  <c r="I67" i="1"/>
  <c r="J67" i="1" s="1"/>
  <c r="I65" i="1"/>
  <c r="J65" i="1" s="1"/>
  <c r="K65" i="1" s="1"/>
  <c r="I60" i="1"/>
  <c r="J60" i="1" s="1"/>
  <c r="I63" i="1"/>
  <c r="J63" i="1" s="1"/>
  <c r="I62" i="1"/>
  <c r="J62" i="1" s="1"/>
  <c r="I61" i="1"/>
  <c r="J61" i="1" s="1"/>
  <c r="I49" i="1"/>
  <c r="J49" i="1" s="1"/>
  <c r="K67" i="1" l="1"/>
  <c r="L67" i="1" s="1"/>
  <c r="M67" i="1" s="1"/>
  <c r="K68" i="1"/>
  <c r="L68" i="1" s="1"/>
  <c r="M68" i="1" s="1"/>
  <c r="L65" i="1"/>
  <c r="M65" i="1" s="1"/>
  <c r="K60" i="1"/>
  <c r="L60" i="1" s="1"/>
  <c r="M60" i="1" s="1"/>
  <c r="K62" i="1"/>
  <c r="L62" i="1" s="1"/>
  <c r="M62" i="1" s="1"/>
  <c r="K61" i="1"/>
  <c r="L61" i="1" s="1"/>
  <c r="M61" i="1" s="1"/>
  <c r="K63" i="1"/>
  <c r="L63" i="1" s="1"/>
  <c r="M63" i="1" s="1"/>
  <c r="K49" i="1"/>
  <c r="L49" i="1" s="1"/>
  <c r="M49" i="1" s="1"/>
  <c r="G58" i="1" l="1"/>
  <c r="I58" i="1"/>
  <c r="J58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K42" i="1" s="1"/>
  <c r="I41" i="1"/>
  <c r="J41" i="1" s="1"/>
  <c r="I40" i="1"/>
  <c r="J40" i="1" s="1"/>
  <c r="J39" i="1"/>
  <c r="G38" i="1"/>
  <c r="I38" i="1"/>
  <c r="J38" i="1" s="1"/>
  <c r="G37" i="1"/>
  <c r="I37" i="1"/>
  <c r="J37" i="1" s="1"/>
  <c r="G36" i="1"/>
  <c r="I36" i="1"/>
  <c r="J36" i="1" s="1"/>
  <c r="I35" i="1"/>
  <c r="J35" i="1" s="1"/>
  <c r="I33" i="1"/>
  <c r="J33" i="1" s="1"/>
  <c r="I32" i="1"/>
  <c r="J32" i="1" s="1"/>
  <c r="I34" i="1"/>
  <c r="J34" i="1" s="1"/>
  <c r="G34" i="1"/>
  <c r="K44" i="1" l="1"/>
  <c r="L44" i="1"/>
  <c r="M44" i="1" s="1"/>
  <c r="K58" i="1"/>
  <c r="L58" i="1" s="1"/>
  <c r="M58" i="1" s="1"/>
  <c r="K48" i="1"/>
  <c r="L48" i="1" s="1"/>
  <c r="M48" i="1" s="1"/>
  <c r="K47" i="1"/>
  <c r="L47" i="1" s="1"/>
  <c r="M47" i="1" s="1"/>
  <c r="K46" i="1"/>
  <c r="L46" i="1" s="1"/>
  <c r="M46" i="1" s="1"/>
  <c r="K45" i="1"/>
  <c r="L45" i="1" s="1"/>
  <c r="M45" i="1" s="1"/>
  <c r="N45" i="1" s="1"/>
  <c r="K43" i="1"/>
  <c r="L43" i="1" s="1"/>
  <c r="M43" i="1" s="1"/>
  <c r="L42" i="1"/>
  <c r="M42" i="1" s="1"/>
  <c r="K41" i="1"/>
  <c r="L41" i="1" s="1"/>
  <c r="M41" i="1" s="1"/>
  <c r="K40" i="1"/>
  <c r="L40" i="1" s="1"/>
  <c r="M40" i="1" s="1"/>
  <c r="K39" i="1"/>
  <c r="L39" i="1" s="1"/>
  <c r="M39" i="1" s="1"/>
  <c r="K38" i="1"/>
  <c r="L38" i="1" s="1"/>
  <c r="M38" i="1" s="1"/>
  <c r="K37" i="1"/>
  <c r="L37" i="1" s="1"/>
  <c r="M37" i="1" s="1"/>
  <c r="K36" i="1"/>
  <c r="L36" i="1" s="1"/>
  <c r="M36" i="1" s="1"/>
  <c r="K35" i="1"/>
  <c r="L35" i="1" s="1"/>
  <c r="M35" i="1" s="1"/>
  <c r="K33" i="1"/>
  <c r="L33" i="1" s="1"/>
  <c r="M33" i="1" s="1"/>
  <c r="K32" i="1"/>
  <c r="L32" i="1" s="1"/>
  <c r="M32" i="1" s="1"/>
  <c r="K34" i="1"/>
  <c r="L34" i="1" s="1"/>
  <c r="M34" i="1" s="1"/>
  <c r="I66" i="1"/>
  <c r="J66" i="1" s="1"/>
  <c r="N37" i="1" l="1"/>
  <c r="N35" i="1"/>
  <c r="N38" i="1"/>
  <c r="N42" i="1"/>
  <c r="N46" i="1"/>
  <c r="N44" i="1"/>
  <c r="N47" i="1"/>
  <c r="N34" i="1"/>
  <c r="N40" i="1"/>
  <c r="N36" i="1"/>
  <c r="N39" i="1"/>
  <c r="N43" i="1"/>
  <c r="N33" i="1"/>
  <c r="N41" i="1"/>
  <c r="N49" i="1"/>
  <c r="N48" i="1"/>
  <c r="K66" i="1"/>
  <c r="L66" i="1" s="1"/>
  <c r="M66" i="1" s="1"/>
  <c r="I57" i="1" l="1"/>
  <c r="J57" i="1" s="1"/>
  <c r="I55" i="1"/>
  <c r="J55" i="1" s="1"/>
  <c r="I56" i="1"/>
  <c r="J56" i="1" s="1"/>
  <c r="K56" i="1" s="1"/>
  <c r="K57" i="1" l="1"/>
  <c r="L57" i="1" s="1"/>
  <c r="M57" i="1" s="1"/>
  <c r="N58" i="1" s="1"/>
  <c r="K55" i="1"/>
  <c r="L55" i="1" s="1"/>
  <c r="M55" i="1" s="1"/>
  <c r="L56" i="1"/>
  <c r="M56" i="1" s="1"/>
  <c r="M54" i="1" l="1"/>
  <c r="N66" i="1" s="1"/>
  <c r="M31" i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60" i="1" l="1"/>
  <c r="N68" i="1"/>
  <c r="N67" i="1"/>
  <c r="N62" i="1"/>
  <c r="N63" i="1"/>
  <c r="N61" i="1"/>
  <c r="N55" i="1"/>
  <c r="N57" i="1"/>
  <c r="N56" i="1"/>
  <c r="N19" i="1"/>
  <c r="N18" i="1"/>
  <c r="N23" i="1"/>
  <c r="N21" i="1"/>
  <c r="N26" i="1"/>
  <c r="N20" i="1"/>
  <c r="N27" i="1"/>
  <c r="N25" i="1"/>
  <c r="N24" i="1"/>
  <c r="N28" i="1"/>
  <c r="N22" i="1"/>
  <c r="N17" i="1"/>
  <c r="J71" i="1"/>
  <c r="N16" i="1" l="1"/>
</calcChain>
</file>

<file path=xl/sharedStrings.xml><?xml version="1.0" encoding="utf-8"?>
<sst xmlns="http://schemas.openxmlformats.org/spreadsheetml/2006/main" count="304" uniqueCount="153">
  <si>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</si>
  <si>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</si>
  <si>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</si>
  <si>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</si>
  <si>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</si>
  <si>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</si>
  <si>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</si>
  <si>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</si>
  <si>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</si>
  <si>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</si>
  <si>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</si>
  <si>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</si>
  <si>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</si>
  <si>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</si>
  <si>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</si>
  <si>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</si>
  <si>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</si>
  <si>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</si>
  <si>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</si>
  <si>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</si>
  <si>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</si>
  <si>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</si>
  <si>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</si>
  <si>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</si>
  <si>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</si>
  <si>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</si>
  <si>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</si>
  <si>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</si>
  <si>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</si>
  <si>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</si>
  <si>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</si>
  <si>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</si>
  <si>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</si>
  <si>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</si>
  <si>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</si>
  <si>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</si>
  <si>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</si>
  <si>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</si>
  <si>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</si>
  <si>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</si>
  <si>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</si>
  <si>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</si>
  <si>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</si>
  <si>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</si>
  <si>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</si>
  <si>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</si>
  <si>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</si>
  <si>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</si>
  <si>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</si>
  <si>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</si>
  <si>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</si>
  <si>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</si>
  <si>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</si>
  <si>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</si>
  <si>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</si>
  <si>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</si>
  <si>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</si>
  <si>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</si>
  <si>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</si>
  <si>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</si>
  <si>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</si>
  <si>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</si>
  <si>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</si>
  <si>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</si>
  <si>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</si>
  <si>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</si>
  <si>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</si>
  <si>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</si>
  <si>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</si>
  <si>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</si>
  <si>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</si>
  <si>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</si>
  <si>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</si>
  <si>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</si>
  <si>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</si>
  <si>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</si>
  <si>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</si>
  <si>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</si>
  <si>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</si>
  <si>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</si>
  <si>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</si>
  <si>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</si>
  <si>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2.5</t>
  </si>
  <si>
    <t>2.11</t>
  </si>
  <si>
    <t>2.15</t>
  </si>
  <si>
    <t>2.10</t>
  </si>
  <si>
    <t>2.1</t>
  </si>
  <si>
    <t>2.3</t>
  </si>
  <si>
    <t>2.7</t>
  </si>
  <si>
    <t>2.9</t>
  </si>
  <si>
    <t>2.12</t>
  </si>
  <si>
    <t>2.18</t>
  </si>
  <si>
    <r>
      <t xml:space="preserve">Data Orçamento: </t>
    </r>
    <r>
      <rPr>
        <sz val="8"/>
        <color rgb="FFFF0000"/>
        <rFont val="Arial"/>
        <family val="2"/>
      </rPr>
      <t>Jun/22</t>
    </r>
  </si>
  <si>
    <t>2.6</t>
  </si>
  <si>
    <t>2.4</t>
  </si>
  <si>
    <t>2.2</t>
  </si>
  <si>
    <t>2.8</t>
  </si>
  <si>
    <t>2.13</t>
  </si>
  <si>
    <t>2.14</t>
  </si>
  <si>
    <t>2.16</t>
  </si>
  <si>
    <t>2.17</t>
  </si>
  <si>
    <t>KG</t>
  </si>
  <si>
    <t>M</t>
  </si>
  <si>
    <t>m²</t>
  </si>
  <si>
    <t>CIMENTO PORTLAND COMPOSTO CP II-32</t>
  </si>
  <si>
    <t>FDE</t>
  </si>
  <si>
    <t>3.7</t>
  </si>
  <si>
    <t>3.8</t>
  </si>
  <si>
    <t>TELHADISTA COM ENCARGOS COMPLEMENTARES</t>
  </si>
  <si>
    <t>H</t>
  </si>
  <si>
    <t>SERVENTE COM ENCARGOS COMPLEMENTARES</t>
  </si>
  <si>
    <t>REMOÇÃO CALHAS E RUFOS, DE FORMA MANUAL, SEM REAPROVEITAMENTO. AF_09/2023</t>
  </si>
  <si>
    <t>CALHA EM CHAPA DE AÇO GALVANIZADO NÚMERO 24,
DESENVOLVIMENTO DE 50 CM, INCLUSO TRANSPORTE VERTICAL. AF_07/2019</t>
  </si>
  <si>
    <t>3.10</t>
  </si>
  <si>
    <t>3.11</t>
  </si>
  <si>
    <t>3.16</t>
  </si>
  <si>
    <t>3.17</t>
  </si>
  <si>
    <t>APLICAÇÃO MANUAL DE PINTURA COM TINTA LÁTEX ACRÍLICA EM TETO, DUAS DEMÃOS. AF_06/2014</t>
  </si>
  <si>
    <t xml:space="preserve"> 88489 </t>
  </si>
  <si>
    <t>PINTURA LÁTEX ACRÍLICA PREMIUM, APLICAÇÃO MANUAL EM PAREDES, DUAS DEMÃOS. AF_04/2023</t>
  </si>
  <si>
    <t>FORRO DE FIBRA MINERAL EM PLACAS DE 1250 X 625 MM, E = 15 MM, BORDA RETA, COM PINTURA ANTIMOFO, APOIADO EM PERFIL DE ACO GALVANIZADO COM 24 MM DE BASE - INSTALADO</t>
  </si>
  <si>
    <t>M2</t>
  </si>
  <si>
    <t>ARAME RECOZIDO 16 BWG, D = 1,65 MM (0,016 KG/M) OU 18 BWG, D = 1,25 MM (0,01 KG/M)</t>
  </si>
  <si>
    <t>kg</t>
  </si>
  <si>
    <t>ARGAMASSA COLANTE TIPO AC III E</t>
  </si>
  <si>
    <t>ACO CA-60, 4,2 MM, OU 5,0 MM, OU 6,0 MM, OU 7,0 MM, VERGALHAO</t>
  </si>
  <si>
    <t>ACO CA-50, 8,0 MM, VERGALHAO</t>
  </si>
  <si>
    <t>TELHA DE FIBROCIMENTO ONDULADA E = 6 MM, DE 2,44 X 1,10 M (SEM AMIANTO)</t>
  </si>
  <si>
    <t>PEDRA BRITADA N. 0, OU PEDRISCO (4,8 A 9,5 MM) POSTO PEDREIRA/FORNECEDOR, SEM FRETE</t>
  </si>
  <si>
    <t>m3</t>
  </si>
  <si>
    <t>AREIA GROSSA - POSTO JAZIDA/FORNECEDOR (RETIRADO NA JAZIDA, SEM TRANSPORTE)</t>
  </si>
  <si>
    <t>GRELHA FOFO SIMPLES COM REQUADRO, CARGA MAXIMA 1,5 T, 150 X 1000 MM, E= *15* MM</t>
  </si>
  <si>
    <t>TELHA DE FIBROCIMENTO E = 6 MM, DE 3,00 X 1,06 M (SEM AMIANTO)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</si>
  <si>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</t>
    </r>
    <r>
      <rPr>
        <b/>
        <sz val="8"/>
        <color rgb="FFFF0000"/>
        <rFont val="Arial"/>
        <family val="2"/>
      </rPr>
      <t>PERIODO DE 14/06/2025 a 30/06/2025</t>
    </r>
  </si>
  <si>
    <r>
      <t xml:space="preserve">Mês de referência: </t>
    </r>
    <r>
      <rPr>
        <sz val="8"/>
        <color rgb="FFFF0000"/>
        <rFont val="Arial"/>
        <family val="2"/>
      </rPr>
      <t>Maio/2025 (data da proposta)</t>
    </r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</si>
  <si>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05/2025)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</si>
  <si>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LAMPADA LED 10 W BIVOLT BRANCA, FORMATO TRADICIONAL (BASE E27)</t>
  </si>
  <si>
    <t xml:space="preserve"> Lâmpada led 15w de potência, luz branca Autovolt, marca Glight ou similar</t>
  </si>
  <si>
    <t>ORSE</t>
  </si>
  <si>
    <t>CAP PVC, SOLDAVEL, 25 MM, PARA AGUA FRIA PREDIAL</t>
  </si>
  <si>
    <t>JOELHO PVC, ROSCAVEL, 45 GRAUS, 3/4", PARA AGUA FRIA PREDIAL</t>
  </si>
  <si>
    <t>JOELHO PVC, SOLDAVEL, 90 GRAUS, 25 MM, PARA AGUA FRIA PREDIAL</t>
  </si>
  <si>
    <t>JOELHO PVC, SOLDAVEL, 90 GRAUS, 32 MM, COR MARROM, PARA AGUA FRIA PREDIAL</t>
  </si>
  <si>
    <t>TRANSPORTE COM CAMINHÃO BASCULANTE DE 10 M³, EM VIA URBANA EM LEITO NATURAL (UNIDADE: M3XKM). AF_07/2020</t>
  </si>
  <si>
    <t>M3XKM</t>
  </si>
  <si>
    <t>8.01.02</t>
  </si>
  <si>
    <t>ALUGUEL CAÇAMBA 4M3</t>
  </si>
  <si>
    <t>Manutenção BLOCO 9 - Calhas</t>
  </si>
  <si>
    <t>3.23</t>
  </si>
  <si>
    <t>PINTURA COM TINTA ALQUÍDICA DE ACABAMENTO (ESMALTE SINTÉTICO BRILHANTE) APLICADA A ROLO OU PINCEL SOBRE SUPERFÍCIES METÁLICAS (EXCETO PERFIL) EXECUTADO EM OBRA (POR DEMÃO). AF_01/2020</t>
  </si>
  <si>
    <t>3.24</t>
  </si>
  <si>
    <t>APLICAÇÃO MANUAL DE MASSA ACRÍLICA EM PAREDES EXTERNAS DE CASAS, DUAS DEMÃOS. AF_05/2017</t>
  </si>
  <si>
    <t>Pintura gerontologia, departamento de engenharia civil pintura impermeabilização de tanque portas é escada de ferro.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</si>
</sst>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0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b/>
      <sz val="8"/>
      <color theme="4"/>
      <name val="Arial"/>
      <family val="2"/>
    </font>
    <font>
      <b/>
      <sz val="8"/>
      <color theme="4"/>
      <name val="Arial"/>
      <family val="1"/>
    </font>
    <font>
      <b/>
      <sz val="8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2" fillId="0" borderId="0"/>
    <xf numFmtId="164" fontId="22" fillId="0" borderId="0" applyBorder="0" applyProtection="0"/>
    <xf numFmtId="0" fontId="23" fillId="0" borderId="0" applyBorder="0" applyProtection="0"/>
    <xf numFmtId="0" fontId="16" fillId="4" borderId="1" applyProtection="0"/>
    <xf numFmtId="0" fontId="24" fillId="0" borderId="0"/>
  </cellStyleXfs>
  <cellXfs count="181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4" fontId="13" fillId="0" borderId="24" xfId="2" applyNumberFormat="1" applyFont="1" applyFill="1" applyBorder="1" applyAlignment="1" applyProtection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0" xfId="0" applyFont="1" applyAlignment="1">
      <alignment vertical="center"/>
    </xf>
    <xf numFmtId="43" fontId="15" fillId="0" borderId="0" xfId="0" applyNumberFormat="1" applyFont="1"/>
    <xf numFmtId="0" fontId="9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9" fillId="0" borderId="24" xfId="4" applyFont="1" applyFill="1" applyBorder="1" applyAlignment="1">
      <alignment vertical="center"/>
    </xf>
    <xf numFmtId="0" fontId="9" fillId="0" borderId="24" xfId="0" applyFont="1" applyFill="1" applyBorder="1" applyAlignment="1">
      <alignment horizontal="center" vertical="center" wrapText="1"/>
    </xf>
    <xf numFmtId="4" fontId="13" fillId="0" borderId="16" xfId="2" applyNumberFormat="1" applyFont="1" applyFill="1" applyBorder="1" applyAlignment="1" applyProtection="1">
      <alignment horizontal="center" vertical="center"/>
    </xf>
    <xf numFmtId="0" fontId="21" fillId="5" borderId="24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center" wrapText="1"/>
    </xf>
    <xf numFmtId="4" fontId="8" fillId="5" borderId="24" xfId="0" applyNumberFormat="1" applyFont="1" applyFill="1" applyBorder="1" applyAlignment="1">
      <alignment horizontal="center" vertical="center" wrapText="1"/>
    </xf>
    <xf numFmtId="0" fontId="8" fillId="2" borderId="27" xfId="1" applyFont="1" applyBorder="1" applyAlignment="1">
      <alignment horizontal="center" vertical="center"/>
    </xf>
    <xf numFmtId="0" fontId="8" fillId="2" borderId="24" xfId="1" applyFont="1" applyBorder="1" applyAlignment="1">
      <alignment horizontal="center" vertical="center"/>
    </xf>
    <xf numFmtId="0" fontId="18" fillId="2" borderId="24" xfId="1" applyFont="1" applyBorder="1"/>
    <xf numFmtId="0" fontId="9" fillId="0" borderId="24" xfId="1" applyFont="1" applyFill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21" fillId="0" borderId="24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vertical="center" wrapText="1"/>
    </xf>
    <xf numFmtId="0" fontId="15" fillId="0" borderId="24" xfId="0" applyFont="1" applyBorder="1" applyAlignment="1">
      <alignment vertical="center"/>
    </xf>
    <xf numFmtId="2" fontId="9" fillId="0" borderId="24" xfId="1" applyNumberFormat="1" applyFont="1" applyFill="1" applyBorder="1" applyAlignment="1">
      <alignment horizontal="center" vertical="center"/>
    </xf>
    <xf numFmtId="0" fontId="25" fillId="0" borderId="24" xfId="0" applyFont="1" applyBorder="1" applyAlignment="1">
      <alignment vertical="center"/>
    </xf>
    <xf numFmtId="0" fontId="13" fillId="0" borderId="24" xfId="1" applyFont="1" applyFill="1" applyBorder="1" applyAlignment="1">
      <alignment horizontal="center" vertical="center"/>
    </xf>
    <xf numFmtId="0" fontId="15" fillId="0" borderId="24" xfId="0" applyFont="1" applyBorder="1"/>
    <xf numFmtId="0" fontId="15" fillId="0" borderId="0" xfId="0" applyFont="1" applyFill="1"/>
    <xf numFmtId="1" fontId="9" fillId="0" borderId="24" xfId="1" applyNumberFormat="1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26" fillId="0" borderId="24" xfId="0" applyFont="1" applyFill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left" vertical="center"/>
    </xf>
    <xf numFmtId="0" fontId="25" fillId="0" borderId="24" xfId="0" applyFont="1" applyFill="1" applyBorder="1" applyAlignment="1">
      <alignment horizontal="center" vertical="center" wrapText="1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Fill="1" applyBorder="1" applyAlignment="1">
      <alignment horizontal="left" vertical="center" wrapText="1"/>
    </xf>
    <xf numFmtId="0" fontId="21" fillId="0" borderId="24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horizontal="left" vertical="top" wrapText="1"/>
    </xf>
    <xf numFmtId="4" fontId="27" fillId="0" borderId="24" xfId="2" applyNumberFormat="1" applyFont="1" applyBorder="1" applyAlignment="1" applyProtection="1">
      <alignment horizontal="center" vertical="center"/>
    </xf>
    <xf numFmtId="4" fontId="27" fillId="0" borderId="24" xfId="0" applyNumberFormat="1" applyFont="1" applyFill="1" applyBorder="1" applyAlignment="1">
      <alignment horizontal="center" vertical="center" wrapText="1"/>
    </xf>
    <xf numFmtId="4" fontId="28" fillId="5" borderId="15" xfId="0" applyNumberFormat="1" applyFont="1" applyFill="1" applyBorder="1" applyAlignment="1">
      <alignment horizontal="center" vertical="center" wrapText="1"/>
    </xf>
    <xf numFmtId="4" fontId="29" fillId="5" borderId="24" xfId="0" applyNumberFormat="1" applyFont="1" applyFill="1" applyBorder="1" applyAlignment="1">
      <alignment horizontal="center" vertical="center" wrapText="1"/>
    </xf>
    <xf numFmtId="2" fontId="27" fillId="0" borderId="24" xfId="1" applyNumberFormat="1" applyFont="1" applyFill="1" applyBorder="1" applyAlignment="1">
      <alignment horizontal="center" vertical="center"/>
    </xf>
    <xf numFmtId="0" fontId="27" fillId="0" borderId="24" xfId="1" applyFont="1" applyFill="1" applyBorder="1" applyAlignment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4" fontId="10" fillId="0" borderId="24" xfId="0" applyNumberFormat="1" applyFont="1" applyFill="1" applyBorder="1" applyAlignment="1">
      <alignment horizontal="center" vertical="center" wrapText="1"/>
    </xf>
    <xf numFmtId="2" fontId="15" fillId="0" borderId="0" xfId="0" applyNumberFormat="1" applyFont="1"/>
    <xf numFmtId="44" fontId="0" fillId="0" borderId="0" xfId="3" applyFont="1"/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</cellXfs>
  <cellStyles count="12">
    <cellStyle name="Excel Built-in Explanatory Text" xfId="6"/>
    <cellStyle name="Excel Built-in Output" xfId="5"/>
    <cellStyle name="Excel Built-in Output 2" xfId="10"/>
    <cellStyle name="Hiperlink" xfId="4" builtinId="8"/>
    <cellStyle name="Hiperlink 2" xfId="9"/>
    <cellStyle name="Moeda" xfId="3" builtinId="4"/>
    <cellStyle name="Moeda 2" xfId="8"/>
    <cellStyle name="Normal" xfId="0" builtinId="0"/>
    <cellStyle name="Normal 2" xfId="7"/>
    <cellStyle name="Normal 3" xfId="11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/Users/anivaldo/AppData/Roaming/Microsoft/07%20Jul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abSelected="1" topLeftCell="A60" zoomScale="90" zoomScaleNormal="90" workbookViewId="0">
      <selection activeCell="E108" sqref="E108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style="27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6" max="16" width="12.85546875" customWidth="1"/>
    <col min="18" max="18" width="15" bestFit="1" customWidth="1"/>
    <col min="19" max="19" width="9.140625" customWidth="1"/>
  </cols>
  <sheetData>
    <row r="1" spans="1:15" ht="17.100000000000001" customHeight="1" x14ac:dyDescent="0.25">
      <c r="A1" s="105" t="s">
        <v>0</v>
      </c>
      <c r="B1" s="106"/>
      <c r="C1" s="106"/>
      <c r="D1" s="106"/>
      <c r="E1" s="106"/>
      <c r="F1" s="106"/>
      <c r="G1" s="106"/>
      <c r="H1" s="106"/>
      <c r="I1" s="107"/>
      <c r="J1" s="114" t="s">
        <v>1</v>
      </c>
      <c r="K1" s="114"/>
      <c r="L1" s="114"/>
      <c r="M1" s="114"/>
      <c r="N1" s="114"/>
      <c r="O1" s="115"/>
    </row>
    <row r="2" spans="1:15" ht="17.100000000000001" customHeight="1" x14ac:dyDescent="0.25">
      <c r="A2" s="108"/>
      <c r="B2" s="109"/>
      <c r="C2" s="109"/>
      <c r="D2" s="109"/>
      <c r="E2" s="109"/>
      <c r="F2" s="109"/>
      <c r="G2" s="109"/>
      <c r="H2" s="109"/>
      <c r="I2" s="110"/>
      <c r="J2" s="116" t="s">
        <v>2</v>
      </c>
      <c r="K2" s="116"/>
      <c r="L2" s="116"/>
      <c r="M2" s="116"/>
      <c r="N2" s="116"/>
      <c r="O2" s="117"/>
    </row>
    <row r="3" spans="1:15" ht="17.100000000000001" customHeight="1" x14ac:dyDescent="0.25">
      <c r="A3" s="108"/>
      <c r="B3" s="109"/>
      <c r="C3" s="109"/>
      <c r="D3" s="109"/>
      <c r="E3" s="109"/>
      <c r="F3" s="109"/>
      <c r="G3" s="109"/>
      <c r="H3" s="109"/>
      <c r="I3" s="110"/>
      <c r="J3" s="116" t="s">
        <v>3</v>
      </c>
      <c r="K3" s="116"/>
      <c r="L3" s="116"/>
      <c r="M3" s="116" t="s">
        <v>4</v>
      </c>
      <c r="N3" s="116"/>
      <c r="O3" s="1"/>
    </row>
    <row r="4" spans="1:15" ht="17.100000000000001" customHeight="1" x14ac:dyDescent="0.25">
      <c r="A4" s="108"/>
      <c r="B4" s="109"/>
      <c r="C4" s="109"/>
      <c r="D4" s="109"/>
      <c r="E4" s="109"/>
      <c r="F4" s="109"/>
      <c r="G4" s="109"/>
      <c r="H4" s="109"/>
      <c r="I4" s="110"/>
      <c r="J4" s="116" t="s">
        <v>5</v>
      </c>
      <c r="K4" s="116"/>
      <c r="L4" s="116"/>
      <c r="M4" s="116" t="s">
        <v>6</v>
      </c>
      <c r="N4" s="116"/>
      <c r="O4" s="2"/>
    </row>
    <row r="5" spans="1:15" ht="17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10"/>
      <c r="J5" s="116" t="s">
        <v>7</v>
      </c>
      <c r="K5" s="116"/>
      <c r="L5" s="116"/>
      <c r="M5" s="116" t="s">
        <v>8</v>
      </c>
      <c r="N5" s="116"/>
      <c r="O5" s="1"/>
    </row>
    <row r="6" spans="1:15" ht="17.100000000000001" customHeight="1" x14ac:dyDescent="0.25">
      <c r="A6" s="111"/>
      <c r="B6" s="112"/>
      <c r="C6" s="112"/>
      <c r="D6" s="112"/>
      <c r="E6" s="112"/>
      <c r="F6" s="112"/>
      <c r="G6" s="112"/>
      <c r="H6" s="112"/>
      <c r="I6" s="113"/>
      <c r="J6" s="116" t="s">
        <v>9</v>
      </c>
      <c r="K6" s="116"/>
      <c r="L6" s="116"/>
      <c r="M6" s="116" t="s">
        <v>10</v>
      </c>
      <c r="N6" s="116"/>
      <c r="O6" s="1"/>
    </row>
    <row r="7" spans="1:15" ht="17.100000000000001" customHeight="1" x14ac:dyDescent="0.25">
      <c r="A7" s="89" t="s">
        <v>11</v>
      </c>
      <c r="B7" s="90"/>
      <c r="C7" s="90"/>
      <c r="D7" s="90"/>
      <c r="E7" s="90"/>
      <c r="F7" s="90"/>
      <c r="G7" s="90"/>
      <c r="H7" s="90"/>
      <c r="I7" s="91"/>
      <c r="J7" s="92" t="s">
        <v>51</v>
      </c>
      <c r="K7" s="93"/>
      <c r="L7" s="93"/>
      <c r="M7" s="93"/>
      <c r="N7" s="94"/>
      <c r="O7" s="95" t="s">
        <v>12</v>
      </c>
    </row>
    <row r="8" spans="1:15" ht="17.100000000000001" customHeight="1" x14ac:dyDescent="0.25">
      <c r="A8" s="96" t="s">
        <v>133</v>
      </c>
      <c r="B8" s="97"/>
      <c r="C8" s="97"/>
      <c r="D8" s="97"/>
      <c r="E8" s="97"/>
      <c r="F8" s="97"/>
      <c r="G8" s="97"/>
      <c r="H8" s="97"/>
      <c r="I8" s="98"/>
      <c r="J8" s="92" t="s">
        <v>13</v>
      </c>
      <c r="K8" s="93"/>
      <c r="L8" s="93"/>
      <c r="M8" s="93"/>
      <c r="N8" s="94"/>
      <c r="O8" s="95"/>
    </row>
    <row r="9" spans="1:15" ht="17.100000000000001" customHeight="1" x14ac:dyDescent="0.25">
      <c r="A9" s="99"/>
      <c r="B9" s="100"/>
      <c r="C9" s="100"/>
      <c r="D9" s="100"/>
      <c r="E9" s="100"/>
      <c r="F9" s="100"/>
      <c r="G9" s="100"/>
      <c r="H9" s="100"/>
      <c r="I9" s="101"/>
      <c r="J9" s="92" t="s">
        <v>14</v>
      </c>
      <c r="K9" s="93"/>
      <c r="L9" s="93"/>
      <c r="M9" s="93"/>
      <c r="N9" s="94"/>
      <c r="O9" s="95"/>
    </row>
    <row r="10" spans="1:15" ht="17.100000000000001" customHeight="1" x14ac:dyDescent="0.25">
      <c r="A10" s="99"/>
      <c r="B10" s="100"/>
      <c r="C10" s="100"/>
      <c r="D10" s="100"/>
      <c r="E10" s="100"/>
      <c r="F10" s="100"/>
      <c r="G10" s="100"/>
      <c r="H10" s="100"/>
      <c r="I10" s="101"/>
      <c r="J10" s="92" t="s">
        <v>15</v>
      </c>
      <c r="K10" s="93"/>
      <c r="L10" s="93"/>
      <c r="M10" s="93"/>
      <c r="N10" s="94"/>
      <c r="O10" s="95"/>
    </row>
    <row r="11" spans="1:15" ht="17.100000000000001" customHeight="1" x14ac:dyDescent="0.25">
      <c r="A11" s="99"/>
      <c r="B11" s="100"/>
      <c r="C11" s="100"/>
      <c r="D11" s="100"/>
      <c r="E11" s="100"/>
      <c r="F11" s="100"/>
      <c r="G11" s="100"/>
      <c r="H11" s="100"/>
      <c r="I11" s="101"/>
      <c r="J11" s="92" t="s">
        <v>50</v>
      </c>
      <c r="K11" s="93"/>
      <c r="L11" s="93"/>
      <c r="M11" s="93"/>
      <c r="N11" s="94"/>
      <c r="O11" s="95"/>
    </row>
    <row r="12" spans="1:15" ht="17.100000000000001" customHeight="1" x14ac:dyDescent="0.25">
      <c r="A12" s="99"/>
      <c r="B12" s="100"/>
      <c r="C12" s="100"/>
      <c r="D12" s="100"/>
      <c r="E12" s="100"/>
      <c r="F12" s="100"/>
      <c r="G12" s="100"/>
      <c r="H12" s="100"/>
      <c r="I12" s="101"/>
      <c r="J12" s="92" t="s">
        <v>92</v>
      </c>
      <c r="K12" s="93"/>
      <c r="L12" s="93"/>
      <c r="M12" s="93"/>
      <c r="N12" s="94"/>
      <c r="O12" s="95"/>
    </row>
    <row r="13" spans="1:15" ht="17.100000000000001" customHeight="1" x14ac:dyDescent="0.25">
      <c r="A13" s="102"/>
      <c r="B13" s="103"/>
      <c r="C13" s="103"/>
      <c r="D13" s="103"/>
      <c r="E13" s="103"/>
      <c r="F13" s="103"/>
      <c r="G13" s="103"/>
      <c r="H13" s="103"/>
      <c r="I13" s="104"/>
      <c r="J13" s="92" t="s">
        <v>134</v>
      </c>
      <c r="K13" s="93"/>
      <c r="L13" s="93"/>
      <c r="M13" s="93"/>
      <c r="N13" s="94"/>
      <c r="O13" s="95"/>
    </row>
    <row r="14" spans="1:15" ht="17.100000000000001" customHeight="1" x14ac:dyDescent="0.25">
      <c r="A14" s="162" t="s">
        <v>16</v>
      </c>
      <c r="B14" s="122" t="s">
        <v>17</v>
      </c>
      <c r="C14" s="122" t="s">
        <v>18</v>
      </c>
      <c r="D14" s="122" t="s">
        <v>19</v>
      </c>
      <c r="E14" s="122" t="s">
        <v>20</v>
      </c>
      <c r="F14" s="122" t="s">
        <v>21</v>
      </c>
      <c r="G14" s="122" t="s">
        <v>22</v>
      </c>
      <c r="H14" s="175" t="s">
        <v>23</v>
      </c>
      <c r="I14" s="175"/>
      <c r="J14" s="175"/>
      <c r="K14" s="175"/>
      <c r="L14" s="176"/>
      <c r="M14" s="122" t="s">
        <v>24</v>
      </c>
      <c r="N14" s="122" t="s">
        <v>25</v>
      </c>
      <c r="O14" s="95" t="s">
        <v>26</v>
      </c>
    </row>
    <row r="15" spans="1:15" ht="17.100000000000001" customHeight="1" x14ac:dyDescent="0.25">
      <c r="A15" s="163"/>
      <c r="B15" s="123"/>
      <c r="C15" s="123"/>
      <c r="D15" s="123"/>
      <c r="E15" s="123"/>
      <c r="F15" s="123"/>
      <c r="G15" s="123"/>
      <c r="H15" s="4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23"/>
      <c r="N15" s="123"/>
      <c r="O15" s="95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55"/>
      <c r="I16" s="9"/>
      <c r="J16" s="9"/>
      <c r="K16" s="9"/>
      <c r="L16" s="9"/>
      <c r="M16" s="21">
        <f>SUM(M17:M28)</f>
        <v>35407.130673199987</v>
      </c>
      <c r="N16" s="10">
        <f>SUM(N17:N28)</f>
        <v>1.0000000000000002</v>
      </c>
      <c r="O16" s="95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100</v>
      </c>
      <c r="H17" s="79">
        <v>49.57</v>
      </c>
      <c r="I17" s="14">
        <f>H17*0.2232</f>
        <v>11.064024</v>
      </c>
      <c r="J17" s="14">
        <f>H17+I17</f>
        <v>60.634023999999997</v>
      </c>
      <c r="K17" s="14">
        <f>J17*(0.03%)</f>
        <v>1.8190207199999999E-2</v>
      </c>
      <c r="L17" s="14">
        <f>J17-K17</f>
        <v>60.615833792799997</v>
      </c>
      <c r="M17" s="14">
        <f>L17*G17</f>
        <v>6061.5833792799995</v>
      </c>
      <c r="N17" s="14">
        <f>M17/M$16</f>
        <v>0.17119668451044728</v>
      </c>
      <c r="O17" s="161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100</v>
      </c>
      <c r="H18" s="79">
        <v>38.36</v>
      </c>
      <c r="I18" s="14">
        <f t="shared" ref="I18:I28" si="0">H18*0.2232</f>
        <v>8.5619519999999998</v>
      </c>
      <c r="J18" s="14">
        <f t="shared" ref="J18:J28" si="1">H18+I18</f>
        <v>46.921951999999997</v>
      </c>
      <c r="K18" s="14">
        <f t="shared" ref="K18:K28" si="2">J18*(0.03%)</f>
        <v>1.4076585599999998E-2</v>
      </c>
      <c r="L18" s="14">
        <f t="shared" ref="L18:L28" si="3">J18-K18</f>
        <v>46.907875414399996</v>
      </c>
      <c r="M18" s="14">
        <f t="shared" ref="M18:M28" si="4">L18*G18</f>
        <v>4690.7875414399996</v>
      </c>
      <c r="N18" s="14">
        <f t="shared" ref="N18:N28" si="5">M18/M$16</f>
        <v>0.13248143671213958</v>
      </c>
      <c r="O18" s="161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100</v>
      </c>
      <c r="H19" s="79">
        <v>38.36</v>
      </c>
      <c r="I19" s="14">
        <f t="shared" si="0"/>
        <v>8.5619519999999998</v>
      </c>
      <c r="J19" s="14">
        <f t="shared" si="1"/>
        <v>46.921951999999997</v>
      </c>
      <c r="K19" s="14">
        <f t="shared" si="2"/>
        <v>1.4076585599999998E-2</v>
      </c>
      <c r="L19" s="14">
        <f t="shared" si="3"/>
        <v>46.907875414399996</v>
      </c>
      <c r="M19" s="14">
        <f t="shared" si="4"/>
        <v>4690.7875414399996</v>
      </c>
      <c r="N19" s="14">
        <f t="shared" si="5"/>
        <v>0.13248143671213958</v>
      </c>
      <c r="O19" s="161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17">
        <v>100</v>
      </c>
      <c r="H20" s="79">
        <v>31.51</v>
      </c>
      <c r="I20" s="14">
        <f t="shared" si="0"/>
        <v>7.0330320000000004</v>
      </c>
      <c r="J20" s="14">
        <f t="shared" si="1"/>
        <v>38.543032000000004</v>
      </c>
      <c r="K20" s="14">
        <f t="shared" si="2"/>
        <v>1.1562909600000001E-2</v>
      </c>
      <c r="L20" s="14">
        <f t="shared" si="3"/>
        <v>38.531469090400002</v>
      </c>
      <c r="M20" s="14">
        <f t="shared" si="4"/>
        <v>3853.1469090400001</v>
      </c>
      <c r="N20" s="14">
        <f t="shared" si="5"/>
        <v>0.10882403729925751</v>
      </c>
      <c r="O20" s="161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100</v>
      </c>
      <c r="H21" s="79">
        <v>31.51</v>
      </c>
      <c r="I21" s="14">
        <f t="shared" si="0"/>
        <v>7.0330320000000004</v>
      </c>
      <c r="J21" s="14">
        <f t="shared" si="1"/>
        <v>38.543032000000004</v>
      </c>
      <c r="K21" s="14">
        <f t="shared" si="2"/>
        <v>1.1562909600000001E-2</v>
      </c>
      <c r="L21" s="14">
        <f t="shared" si="3"/>
        <v>38.531469090400002</v>
      </c>
      <c r="M21" s="14">
        <f t="shared" si="4"/>
        <v>3853.1469090400001</v>
      </c>
      <c r="N21" s="14">
        <f t="shared" si="5"/>
        <v>0.10882403729925751</v>
      </c>
      <c r="O21" s="161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17">
        <v>100</v>
      </c>
      <c r="H22" s="79">
        <v>34.08</v>
      </c>
      <c r="I22" s="14">
        <f t="shared" si="0"/>
        <v>7.6066560000000001</v>
      </c>
      <c r="J22" s="14">
        <f t="shared" si="1"/>
        <v>41.686655999999999</v>
      </c>
      <c r="K22" s="14">
        <f t="shared" si="2"/>
        <v>1.2505996799999999E-2</v>
      </c>
      <c r="L22" s="14">
        <f t="shared" si="3"/>
        <v>41.674150003199998</v>
      </c>
      <c r="M22" s="14">
        <f t="shared" si="4"/>
        <v>4167.4150003199993</v>
      </c>
      <c r="N22" s="14">
        <f t="shared" si="5"/>
        <v>0.11769987912277674</v>
      </c>
      <c r="O22" s="161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100</v>
      </c>
      <c r="H23" s="79">
        <v>34.08</v>
      </c>
      <c r="I23" s="14">
        <f t="shared" si="0"/>
        <v>7.6066560000000001</v>
      </c>
      <c r="J23" s="14">
        <f t="shared" si="1"/>
        <v>41.686655999999999</v>
      </c>
      <c r="K23" s="14">
        <f t="shared" si="2"/>
        <v>1.2505996799999999E-2</v>
      </c>
      <c r="L23" s="14">
        <f t="shared" si="3"/>
        <v>41.674150003199998</v>
      </c>
      <c r="M23" s="14">
        <f t="shared" si="4"/>
        <v>4167.4150003199993</v>
      </c>
      <c r="N23" s="14">
        <f t="shared" si="5"/>
        <v>0.11769987912277674</v>
      </c>
      <c r="O23" s="161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17">
        <v>0</v>
      </c>
      <c r="H24" s="79">
        <v>32.08</v>
      </c>
      <c r="I24" s="14">
        <f t="shared" si="0"/>
        <v>7.1602559999999995</v>
      </c>
      <c r="J24" s="14">
        <f t="shared" si="1"/>
        <v>39.240255999999995</v>
      </c>
      <c r="K24" s="14">
        <f t="shared" si="2"/>
        <v>1.1772076799999998E-2</v>
      </c>
      <c r="L24" s="14">
        <f t="shared" si="3"/>
        <v>39.228483923199995</v>
      </c>
      <c r="M24" s="14">
        <f t="shared" si="4"/>
        <v>0</v>
      </c>
      <c r="N24" s="14">
        <f t="shared" si="5"/>
        <v>0</v>
      </c>
      <c r="O24" s="161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0</v>
      </c>
      <c r="H25" s="79">
        <v>32.08</v>
      </c>
      <c r="I25" s="14">
        <f t="shared" si="0"/>
        <v>7.1602559999999995</v>
      </c>
      <c r="J25" s="14">
        <f t="shared" si="1"/>
        <v>39.240255999999995</v>
      </c>
      <c r="K25" s="14">
        <f t="shared" si="2"/>
        <v>1.1772076799999998E-2</v>
      </c>
      <c r="L25" s="14">
        <f t="shared" si="3"/>
        <v>39.228483923199995</v>
      </c>
      <c r="M25" s="14">
        <f t="shared" si="4"/>
        <v>0</v>
      </c>
      <c r="N25" s="14">
        <f t="shared" si="5"/>
        <v>0</v>
      </c>
      <c r="O25" s="161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100</v>
      </c>
      <c r="H26" s="79">
        <v>32.08</v>
      </c>
      <c r="I26" s="14">
        <f t="shared" si="0"/>
        <v>7.1602559999999995</v>
      </c>
      <c r="J26" s="14">
        <f t="shared" si="1"/>
        <v>39.240255999999995</v>
      </c>
      <c r="K26" s="14">
        <f t="shared" si="2"/>
        <v>1.1772076799999998E-2</v>
      </c>
      <c r="L26" s="14">
        <f t="shared" si="3"/>
        <v>39.228483923199995</v>
      </c>
      <c r="M26" s="14">
        <f t="shared" si="4"/>
        <v>3922.8483923199997</v>
      </c>
      <c r="N26" s="14">
        <f t="shared" si="5"/>
        <v>0.11079260922120535</v>
      </c>
      <c r="O26" s="161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17">
        <v>0</v>
      </c>
      <c r="H27" s="79">
        <v>29.66</v>
      </c>
      <c r="I27" s="14">
        <f t="shared" si="0"/>
        <v>6.6201120000000007</v>
      </c>
      <c r="J27" s="14">
        <f t="shared" si="1"/>
        <v>36.280112000000003</v>
      </c>
      <c r="K27" s="14">
        <f t="shared" si="2"/>
        <v>1.0884033600000001E-2</v>
      </c>
      <c r="L27" s="14">
        <f t="shared" si="3"/>
        <v>36.269227966400003</v>
      </c>
      <c r="M27" s="14">
        <f t="shared" si="4"/>
        <v>0</v>
      </c>
      <c r="N27" s="14">
        <f t="shared" si="5"/>
        <v>0</v>
      </c>
      <c r="O27" s="161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17">
        <v>0</v>
      </c>
      <c r="H28" s="79">
        <v>29.66</v>
      </c>
      <c r="I28" s="14">
        <f t="shared" si="0"/>
        <v>6.6201120000000007</v>
      </c>
      <c r="J28" s="14">
        <f t="shared" si="1"/>
        <v>36.280112000000003</v>
      </c>
      <c r="K28" s="14">
        <f t="shared" si="2"/>
        <v>1.0884033600000001E-2</v>
      </c>
      <c r="L28" s="14">
        <f t="shared" si="3"/>
        <v>36.269227966400003</v>
      </c>
      <c r="M28" s="14">
        <f t="shared" si="4"/>
        <v>0</v>
      </c>
      <c r="N28" s="14">
        <f t="shared" si="5"/>
        <v>0</v>
      </c>
      <c r="O28" s="161"/>
    </row>
    <row r="29" spans="1:15" x14ac:dyDescent="0.25">
      <c r="A29" s="162" t="s">
        <v>16</v>
      </c>
      <c r="B29" s="122" t="s">
        <v>17</v>
      </c>
      <c r="C29" s="122" t="s">
        <v>18</v>
      </c>
      <c r="D29" s="122" t="s">
        <v>19</v>
      </c>
      <c r="E29" s="122" t="s">
        <v>20</v>
      </c>
      <c r="F29" s="122" t="s">
        <v>21</v>
      </c>
      <c r="G29" s="122" t="s">
        <v>22</v>
      </c>
      <c r="H29" s="175" t="s">
        <v>23</v>
      </c>
      <c r="I29" s="175"/>
      <c r="J29" s="175"/>
      <c r="K29" s="175"/>
      <c r="L29" s="176"/>
      <c r="M29" s="122" t="s">
        <v>24</v>
      </c>
      <c r="N29" s="122" t="s">
        <v>25</v>
      </c>
      <c r="O29" s="161"/>
    </row>
    <row r="30" spans="1:15" ht="17.100000000000001" customHeight="1" x14ac:dyDescent="0.25">
      <c r="A30" s="163"/>
      <c r="B30" s="123"/>
      <c r="C30" s="123"/>
      <c r="D30" s="123"/>
      <c r="E30" s="123"/>
      <c r="F30" s="123"/>
      <c r="G30" s="123"/>
      <c r="H30" s="4" t="s">
        <v>27</v>
      </c>
      <c r="I30" s="25" t="s">
        <v>36</v>
      </c>
      <c r="J30" s="3" t="s">
        <v>29</v>
      </c>
      <c r="K30" s="4" t="s">
        <v>52</v>
      </c>
      <c r="L30" s="3" t="s">
        <v>30</v>
      </c>
      <c r="M30" s="123"/>
      <c r="N30" s="123"/>
      <c r="O30" s="95"/>
    </row>
    <row r="31" spans="1:15" ht="17.100000000000001" customHeight="1" x14ac:dyDescent="0.25">
      <c r="A31" s="15">
        <v>2</v>
      </c>
      <c r="B31" s="177" t="s">
        <v>37</v>
      </c>
      <c r="C31" s="177"/>
      <c r="D31" s="178"/>
      <c r="E31" s="178"/>
      <c r="F31" s="178"/>
      <c r="G31" s="16"/>
      <c r="H31" s="56"/>
      <c r="I31" s="16"/>
      <c r="J31" s="16"/>
      <c r="K31" s="16"/>
      <c r="L31" s="16"/>
      <c r="M31" s="22">
        <f>SUM(M32:M51)</f>
        <v>22585.509082929311</v>
      </c>
      <c r="N31" s="16"/>
      <c r="O31" s="161"/>
    </row>
    <row r="32" spans="1:15" s="47" customFormat="1" ht="15" customHeight="1" x14ac:dyDescent="0.25">
      <c r="A32" s="18" t="s">
        <v>86</v>
      </c>
      <c r="B32" s="18" t="s">
        <v>81</v>
      </c>
      <c r="C32" s="18">
        <v>43132</v>
      </c>
      <c r="D32" s="18" t="s">
        <v>34</v>
      </c>
      <c r="E32" s="49" t="s">
        <v>122</v>
      </c>
      <c r="F32" s="18" t="s">
        <v>123</v>
      </c>
      <c r="G32" s="18">
        <v>10</v>
      </c>
      <c r="H32" s="83">
        <v>21.16</v>
      </c>
      <c r="I32" s="14">
        <f t="shared" ref="I32:I39" si="6">H32*0.1532</f>
        <v>3.2417120000000001</v>
      </c>
      <c r="J32" s="14">
        <f t="shared" ref="J32:J48" si="7">H32+I32</f>
        <v>24.401712</v>
      </c>
      <c r="K32" s="14">
        <f t="shared" ref="K32:K48" si="8">J32*(0.03%)</f>
        <v>7.3205135999999992E-3</v>
      </c>
      <c r="L32" s="14">
        <f t="shared" ref="L32:L48" si="9">J32-K32</f>
        <v>24.3943914864</v>
      </c>
      <c r="M32" s="14">
        <f t="shared" ref="M32:M48" si="10">L32*G32</f>
        <v>243.94391486399999</v>
      </c>
      <c r="N32" s="14">
        <f>M32/M31</f>
        <v>1.0800903976451824E-2</v>
      </c>
      <c r="O32" s="161"/>
    </row>
    <row r="33" spans="1:15" s="42" customFormat="1" ht="15" customHeight="1" x14ac:dyDescent="0.25">
      <c r="A33" s="18" t="s">
        <v>95</v>
      </c>
      <c r="B33" s="18" t="s">
        <v>81</v>
      </c>
      <c r="C33" s="18">
        <v>37596</v>
      </c>
      <c r="D33" s="18" t="s">
        <v>34</v>
      </c>
      <c r="E33" s="58" t="s">
        <v>124</v>
      </c>
      <c r="F33" s="18" t="s">
        <v>101</v>
      </c>
      <c r="G33" s="18">
        <v>300</v>
      </c>
      <c r="H33" s="84">
        <v>2.99</v>
      </c>
      <c r="I33" s="14">
        <f t="shared" si="6"/>
        <v>0.45806800000000003</v>
      </c>
      <c r="J33" s="14">
        <f t="shared" si="7"/>
        <v>3.4480680000000001</v>
      </c>
      <c r="K33" s="14">
        <f t="shared" si="8"/>
        <v>1.0344204E-3</v>
      </c>
      <c r="L33" s="14">
        <f t="shared" si="9"/>
        <v>3.4470335796000002</v>
      </c>
      <c r="M33" s="14">
        <f t="shared" si="10"/>
        <v>1034.1100738800001</v>
      </c>
      <c r="N33" s="14">
        <f t="shared" ref="N33:N48" si="11">M33/M32</f>
        <v>4.2391304347826093</v>
      </c>
      <c r="O33" s="161"/>
    </row>
    <row r="34" spans="1:15" s="48" customFormat="1" ht="15" customHeight="1" x14ac:dyDescent="0.25">
      <c r="A34" s="18" t="s">
        <v>87</v>
      </c>
      <c r="B34" s="18" t="s">
        <v>81</v>
      </c>
      <c r="C34" s="18">
        <v>39512</v>
      </c>
      <c r="D34" s="18" t="s">
        <v>34</v>
      </c>
      <c r="E34" s="62" t="s">
        <v>120</v>
      </c>
      <c r="F34" s="18" t="s">
        <v>121</v>
      </c>
      <c r="G34" s="63">
        <f>50*1.25*0.625</f>
        <v>39.0625</v>
      </c>
      <c r="H34" s="83">
        <v>126.56</v>
      </c>
      <c r="I34" s="14">
        <f t="shared" si="6"/>
        <v>19.388992000000002</v>
      </c>
      <c r="J34" s="14">
        <f t="shared" si="7"/>
        <v>145.948992</v>
      </c>
      <c r="K34" s="14">
        <f t="shared" si="8"/>
        <v>4.3784697599999998E-2</v>
      </c>
      <c r="L34" s="14">
        <f t="shared" si="9"/>
        <v>145.90520730240002</v>
      </c>
      <c r="M34" s="14">
        <f t="shared" si="10"/>
        <v>5699.4221602500002</v>
      </c>
      <c r="N34" s="14">
        <f t="shared" si="11"/>
        <v>5.5114269788182826</v>
      </c>
      <c r="O34" s="161"/>
    </row>
    <row r="35" spans="1:15" s="42" customFormat="1" ht="15" customHeight="1" x14ac:dyDescent="0.25">
      <c r="A35" s="18" t="s">
        <v>94</v>
      </c>
      <c r="B35" s="18" t="s">
        <v>81</v>
      </c>
      <c r="C35" s="18">
        <v>1379</v>
      </c>
      <c r="D35" s="18" t="s">
        <v>34</v>
      </c>
      <c r="E35" s="43" t="s">
        <v>104</v>
      </c>
      <c r="F35" s="18" t="s">
        <v>101</v>
      </c>
      <c r="G35" s="18">
        <v>3000</v>
      </c>
      <c r="H35" s="83">
        <v>0.62</v>
      </c>
      <c r="I35" s="14">
        <f t="shared" si="6"/>
        <v>9.4983999999999999E-2</v>
      </c>
      <c r="J35" s="14">
        <f t="shared" si="7"/>
        <v>0.71498399999999995</v>
      </c>
      <c r="K35" s="14">
        <f t="shared" si="8"/>
        <v>2.1449519999999997E-4</v>
      </c>
      <c r="L35" s="14">
        <f t="shared" si="9"/>
        <v>0.7147695047999999</v>
      </c>
      <c r="M35" s="14">
        <f t="shared" si="10"/>
        <v>2144.3085143999997</v>
      </c>
      <c r="N35" s="14">
        <f t="shared" si="11"/>
        <v>0.37623261694058147</v>
      </c>
      <c r="O35" s="161"/>
    </row>
    <row r="36" spans="1:15" s="42" customFormat="1" ht="15" customHeight="1" x14ac:dyDescent="0.25">
      <c r="A36" s="18" t="s">
        <v>82</v>
      </c>
      <c r="B36" s="18" t="s">
        <v>81</v>
      </c>
      <c r="C36" s="18">
        <v>43059</v>
      </c>
      <c r="D36" s="18" t="s">
        <v>34</v>
      </c>
      <c r="E36" s="64" t="s">
        <v>125</v>
      </c>
      <c r="F36" s="18" t="s">
        <v>101</v>
      </c>
      <c r="G36" s="18">
        <f>1.32*20</f>
        <v>26.400000000000002</v>
      </c>
      <c r="H36" s="83">
        <v>7.12</v>
      </c>
      <c r="I36" s="14">
        <f t="shared" si="6"/>
        <v>1.090784</v>
      </c>
      <c r="J36" s="14">
        <f t="shared" si="7"/>
        <v>8.2107840000000003</v>
      </c>
      <c r="K36" s="14">
        <f t="shared" si="8"/>
        <v>2.4632351999999999E-3</v>
      </c>
      <c r="L36" s="14">
        <f t="shared" si="9"/>
        <v>8.2083207647999998</v>
      </c>
      <c r="M36" s="14">
        <f t="shared" si="10"/>
        <v>216.69966819072002</v>
      </c>
      <c r="N36" s="14">
        <f t="shared" si="11"/>
        <v>0.10105806451612906</v>
      </c>
      <c r="O36" s="161"/>
    </row>
    <row r="37" spans="1:15" s="42" customFormat="1" ht="15" customHeight="1" x14ac:dyDescent="0.2">
      <c r="A37" s="18" t="s">
        <v>93</v>
      </c>
      <c r="B37" s="65" t="s">
        <v>81</v>
      </c>
      <c r="C37" s="23">
        <v>33</v>
      </c>
      <c r="D37" s="18" t="s">
        <v>34</v>
      </c>
      <c r="E37" s="24" t="s">
        <v>126</v>
      </c>
      <c r="F37" s="18" t="s">
        <v>101</v>
      </c>
      <c r="G37" s="18">
        <f>4.74*60</f>
        <v>284.40000000000003</v>
      </c>
      <c r="H37" s="84">
        <v>7.98</v>
      </c>
      <c r="I37" s="40">
        <f t="shared" si="6"/>
        <v>1.2225360000000001</v>
      </c>
      <c r="J37" s="40">
        <f t="shared" si="7"/>
        <v>9.2025360000000003</v>
      </c>
      <c r="K37" s="40">
        <f t="shared" si="8"/>
        <v>2.7607608E-3</v>
      </c>
      <c r="L37" s="40">
        <f t="shared" si="9"/>
        <v>9.199775239200001</v>
      </c>
      <c r="M37" s="40">
        <f t="shared" si="10"/>
        <v>2616.4160780284806</v>
      </c>
      <c r="N37" s="14">
        <f t="shared" si="11"/>
        <v>12.073927477017365</v>
      </c>
      <c r="O37" s="161"/>
    </row>
    <row r="38" spans="1:15" s="19" customFormat="1" ht="17.100000000000001" customHeight="1" x14ac:dyDescent="0.2">
      <c r="A38" s="18" t="s">
        <v>88</v>
      </c>
      <c r="B38" s="18" t="s">
        <v>81</v>
      </c>
      <c r="C38" s="18">
        <v>7194</v>
      </c>
      <c r="D38" s="18" t="s">
        <v>34</v>
      </c>
      <c r="E38" s="66" t="s">
        <v>127</v>
      </c>
      <c r="F38" s="18" t="s">
        <v>103</v>
      </c>
      <c r="G38" s="18">
        <f>20*1.1*2.44</f>
        <v>53.68</v>
      </c>
      <c r="H38" s="83">
        <v>24.96</v>
      </c>
      <c r="I38" s="14">
        <f t="shared" si="6"/>
        <v>3.8238720000000002</v>
      </c>
      <c r="J38" s="14">
        <f t="shared" si="7"/>
        <v>28.783872000000002</v>
      </c>
      <c r="K38" s="14">
        <f t="shared" si="8"/>
        <v>8.6351615999999999E-3</v>
      </c>
      <c r="L38" s="14">
        <f t="shared" si="9"/>
        <v>28.775236838400001</v>
      </c>
      <c r="M38" s="14">
        <f t="shared" si="10"/>
        <v>1544.654713485312</v>
      </c>
      <c r="N38" s="14">
        <f t="shared" si="11"/>
        <v>0.59037044087010759</v>
      </c>
      <c r="O38" s="161"/>
    </row>
    <row r="39" spans="1:15" s="45" customFormat="1" ht="15" customHeight="1" x14ac:dyDescent="0.25">
      <c r="A39" s="18" t="s">
        <v>96</v>
      </c>
      <c r="B39" s="18" t="s">
        <v>81</v>
      </c>
      <c r="C39" s="18">
        <v>34458</v>
      </c>
      <c r="D39" s="18" t="s">
        <v>34</v>
      </c>
      <c r="E39" s="44" t="s">
        <v>132</v>
      </c>
      <c r="F39" s="18" t="s">
        <v>21</v>
      </c>
      <c r="G39" s="18">
        <v>20</v>
      </c>
      <c r="H39" s="83">
        <v>138.69999999999999</v>
      </c>
      <c r="I39" s="14">
        <f t="shared" si="6"/>
        <v>21.248839999999998</v>
      </c>
      <c r="J39" s="14">
        <f t="shared" si="7"/>
        <v>159.94883999999999</v>
      </c>
      <c r="K39" s="14">
        <f t="shared" si="8"/>
        <v>4.7984651999999996E-2</v>
      </c>
      <c r="L39" s="14">
        <f t="shared" si="9"/>
        <v>159.90085534799999</v>
      </c>
      <c r="M39" s="14">
        <f t="shared" si="10"/>
        <v>3198.0171069600001</v>
      </c>
      <c r="N39" s="14">
        <f t="shared" si="11"/>
        <v>2.0703766861553747</v>
      </c>
      <c r="O39" s="161"/>
    </row>
    <row r="40" spans="1:15" s="19" customFormat="1" ht="17.100000000000001" customHeight="1" x14ac:dyDescent="0.2">
      <c r="A40" s="18" t="s">
        <v>89</v>
      </c>
      <c r="B40" s="18" t="s">
        <v>81</v>
      </c>
      <c r="C40" s="18">
        <v>4720</v>
      </c>
      <c r="D40" s="18" t="s">
        <v>34</v>
      </c>
      <c r="E40" s="64" t="s">
        <v>128</v>
      </c>
      <c r="F40" s="18" t="s">
        <v>129</v>
      </c>
      <c r="G40" s="18">
        <v>3</v>
      </c>
      <c r="H40" s="83">
        <v>89.8</v>
      </c>
      <c r="I40" s="14">
        <f t="shared" ref="I40:I48" si="12">H40*0.1532</f>
        <v>13.75736</v>
      </c>
      <c r="J40" s="14">
        <f t="shared" si="7"/>
        <v>103.55736</v>
      </c>
      <c r="K40" s="14">
        <f t="shared" si="8"/>
        <v>3.1067207999999999E-2</v>
      </c>
      <c r="L40" s="14">
        <f t="shared" si="9"/>
        <v>103.52629279200001</v>
      </c>
      <c r="M40" s="14">
        <f t="shared" si="10"/>
        <v>310.57887837600003</v>
      </c>
      <c r="N40" s="14">
        <f t="shared" si="11"/>
        <v>9.7116077865897626E-2</v>
      </c>
      <c r="O40" s="161"/>
    </row>
    <row r="41" spans="1:15" s="45" customFormat="1" ht="15" customHeight="1" x14ac:dyDescent="0.25">
      <c r="A41" s="18" t="s">
        <v>85</v>
      </c>
      <c r="B41" s="18" t="s">
        <v>81</v>
      </c>
      <c r="C41" s="18">
        <v>367</v>
      </c>
      <c r="D41" s="18" t="s">
        <v>34</v>
      </c>
      <c r="E41" s="43" t="s">
        <v>130</v>
      </c>
      <c r="F41" s="18" t="s">
        <v>129</v>
      </c>
      <c r="G41" s="18">
        <v>5</v>
      </c>
      <c r="H41" s="84">
        <v>86.11</v>
      </c>
      <c r="I41" s="14">
        <f t="shared" si="12"/>
        <v>13.192052</v>
      </c>
      <c r="J41" s="14">
        <f t="shared" si="7"/>
        <v>99.302052000000003</v>
      </c>
      <c r="K41" s="14">
        <f t="shared" si="8"/>
        <v>2.9790615599999997E-2</v>
      </c>
      <c r="L41" s="14">
        <f t="shared" si="9"/>
        <v>99.272261384399997</v>
      </c>
      <c r="M41" s="14">
        <f t="shared" si="10"/>
        <v>496.36130692199998</v>
      </c>
      <c r="N41" s="14">
        <f t="shared" si="11"/>
        <v>1.5981811432813657</v>
      </c>
      <c r="O41" s="161"/>
    </row>
    <row r="42" spans="1:15" s="48" customFormat="1" ht="15" customHeight="1" x14ac:dyDescent="0.25">
      <c r="A42" s="18" t="s">
        <v>83</v>
      </c>
      <c r="B42" s="18" t="s">
        <v>81</v>
      </c>
      <c r="C42" s="18">
        <v>11235</v>
      </c>
      <c r="D42" s="18" t="s">
        <v>34</v>
      </c>
      <c r="E42" s="62" t="s">
        <v>131</v>
      </c>
      <c r="F42" s="18" t="s">
        <v>21</v>
      </c>
      <c r="G42" s="63">
        <v>15</v>
      </c>
      <c r="H42" s="83">
        <v>188.65</v>
      </c>
      <c r="I42" s="14">
        <f t="shared" si="12"/>
        <v>28.90118</v>
      </c>
      <c r="J42" s="14">
        <f t="shared" si="7"/>
        <v>217.55118000000002</v>
      </c>
      <c r="K42" s="14">
        <f t="shared" si="8"/>
        <v>6.5265353999999998E-2</v>
      </c>
      <c r="L42" s="14">
        <f t="shared" si="9"/>
        <v>217.48591464600003</v>
      </c>
      <c r="M42" s="14">
        <f t="shared" si="10"/>
        <v>3262.2887196900006</v>
      </c>
      <c r="N42" s="14">
        <f t="shared" si="11"/>
        <v>6.5724073859017551</v>
      </c>
      <c r="O42" s="161"/>
    </row>
    <row r="43" spans="1:15" s="67" customFormat="1" ht="16.5" customHeight="1" x14ac:dyDescent="0.2">
      <c r="A43" s="18" t="s">
        <v>90</v>
      </c>
      <c r="B43" s="18" t="s">
        <v>81</v>
      </c>
      <c r="C43" s="18">
        <v>38194</v>
      </c>
      <c r="D43" s="18" t="s">
        <v>34</v>
      </c>
      <c r="E43" s="24" t="s">
        <v>136</v>
      </c>
      <c r="F43" s="18" t="s">
        <v>21</v>
      </c>
      <c r="G43" s="18">
        <v>10</v>
      </c>
      <c r="H43" s="79">
        <v>4.29</v>
      </c>
      <c r="I43" s="14">
        <f t="shared" si="12"/>
        <v>0.65722800000000003</v>
      </c>
      <c r="J43" s="14">
        <f t="shared" si="7"/>
        <v>4.947228</v>
      </c>
      <c r="K43" s="14">
        <f t="shared" si="8"/>
        <v>1.4841683999999998E-3</v>
      </c>
      <c r="L43" s="14">
        <f t="shared" si="9"/>
        <v>4.9457438315999998</v>
      </c>
      <c r="M43" s="14">
        <f t="shared" si="10"/>
        <v>49.457438315999994</v>
      </c>
      <c r="N43" s="14">
        <f t="shared" si="11"/>
        <v>1.5160349854227401E-2</v>
      </c>
      <c r="O43" s="161"/>
    </row>
    <row r="44" spans="1:15" s="48" customFormat="1" ht="15" customHeight="1" x14ac:dyDescent="0.25">
      <c r="A44" s="18" t="s">
        <v>97</v>
      </c>
      <c r="B44" s="18" t="s">
        <v>81</v>
      </c>
      <c r="C44" s="18">
        <v>13286</v>
      </c>
      <c r="D44" s="18" t="s">
        <v>138</v>
      </c>
      <c r="E44" s="62" t="s">
        <v>137</v>
      </c>
      <c r="F44" s="18" t="s">
        <v>21</v>
      </c>
      <c r="G44" s="68">
        <v>20</v>
      </c>
      <c r="H44" s="83">
        <v>22.99</v>
      </c>
      <c r="I44" s="14">
        <f t="shared" si="12"/>
        <v>3.522068</v>
      </c>
      <c r="J44" s="14">
        <f t="shared" si="7"/>
        <v>26.512067999999999</v>
      </c>
      <c r="K44" s="14">
        <f t="shared" si="8"/>
        <v>7.9536203999999999E-3</v>
      </c>
      <c r="L44" s="14">
        <f t="shared" si="9"/>
        <v>26.504114379600001</v>
      </c>
      <c r="M44" s="14">
        <f t="shared" si="10"/>
        <v>530.08228759200006</v>
      </c>
      <c r="N44" s="14">
        <f t="shared" si="11"/>
        <v>10.717948717948721</v>
      </c>
      <c r="O44" s="161"/>
    </row>
    <row r="45" spans="1:15" s="48" customFormat="1" ht="15" customHeight="1" x14ac:dyDescent="0.25">
      <c r="A45" s="18" t="s">
        <v>98</v>
      </c>
      <c r="B45" s="18" t="s">
        <v>81</v>
      </c>
      <c r="C45" s="18">
        <v>1185</v>
      </c>
      <c r="D45" s="18" t="s">
        <v>34</v>
      </c>
      <c r="E45" s="62" t="s">
        <v>139</v>
      </c>
      <c r="F45" s="18" t="s">
        <v>21</v>
      </c>
      <c r="G45" s="68">
        <v>10</v>
      </c>
      <c r="H45" s="83">
        <v>1.3</v>
      </c>
      <c r="I45" s="14">
        <f t="shared" si="12"/>
        <v>0.19916</v>
      </c>
      <c r="J45" s="14">
        <f t="shared" si="7"/>
        <v>1.49916</v>
      </c>
      <c r="K45" s="14">
        <f t="shared" si="8"/>
        <v>4.4974799999999998E-4</v>
      </c>
      <c r="L45" s="14">
        <f t="shared" si="9"/>
        <v>1.498710252</v>
      </c>
      <c r="M45" s="14">
        <f t="shared" si="10"/>
        <v>14.987102520000001</v>
      </c>
      <c r="N45" s="14">
        <f t="shared" si="11"/>
        <v>2.8273162244454107E-2</v>
      </c>
      <c r="O45" s="161"/>
    </row>
    <row r="46" spans="1:15" s="19" customFormat="1" ht="15" customHeight="1" x14ac:dyDescent="0.2">
      <c r="A46" s="18" t="s">
        <v>84</v>
      </c>
      <c r="B46" s="18" t="s">
        <v>81</v>
      </c>
      <c r="C46" s="18">
        <v>3534</v>
      </c>
      <c r="D46" s="18" t="s">
        <v>34</v>
      </c>
      <c r="E46" s="69" t="s">
        <v>140</v>
      </c>
      <c r="F46" s="18" t="s">
        <v>21</v>
      </c>
      <c r="G46" s="18">
        <v>10</v>
      </c>
      <c r="H46" s="83">
        <v>7.94</v>
      </c>
      <c r="I46" s="14">
        <f t="shared" si="12"/>
        <v>1.2164080000000002</v>
      </c>
      <c r="J46" s="14">
        <f t="shared" si="7"/>
        <v>9.1564080000000008</v>
      </c>
      <c r="K46" s="14">
        <f t="shared" si="8"/>
        <v>2.7469223999999999E-3</v>
      </c>
      <c r="L46" s="14">
        <f t="shared" si="9"/>
        <v>9.1536610776000007</v>
      </c>
      <c r="M46" s="14">
        <f t="shared" si="10"/>
        <v>91.536610776000003</v>
      </c>
      <c r="N46" s="14">
        <f t="shared" si="11"/>
        <v>6.1076923076923073</v>
      </c>
      <c r="O46" s="161"/>
    </row>
    <row r="47" spans="1:15" s="42" customFormat="1" ht="15" customHeight="1" x14ac:dyDescent="0.25">
      <c r="A47" s="18" t="s">
        <v>99</v>
      </c>
      <c r="B47" s="18" t="s">
        <v>81</v>
      </c>
      <c r="C47" s="18">
        <v>3529</v>
      </c>
      <c r="D47" s="18" t="s">
        <v>34</v>
      </c>
      <c r="E47" s="44" t="s">
        <v>141</v>
      </c>
      <c r="F47" s="18" t="s">
        <v>21</v>
      </c>
      <c r="G47" s="18">
        <v>30</v>
      </c>
      <c r="H47" s="85">
        <v>0.76</v>
      </c>
      <c r="I47" s="14">
        <f t="shared" si="12"/>
        <v>0.11643200000000001</v>
      </c>
      <c r="J47" s="14">
        <f t="shared" si="7"/>
        <v>0.87643199999999999</v>
      </c>
      <c r="K47" s="14">
        <f t="shared" si="8"/>
        <v>2.6292959999999995E-4</v>
      </c>
      <c r="L47" s="14">
        <f t="shared" si="9"/>
        <v>0.87616907040000003</v>
      </c>
      <c r="M47" s="14">
        <f t="shared" si="10"/>
        <v>26.285072112000002</v>
      </c>
      <c r="N47" s="14">
        <f t="shared" si="11"/>
        <v>0.2871536523929471</v>
      </c>
      <c r="O47" s="161"/>
    </row>
    <row r="48" spans="1:15" s="42" customFormat="1" ht="15" customHeight="1" x14ac:dyDescent="0.25">
      <c r="A48" s="18" t="s">
        <v>100</v>
      </c>
      <c r="B48" s="18" t="s">
        <v>81</v>
      </c>
      <c r="C48" s="18">
        <v>3536</v>
      </c>
      <c r="D48" s="18" t="s">
        <v>34</v>
      </c>
      <c r="E48" s="44" t="s">
        <v>142</v>
      </c>
      <c r="F48" s="18" t="s">
        <v>21</v>
      </c>
      <c r="G48" s="18">
        <v>15</v>
      </c>
      <c r="H48" s="85">
        <v>2.5299999999999998</v>
      </c>
      <c r="I48" s="14">
        <f t="shared" si="12"/>
        <v>0.387596</v>
      </c>
      <c r="J48" s="14">
        <f t="shared" si="7"/>
        <v>2.9175959999999996</v>
      </c>
      <c r="K48" s="14">
        <f t="shared" si="8"/>
        <v>8.7527879999999979E-4</v>
      </c>
      <c r="L48" s="14">
        <f t="shared" si="9"/>
        <v>2.9167207211999995</v>
      </c>
      <c r="M48" s="14">
        <f t="shared" si="10"/>
        <v>43.750810817999991</v>
      </c>
      <c r="N48" s="14">
        <f t="shared" si="11"/>
        <v>1.6644736842105259</v>
      </c>
      <c r="O48" s="161"/>
    </row>
    <row r="49" spans="1:16" s="42" customFormat="1" ht="17.25" customHeight="1" x14ac:dyDescent="0.25">
      <c r="A49" s="18" t="s">
        <v>91</v>
      </c>
      <c r="B49" s="18" t="s">
        <v>81</v>
      </c>
      <c r="C49" s="50" t="s">
        <v>145</v>
      </c>
      <c r="D49" s="50" t="s">
        <v>105</v>
      </c>
      <c r="E49" s="76" t="s">
        <v>146</v>
      </c>
      <c r="F49" s="18" t="s">
        <v>21</v>
      </c>
      <c r="G49" s="50">
        <v>2</v>
      </c>
      <c r="H49" s="86">
        <v>460.86</v>
      </c>
      <c r="I49" s="14">
        <f t="shared" ref="I49" si="13">H49*0.1532</f>
        <v>70.603752</v>
      </c>
      <c r="J49" s="14">
        <f t="shared" ref="J49" si="14">H49+I49</f>
        <v>531.463752</v>
      </c>
      <c r="K49" s="14">
        <f t="shared" ref="K49" si="15">J49*(0.03%)</f>
        <v>0.15943912559999998</v>
      </c>
      <c r="L49" s="14">
        <f t="shared" ref="L49" si="16">J49-K49</f>
        <v>531.30431287440001</v>
      </c>
      <c r="M49" s="14">
        <f t="shared" ref="M49" si="17">L49*G49</f>
        <v>1062.6086257488</v>
      </c>
      <c r="N49" s="14">
        <f>M49/M48</f>
        <v>24.28774703557313</v>
      </c>
      <c r="O49" s="161"/>
    </row>
    <row r="50" spans="1:16" s="42" customFormat="1" ht="17.25" customHeight="1" x14ac:dyDescent="0.25">
      <c r="A50" s="18"/>
      <c r="B50" s="18"/>
      <c r="C50" s="18"/>
      <c r="D50" s="18"/>
      <c r="E50" s="44"/>
      <c r="F50" s="18"/>
      <c r="G50" s="18"/>
      <c r="H50" s="41"/>
      <c r="I50" s="14"/>
      <c r="J50" s="14"/>
      <c r="K50" s="14"/>
      <c r="L50" s="14"/>
      <c r="M50" s="14"/>
      <c r="N50" s="14"/>
      <c r="O50" s="161"/>
    </row>
    <row r="51" spans="1:16" s="19" customFormat="1" ht="17.25" customHeight="1" x14ac:dyDescent="0.2">
      <c r="A51" s="18"/>
      <c r="B51" s="18"/>
      <c r="C51" s="23"/>
      <c r="D51" s="18"/>
      <c r="E51" s="24"/>
      <c r="F51" s="18"/>
      <c r="G51" s="18"/>
      <c r="H51" s="26"/>
      <c r="I51" s="14"/>
      <c r="J51" s="14"/>
      <c r="K51" s="14"/>
      <c r="L51" s="14"/>
      <c r="M51" s="14"/>
      <c r="N51" s="14"/>
      <c r="O51" s="161"/>
    </row>
    <row r="52" spans="1:16" s="27" customFormat="1" ht="17.100000000000001" customHeight="1" x14ac:dyDescent="0.25">
      <c r="A52" s="179" t="s">
        <v>16</v>
      </c>
      <c r="B52" s="118" t="s">
        <v>17</v>
      </c>
      <c r="C52" s="118" t="s">
        <v>18</v>
      </c>
      <c r="D52" s="118" t="s">
        <v>19</v>
      </c>
      <c r="E52" s="118" t="s">
        <v>20</v>
      </c>
      <c r="F52" s="118" t="s">
        <v>21</v>
      </c>
      <c r="G52" s="118" t="s">
        <v>22</v>
      </c>
      <c r="H52" s="120" t="s">
        <v>23</v>
      </c>
      <c r="I52" s="120"/>
      <c r="J52" s="120"/>
      <c r="K52" s="120"/>
      <c r="L52" s="121"/>
      <c r="M52" s="118" t="s">
        <v>24</v>
      </c>
      <c r="N52" s="118" t="s">
        <v>25</v>
      </c>
      <c r="O52" s="95"/>
    </row>
    <row r="53" spans="1:16" s="27" customFormat="1" ht="17.100000000000001" customHeight="1" x14ac:dyDescent="0.25">
      <c r="A53" s="180"/>
      <c r="B53" s="119"/>
      <c r="C53" s="119"/>
      <c r="D53" s="119"/>
      <c r="E53" s="119"/>
      <c r="F53" s="119"/>
      <c r="G53" s="119"/>
      <c r="H53" s="4" t="s">
        <v>27</v>
      </c>
      <c r="I53" s="4" t="s">
        <v>28</v>
      </c>
      <c r="J53" s="4" t="s">
        <v>29</v>
      </c>
      <c r="K53" s="4" t="s">
        <v>53</v>
      </c>
      <c r="L53" s="4" t="s">
        <v>30</v>
      </c>
      <c r="M53" s="119"/>
      <c r="N53" s="119"/>
      <c r="O53" s="95"/>
    </row>
    <row r="54" spans="1:16" s="28" customFormat="1" ht="17.100000000000001" customHeight="1" x14ac:dyDescent="0.2">
      <c r="A54" s="29">
        <v>3</v>
      </c>
      <c r="B54" s="164" t="s">
        <v>38</v>
      </c>
      <c r="C54" s="165"/>
      <c r="D54" s="165"/>
      <c r="E54" s="165"/>
      <c r="F54" s="166"/>
      <c r="G54" s="30"/>
      <c r="H54" s="30"/>
      <c r="I54" s="30"/>
      <c r="J54" s="30"/>
      <c r="K54" s="30"/>
      <c r="L54" s="30"/>
      <c r="M54" s="31">
        <f>SUM(M55:M69)</f>
        <v>27943.008911461071</v>
      </c>
      <c r="N54" s="30"/>
      <c r="O54" s="95"/>
    </row>
    <row r="55" spans="1:16" s="28" customFormat="1" ht="26.25" customHeight="1" x14ac:dyDescent="0.2">
      <c r="A55" s="32" t="s">
        <v>76</v>
      </c>
      <c r="B55" s="32" t="s">
        <v>33</v>
      </c>
      <c r="C55" s="32" t="s">
        <v>58</v>
      </c>
      <c r="D55" s="32" t="s">
        <v>34</v>
      </c>
      <c r="E55" s="33" t="s">
        <v>59</v>
      </c>
      <c r="F55" s="34" t="s">
        <v>35</v>
      </c>
      <c r="G55" s="32">
        <v>100</v>
      </c>
      <c r="H55" s="79">
        <v>34.08</v>
      </c>
      <c r="I55" s="35">
        <f>H55*0.2232</f>
        <v>7.6066560000000001</v>
      </c>
      <c r="J55" s="35">
        <f>H55+I55</f>
        <v>41.686655999999999</v>
      </c>
      <c r="K55" s="35">
        <f>J55*(0.03%)</f>
        <v>1.2505996799999999E-2</v>
      </c>
      <c r="L55" s="35">
        <f>J55-K55</f>
        <v>41.674150003199998</v>
      </c>
      <c r="M55" s="35">
        <f>L55*G55</f>
        <v>4167.4150003199993</v>
      </c>
      <c r="N55" s="35">
        <f>M55/M$16</f>
        <v>0.11769987912277674</v>
      </c>
      <c r="O55" s="161"/>
    </row>
    <row r="56" spans="1:16" s="28" customFormat="1" ht="23.25" customHeight="1" x14ac:dyDescent="0.2">
      <c r="A56" s="32" t="s">
        <v>78</v>
      </c>
      <c r="B56" s="32" t="s">
        <v>33</v>
      </c>
      <c r="C56" s="32" t="s">
        <v>60</v>
      </c>
      <c r="D56" s="32" t="s">
        <v>34</v>
      </c>
      <c r="E56" s="33" t="s">
        <v>61</v>
      </c>
      <c r="F56" s="34" t="s">
        <v>35</v>
      </c>
      <c r="G56" s="32">
        <v>100</v>
      </c>
      <c r="H56" s="79">
        <v>32.08</v>
      </c>
      <c r="I56" s="35">
        <f>H56*0.2232</f>
        <v>7.1602559999999995</v>
      </c>
      <c r="J56" s="35">
        <f>H56+I56</f>
        <v>39.240255999999995</v>
      </c>
      <c r="K56" s="35">
        <f>J56*(0.03%)</f>
        <v>1.1772076799999998E-2</v>
      </c>
      <c r="L56" s="35">
        <f>J56-K56</f>
        <v>39.228483923199995</v>
      </c>
      <c r="M56" s="35">
        <f>L56*G56</f>
        <v>3922.8483923199997</v>
      </c>
      <c r="N56" s="35">
        <f>M56/M$16</f>
        <v>0.11079260922120535</v>
      </c>
      <c r="O56" s="161"/>
    </row>
    <row r="57" spans="1:16" s="28" customFormat="1" ht="23.25" customHeight="1" x14ac:dyDescent="0.2">
      <c r="A57" s="11" t="s">
        <v>77</v>
      </c>
      <c r="B57" s="11" t="s">
        <v>33</v>
      </c>
      <c r="C57" s="11">
        <v>88310</v>
      </c>
      <c r="D57" s="11" t="s">
        <v>34</v>
      </c>
      <c r="E57" s="20" t="s">
        <v>79</v>
      </c>
      <c r="F57" s="13" t="s">
        <v>35</v>
      </c>
      <c r="G57" s="11">
        <v>100</v>
      </c>
      <c r="H57" s="79">
        <v>36.82</v>
      </c>
      <c r="I57" s="14">
        <f>H57*0.2232</f>
        <v>8.2182240000000011</v>
      </c>
      <c r="J57" s="14">
        <f>H57+I57</f>
        <v>45.038224</v>
      </c>
      <c r="K57" s="14">
        <f>J57*(0.03%)</f>
        <v>1.3511467199999998E-2</v>
      </c>
      <c r="L57" s="14">
        <f>J57-K57</f>
        <v>45.024712532800002</v>
      </c>
      <c r="M57" s="14">
        <f>L57*G57</f>
        <v>4502.4712532800004</v>
      </c>
      <c r="N57" s="14">
        <f>M57/M$16</f>
        <v>0.12716283888792959</v>
      </c>
      <c r="O57" s="161"/>
    </row>
    <row r="58" spans="1:16" s="28" customFormat="1" ht="23.25" customHeight="1" x14ac:dyDescent="0.2">
      <c r="A58" s="70" t="s">
        <v>80</v>
      </c>
      <c r="B58" s="71" t="s">
        <v>33</v>
      </c>
      <c r="C58" s="72">
        <v>93588</v>
      </c>
      <c r="D58" s="72" t="s">
        <v>34</v>
      </c>
      <c r="E58" s="73" t="s">
        <v>143</v>
      </c>
      <c r="F58" s="74" t="s">
        <v>144</v>
      </c>
      <c r="G58" s="72">
        <f>8*17</f>
        <v>136</v>
      </c>
      <c r="H58" s="80">
        <v>3.29</v>
      </c>
      <c r="I58" s="75">
        <f>H58*0.2232</f>
        <v>0.73432800000000009</v>
      </c>
      <c r="J58" s="75">
        <f>H58+I58</f>
        <v>4.0243280000000006</v>
      </c>
      <c r="K58" s="75">
        <f>J58*(0.03%)</f>
        <v>1.2072984E-3</v>
      </c>
      <c r="L58" s="75">
        <f>J58-K58</f>
        <v>4.0231207016000008</v>
      </c>
      <c r="M58" s="75">
        <f>L58*G58</f>
        <v>547.14441541760016</v>
      </c>
      <c r="N58" s="75">
        <f>M58/M57</f>
        <v>0.12152091254752855</v>
      </c>
      <c r="O58" s="161"/>
    </row>
    <row r="59" spans="1:16" s="28" customFormat="1" ht="23.25" customHeight="1" x14ac:dyDescent="0.2">
      <c r="A59" s="174" t="s">
        <v>147</v>
      </c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61"/>
    </row>
    <row r="60" spans="1:16" s="28" customFormat="1" ht="23.25" customHeight="1" x14ac:dyDescent="0.2">
      <c r="A60" s="11" t="s">
        <v>106</v>
      </c>
      <c r="B60" s="11" t="s">
        <v>33</v>
      </c>
      <c r="C60" s="11">
        <v>104803</v>
      </c>
      <c r="D60" s="11" t="s">
        <v>34</v>
      </c>
      <c r="E60" s="20" t="s">
        <v>111</v>
      </c>
      <c r="F60" s="13" t="s">
        <v>102</v>
      </c>
      <c r="G60" s="11">
        <v>42</v>
      </c>
      <c r="H60" s="79">
        <v>6.08</v>
      </c>
      <c r="I60" s="40">
        <f t="shared" ref="I60" si="18">H60*0.2232</f>
        <v>1.357056</v>
      </c>
      <c r="J60" s="40">
        <f t="shared" ref="J60" si="19">H60+I60</f>
        <v>7.4370560000000001</v>
      </c>
      <c r="K60" s="40">
        <f t="shared" ref="K60" si="20">J60*(0.03%)</f>
        <v>2.2311167999999998E-3</v>
      </c>
      <c r="L60" s="40">
        <f t="shared" ref="L60" si="21">J60-K60</f>
        <v>7.4348248832000001</v>
      </c>
      <c r="M60" s="40">
        <f t="shared" ref="M60" si="22">L60*G60</f>
        <v>312.2626450944</v>
      </c>
      <c r="N60" s="35">
        <f t="shared" ref="N60" si="23">M60/M$16</f>
        <v>8.8192022103263726E-3</v>
      </c>
      <c r="O60" s="161"/>
    </row>
    <row r="61" spans="1:16" s="28" customFormat="1" ht="23.25" customHeight="1" x14ac:dyDescent="0.2">
      <c r="A61" s="11" t="s">
        <v>107</v>
      </c>
      <c r="B61" s="11" t="s">
        <v>33</v>
      </c>
      <c r="C61" s="11">
        <v>94228</v>
      </c>
      <c r="D61" s="11" t="s">
        <v>34</v>
      </c>
      <c r="E61" s="20" t="s">
        <v>112</v>
      </c>
      <c r="F61" s="13" t="s">
        <v>102</v>
      </c>
      <c r="G61" s="11">
        <v>42</v>
      </c>
      <c r="H61" s="79">
        <v>91.56</v>
      </c>
      <c r="I61" s="14">
        <f t="shared" ref="I61:I63" si="24">H61*0.2232</f>
        <v>20.436192000000002</v>
      </c>
      <c r="J61" s="14">
        <f t="shared" ref="J61:J63" si="25">H61+I61</f>
        <v>111.99619200000001</v>
      </c>
      <c r="K61" s="14">
        <f t="shared" ref="K61:K63" si="26">J61*(0.03%)</f>
        <v>3.3598857599999997E-2</v>
      </c>
      <c r="L61" s="14">
        <f t="shared" ref="L61:L63" si="27">J61-K61</f>
        <v>111.96259314240001</v>
      </c>
      <c r="M61" s="14">
        <f t="shared" ref="M61:M63" si="28">L61*G61</f>
        <v>4702.4289119808</v>
      </c>
      <c r="N61" s="14">
        <f t="shared" ref="N61:N63" si="29">M61/M$16</f>
        <v>0.13281022275945437</v>
      </c>
      <c r="O61" s="161"/>
      <c r="P61" s="59"/>
    </row>
    <row r="62" spans="1:16" s="28" customFormat="1" ht="23.25" customHeight="1" x14ac:dyDescent="0.2">
      <c r="A62" s="11" t="s">
        <v>115</v>
      </c>
      <c r="B62" s="11" t="s">
        <v>33</v>
      </c>
      <c r="C62" s="11">
        <v>88323</v>
      </c>
      <c r="D62" s="11" t="s">
        <v>34</v>
      </c>
      <c r="E62" s="20" t="s">
        <v>108</v>
      </c>
      <c r="F62" s="13" t="s">
        <v>109</v>
      </c>
      <c r="G62" s="11">
        <v>16</v>
      </c>
      <c r="H62" s="79">
        <v>33.619999999999997</v>
      </c>
      <c r="I62" s="14">
        <f t="shared" si="24"/>
        <v>7.503984</v>
      </c>
      <c r="J62" s="14">
        <f t="shared" si="25"/>
        <v>41.123984</v>
      </c>
      <c r="K62" s="14">
        <f t="shared" si="26"/>
        <v>1.23371952E-2</v>
      </c>
      <c r="L62" s="14">
        <f t="shared" si="27"/>
        <v>41.111646804800003</v>
      </c>
      <c r="M62" s="14">
        <f t="shared" si="28"/>
        <v>657.78634887680005</v>
      </c>
      <c r="N62" s="14">
        <f t="shared" si="29"/>
        <v>1.8577793127266456E-2</v>
      </c>
      <c r="O62" s="161"/>
    </row>
    <row r="63" spans="1:16" s="28" customFormat="1" ht="23.25" customHeight="1" x14ac:dyDescent="0.2">
      <c r="A63" s="11" t="s">
        <v>116</v>
      </c>
      <c r="B63" s="11" t="s">
        <v>33</v>
      </c>
      <c r="C63" s="11">
        <v>88316</v>
      </c>
      <c r="D63" s="11" t="s">
        <v>34</v>
      </c>
      <c r="E63" s="20" t="s">
        <v>110</v>
      </c>
      <c r="F63" s="13" t="s">
        <v>109</v>
      </c>
      <c r="G63" s="11">
        <v>16</v>
      </c>
      <c r="H63" s="79">
        <v>29.77</v>
      </c>
      <c r="I63" s="14">
        <f t="shared" si="24"/>
        <v>6.6446640000000006</v>
      </c>
      <c r="J63" s="14">
        <f t="shared" si="25"/>
        <v>36.414664000000002</v>
      </c>
      <c r="K63" s="14">
        <f t="shared" si="26"/>
        <v>1.0924399199999999E-2</v>
      </c>
      <c r="L63" s="14">
        <f t="shared" si="27"/>
        <v>36.403739600800002</v>
      </c>
      <c r="M63" s="14">
        <f t="shared" si="28"/>
        <v>582.45983361280003</v>
      </c>
      <c r="N63" s="14">
        <f t="shared" si="29"/>
        <v>1.6450353997582462E-2</v>
      </c>
      <c r="O63" s="161"/>
      <c r="P63" s="59"/>
    </row>
    <row r="64" spans="1:16" s="28" customFormat="1" ht="23.25" customHeight="1" x14ac:dyDescent="0.2">
      <c r="A64" s="172" t="s">
        <v>152</v>
      </c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3"/>
      <c r="N64" s="14"/>
      <c r="O64" s="161"/>
    </row>
    <row r="65" spans="1:18" s="28" customFormat="1" ht="23.25" customHeight="1" x14ac:dyDescent="0.2">
      <c r="A65" s="40" t="s">
        <v>114</v>
      </c>
      <c r="B65" s="32" t="s">
        <v>33</v>
      </c>
      <c r="C65" s="60" t="s">
        <v>118</v>
      </c>
      <c r="D65" s="60" t="s">
        <v>34</v>
      </c>
      <c r="E65" s="61" t="s">
        <v>119</v>
      </c>
      <c r="F65" s="60" t="s">
        <v>103</v>
      </c>
      <c r="G65" s="60">
        <v>427.38</v>
      </c>
      <c r="H65" s="81">
        <v>14.98</v>
      </c>
      <c r="I65" s="40">
        <f t="shared" ref="I65" si="30">H65*0.2232</f>
        <v>3.3435360000000003</v>
      </c>
      <c r="J65" s="40">
        <f t="shared" ref="J65" si="31">H65+I65</f>
        <v>18.323536000000001</v>
      </c>
      <c r="K65" s="40">
        <f t="shared" ref="K65" si="32">J65*(0.03%)</f>
        <v>5.4970608000000001E-3</v>
      </c>
      <c r="L65" s="40">
        <f t="shared" ref="L65" si="33">J65-K65</f>
        <v>18.318038939200001</v>
      </c>
      <c r="M65" s="40">
        <f t="shared" ref="M65" si="34">L65*G65</f>
        <v>7828.7634818352963</v>
      </c>
      <c r="N65" s="14"/>
      <c r="O65" s="161"/>
    </row>
    <row r="66" spans="1:18" s="28" customFormat="1" ht="23.25" customHeight="1" x14ac:dyDescent="0.2">
      <c r="A66" s="40" t="s">
        <v>113</v>
      </c>
      <c r="B66" s="32" t="s">
        <v>33</v>
      </c>
      <c r="C66" s="60">
        <v>88488</v>
      </c>
      <c r="D66" s="60" t="s">
        <v>34</v>
      </c>
      <c r="E66" s="61" t="s">
        <v>117</v>
      </c>
      <c r="F66" s="60" t="s">
        <v>103</v>
      </c>
      <c r="G66" s="60">
        <v>7.26</v>
      </c>
      <c r="H66" s="81">
        <v>17.97</v>
      </c>
      <c r="I66" s="40">
        <f t="shared" ref="I66" si="35">H66*0.2232</f>
        <v>4.010904</v>
      </c>
      <c r="J66" s="40">
        <f t="shared" ref="J66" si="36">H66+I66</f>
        <v>21.980903999999999</v>
      </c>
      <c r="K66" s="40">
        <f t="shared" ref="K66" si="37">J66*(0.03%)</f>
        <v>6.5942711999999988E-3</v>
      </c>
      <c r="L66" s="40">
        <f t="shared" ref="L66" si="38">J66-K66</f>
        <v>21.974309728799998</v>
      </c>
      <c r="M66" s="40">
        <f t="shared" ref="M66" si="39">L66*G66</f>
        <v>159.53348863108798</v>
      </c>
      <c r="N66" s="14">
        <f>M66/M54</f>
        <v>5.7092451688570273E-3</v>
      </c>
      <c r="O66" s="161"/>
    </row>
    <row r="67" spans="1:18" s="28" customFormat="1" ht="23.25" customHeight="1" x14ac:dyDescent="0.2">
      <c r="A67" s="40" t="s">
        <v>148</v>
      </c>
      <c r="B67" s="32" t="s">
        <v>33</v>
      </c>
      <c r="C67" s="60">
        <v>100746</v>
      </c>
      <c r="D67" s="60" t="s">
        <v>34</v>
      </c>
      <c r="E67" s="77" t="s">
        <v>149</v>
      </c>
      <c r="F67" s="60" t="s">
        <v>103</v>
      </c>
      <c r="G67" s="60">
        <f>2.1*1.6*3</f>
        <v>10.080000000000002</v>
      </c>
      <c r="H67" s="81">
        <v>31.09</v>
      </c>
      <c r="I67" s="40">
        <f>H67*0.2232</f>
        <v>6.9392880000000003</v>
      </c>
      <c r="J67" s="40">
        <f>H67+I67</f>
        <v>38.029288000000001</v>
      </c>
      <c r="K67" s="40">
        <f>J67*(0.03%)</f>
        <v>1.1408786399999999E-2</v>
      </c>
      <c r="L67" s="40">
        <f>J67-K67</f>
        <v>38.017879213600004</v>
      </c>
      <c r="M67" s="40">
        <f>L67*G67</f>
        <v>383.22022247308809</v>
      </c>
      <c r="N67" s="35">
        <f>M67/M$16</f>
        <v>1.0823249870488695E-2</v>
      </c>
      <c r="O67" s="161"/>
    </row>
    <row r="68" spans="1:18" s="28" customFormat="1" ht="23.25" customHeight="1" x14ac:dyDescent="0.2">
      <c r="A68" s="40" t="s">
        <v>150</v>
      </c>
      <c r="B68" s="32" t="s">
        <v>33</v>
      </c>
      <c r="C68" s="50">
        <v>96135</v>
      </c>
      <c r="D68" s="50" t="s">
        <v>34</v>
      </c>
      <c r="E68" s="78" t="s">
        <v>151</v>
      </c>
      <c r="F68" s="50" t="s">
        <v>103</v>
      </c>
      <c r="G68" s="50">
        <v>4</v>
      </c>
      <c r="H68" s="82">
        <v>36.119999999999997</v>
      </c>
      <c r="I68" s="40">
        <f>H68*0.2232</f>
        <v>8.0619839999999989</v>
      </c>
      <c r="J68" s="40">
        <f>H68+I68</f>
        <v>44.181984</v>
      </c>
      <c r="K68" s="40">
        <f>J68*(0.03%)</f>
        <v>1.3254595199999998E-2</v>
      </c>
      <c r="L68" s="40">
        <f>J68-K68</f>
        <v>44.168729404799997</v>
      </c>
      <c r="M68" s="40">
        <f>L68*G68</f>
        <v>176.67491761919999</v>
      </c>
      <c r="N68" s="35">
        <f>M68/M$16</f>
        <v>4.9898117768951838E-3</v>
      </c>
      <c r="O68" s="161"/>
    </row>
    <row r="69" spans="1:18" s="28" customFormat="1" ht="23.25" customHeight="1" x14ac:dyDescent="0.2">
      <c r="A69" s="51"/>
      <c r="B69" s="11"/>
      <c r="C69" s="52"/>
      <c r="D69" s="11"/>
      <c r="E69" s="53"/>
      <c r="F69" s="52"/>
      <c r="G69" s="52"/>
      <c r="H69" s="54"/>
      <c r="I69" s="14"/>
      <c r="J69" s="14"/>
      <c r="K69" s="14"/>
      <c r="L69" s="14"/>
      <c r="M69" s="14"/>
      <c r="N69" s="14"/>
      <c r="O69" s="161"/>
    </row>
    <row r="70" spans="1:18" s="39" customFormat="1" ht="17.100000000000001" customHeight="1" x14ac:dyDescent="0.2">
      <c r="A70" s="36"/>
      <c r="B70" s="36"/>
      <c r="C70" s="36"/>
      <c r="D70" s="36"/>
      <c r="E70" s="36"/>
      <c r="F70" s="36"/>
      <c r="G70" s="36"/>
      <c r="H70" s="57"/>
      <c r="I70" s="36"/>
      <c r="J70" s="36"/>
      <c r="K70" s="36"/>
      <c r="L70" s="36"/>
      <c r="M70" s="36"/>
      <c r="N70" s="36"/>
      <c r="O70" s="161"/>
      <c r="R70" s="87">
        <v>65533.787305197642</v>
      </c>
    </row>
    <row r="71" spans="1:18" s="39" customFormat="1" ht="17.100000000000001" customHeight="1" x14ac:dyDescent="0.2">
      <c r="A71" s="167"/>
      <c r="B71" s="168"/>
      <c r="C71" s="168"/>
      <c r="D71" s="168"/>
      <c r="E71" s="168"/>
      <c r="F71" s="168"/>
      <c r="G71" s="168"/>
      <c r="H71" s="37" t="s">
        <v>39</v>
      </c>
      <c r="I71" s="38"/>
      <c r="J71" s="169">
        <f>M16+M31+M54</f>
        <v>85935.648667590372</v>
      </c>
      <c r="K71" s="170"/>
      <c r="L71" s="170"/>
      <c r="M71" s="170"/>
      <c r="N71" s="171"/>
      <c r="O71" s="95"/>
      <c r="P71" s="46"/>
    </row>
    <row r="72" spans="1:18" ht="17.100000000000001" customHeight="1" x14ac:dyDescent="0.25">
      <c r="A72" s="149" t="s">
        <v>135</v>
      </c>
      <c r="B72" s="100"/>
      <c r="C72" s="100"/>
      <c r="D72" s="100"/>
      <c r="E72" s="100"/>
      <c r="F72" s="100"/>
      <c r="G72" s="100"/>
      <c r="H72" s="97"/>
      <c r="I72" s="97"/>
      <c r="J72" s="97"/>
      <c r="K72" s="97"/>
      <c r="L72" s="97"/>
      <c r="M72" s="97"/>
      <c r="N72" s="98"/>
      <c r="O72" s="95"/>
      <c r="R72" s="88">
        <f>J71+R70</f>
        <v>151469.43597278802</v>
      </c>
    </row>
    <row r="73" spans="1:18" ht="17.100000000000001" customHeight="1" x14ac:dyDescent="0.25">
      <c r="A73" s="99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1"/>
      <c r="O73" s="95"/>
    </row>
    <row r="74" spans="1:18" ht="17.100000000000001" customHeight="1" x14ac:dyDescent="0.25">
      <c r="A74" s="99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1"/>
      <c r="O74" s="95"/>
    </row>
    <row r="75" spans="1:18" ht="17.100000000000001" customHeight="1" x14ac:dyDescent="0.25">
      <c r="A75" s="99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1"/>
      <c r="O75" s="95"/>
    </row>
    <row r="76" spans="1:18" ht="17.100000000000001" customHeight="1" x14ac:dyDescent="0.25">
      <c r="A76" s="99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1"/>
      <c r="O76" s="95"/>
    </row>
    <row r="77" spans="1:18" ht="17.100000000000001" customHeight="1" x14ac:dyDescent="0.25">
      <c r="A77" s="99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1"/>
      <c r="O77" s="95"/>
    </row>
    <row r="78" spans="1:18" ht="17.100000000000001" customHeight="1" x14ac:dyDescent="0.25">
      <c r="A78" s="102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4"/>
      <c r="O78" s="95"/>
    </row>
    <row r="79" spans="1:18" ht="17.100000000000001" customHeight="1" x14ac:dyDescent="0.25">
      <c r="A79" s="124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6"/>
    </row>
    <row r="80" spans="1:18" ht="17.100000000000001" customHeight="1" x14ac:dyDescent="0.25">
      <c r="A80" s="127" t="s">
        <v>40</v>
      </c>
      <c r="B80" s="128"/>
      <c r="C80" s="128"/>
      <c r="D80" s="128"/>
      <c r="E80" s="128"/>
      <c r="F80" s="128"/>
      <c r="G80" s="129" t="s">
        <v>41</v>
      </c>
      <c r="H80" s="129"/>
      <c r="I80" s="129"/>
      <c r="J80" s="129"/>
      <c r="K80" s="130"/>
      <c r="L80" s="131"/>
      <c r="M80" s="131"/>
      <c r="N80" s="132"/>
      <c r="O80" s="95" t="s">
        <v>42</v>
      </c>
    </row>
    <row r="81" spans="1:15" ht="17.100000000000001" customHeight="1" x14ac:dyDescent="0.25">
      <c r="A81" s="137" t="s">
        <v>43</v>
      </c>
      <c r="B81" s="138"/>
      <c r="C81" s="138"/>
      <c r="D81" s="138"/>
      <c r="E81" s="138"/>
      <c r="F81" s="139"/>
      <c r="G81" s="143" t="s">
        <v>44</v>
      </c>
      <c r="H81" s="138"/>
      <c r="I81" s="138"/>
      <c r="J81" s="139"/>
      <c r="K81" s="133"/>
      <c r="L81" s="134"/>
      <c r="M81" s="134"/>
      <c r="N81" s="135"/>
      <c r="O81" s="95"/>
    </row>
    <row r="82" spans="1:15" ht="17.100000000000001" customHeight="1" x14ac:dyDescent="0.25">
      <c r="A82" s="140"/>
      <c r="B82" s="141"/>
      <c r="C82" s="141"/>
      <c r="D82" s="141"/>
      <c r="E82" s="141"/>
      <c r="F82" s="142"/>
      <c r="G82" s="144"/>
      <c r="H82" s="141"/>
      <c r="I82" s="141"/>
      <c r="J82" s="142"/>
      <c r="K82" s="133"/>
      <c r="L82" s="134"/>
      <c r="M82" s="134"/>
      <c r="N82" s="135"/>
      <c r="O82" s="95"/>
    </row>
    <row r="83" spans="1:15" ht="17.100000000000001" customHeight="1" x14ac:dyDescent="0.25">
      <c r="A83" s="140"/>
      <c r="B83" s="141"/>
      <c r="C83" s="141"/>
      <c r="D83" s="141"/>
      <c r="E83" s="141"/>
      <c r="F83" s="142"/>
      <c r="G83" s="144"/>
      <c r="H83" s="141"/>
      <c r="I83" s="141"/>
      <c r="J83" s="142"/>
      <c r="K83" s="133"/>
      <c r="L83" s="134"/>
      <c r="M83" s="134"/>
      <c r="N83" s="135"/>
      <c r="O83" s="95"/>
    </row>
    <row r="84" spans="1:15" ht="17.100000000000001" customHeight="1" x14ac:dyDescent="0.25">
      <c r="A84" s="140"/>
      <c r="B84" s="141"/>
      <c r="C84" s="141"/>
      <c r="D84" s="141"/>
      <c r="E84" s="141"/>
      <c r="F84" s="142"/>
      <c r="G84" s="144"/>
      <c r="H84" s="141"/>
      <c r="I84" s="141"/>
      <c r="J84" s="142"/>
      <c r="K84" s="133"/>
      <c r="L84" s="134"/>
      <c r="M84" s="134"/>
      <c r="N84" s="135"/>
      <c r="O84" s="95"/>
    </row>
    <row r="85" spans="1:15" ht="17.100000000000001" customHeight="1" x14ac:dyDescent="0.25">
      <c r="A85" s="140"/>
      <c r="B85" s="141"/>
      <c r="C85" s="141"/>
      <c r="D85" s="141"/>
      <c r="E85" s="141"/>
      <c r="F85" s="142"/>
      <c r="G85" s="144"/>
      <c r="H85" s="141"/>
      <c r="I85" s="141"/>
      <c r="J85" s="142"/>
      <c r="K85" s="133"/>
      <c r="L85" s="134"/>
      <c r="M85" s="134"/>
      <c r="N85" s="135"/>
      <c r="O85" s="95"/>
    </row>
    <row r="86" spans="1:15" ht="17.100000000000001" customHeight="1" x14ac:dyDescent="0.25">
      <c r="A86" s="140"/>
      <c r="B86" s="141"/>
      <c r="C86" s="141"/>
      <c r="D86" s="141"/>
      <c r="E86" s="141"/>
      <c r="F86" s="142"/>
      <c r="G86" s="144"/>
      <c r="H86" s="141"/>
      <c r="I86" s="141"/>
      <c r="J86" s="142"/>
      <c r="K86" s="133"/>
      <c r="L86" s="134"/>
      <c r="M86" s="134"/>
      <c r="N86" s="135"/>
      <c r="O86" s="95"/>
    </row>
    <row r="87" spans="1:15" ht="17.100000000000001" customHeight="1" x14ac:dyDescent="0.25">
      <c r="A87" s="140"/>
      <c r="B87" s="141"/>
      <c r="C87" s="141"/>
      <c r="D87" s="141"/>
      <c r="E87" s="141"/>
      <c r="F87" s="142"/>
      <c r="G87" s="144"/>
      <c r="H87" s="141"/>
      <c r="I87" s="141"/>
      <c r="J87" s="142"/>
      <c r="K87" s="133"/>
      <c r="L87" s="134"/>
      <c r="M87" s="134"/>
      <c r="N87" s="135"/>
      <c r="O87" s="95"/>
    </row>
    <row r="88" spans="1:15" ht="17.100000000000001" customHeight="1" thickBot="1" x14ac:dyDescent="0.3">
      <c r="A88" s="140"/>
      <c r="B88" s="141"/>
      <c r="C88" s="141"/>
      <c r="D88" s="141"/>
      <c r="E88" s="141"/>
      <c r="F88" s="142"/>
      <c r="G88" s="144"/>
      <c r="H88" s="141"/>
      <c r="I88" s="141"/>
      <c r="J88" s="142"/>
      <c r="K88" s="133"/>
      <c r="L88" s="134"/>
      <c r="M88" s="134"/>
      <c r="N88" s="135"/>
      <c r="O88" s="136"/>
    </row>
    <row r="89" spans="1:15" ht="17.100000000000001" customHeight="1" thickBot="1" x14ac:dyDescent="0.3">
      <c r="A89" s="146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8"/>
    </row>
    <row r="90" spans="1:15" ht="17.100000000000001" customHeight="1" x14ac:dyDescent="0.25">
      <c r="A90" s="149" t="s">
        <v>45</v>
      </c>
      <c r="B90" s="100"/>
      <c r="C90" s="100"/>
      <c r="D90" s="101"/>
      <c r="E90" s="150" t="s">
        <v>46</v>
      </c>
      <c r="F90" s="100"/>
      <c r="G90" s="100"/>
      <c r="H90" s="100"/>
      <c r="I90" s="100"/>
      <c r="J90" s="100"/>
      <c r="K90" s="152" t="s">
        <v>47</v>
      </c>
      <c r="L90" s="125"/>
      <c r="M90" s="125"/>
      <c r="N90" s="125"/>
      <c r="O90" s="156" t="s">
        <v>48</v>
      </c>
    </row>
    <row r="91" spans="1:15" ht="17.100000000000001" customHeight="1" x14ac:dyDescent="0.25">
      <c r="A91" s="102"/>
      <c r="B91" s="103"/>
      <c r="C91" s="103"/>
      <c r="D91" s="104"/>
      <c r="E91" s="151"/>
      <c r="F91" s="103"/>
      <c r="G91" s="103"/>
      <c r="H91" s="103"/>
      <c r="I91" s="103"/>
      <c r="J91" s="103"/>
      <c r="K91" s="153"/>
      <c r="L91" s="125"/>
      <c r="M91" s="125"/>
      <c r="N91" s="125"/>
      <c r="O91" s="157"/>
    </row>
    <row r="92" spans="1:15" ht="17.100000000000001" customHeight="1" x14ac:dyDescent="0.25">
      <c r="A92" s="96" t="s">
        <v>49</v>
      </c>
      <c r="B92" s="97"/>
      <c r="C92" s="97"/>
      <c r="D92" s="97"/>
      <c r="E92" s="97"/>
      <c r="F92" s="97"/>
      <c r="G92" s="97"/>
      <c r="H92" s="97"/>
      <c r="I92" s="97"/>
      <c r="J92" s="97"/>
      <c r="K92" s="153"/>
      <c r="L92" s="125"/>
      <c r="M92" s="125"/>
      <c r="N92" s="125"/>
      <c r="O92" s="157"/>
    </row>
    <row r="93" spans="1:15" ht="17.100000000000001" customHeight="1" x14ac:dyDescent="0.25">
      <c r="A93" s="99"/>
      <c r="B93" s="100"/>
      <c r="C93" s="100"/>
      <c r="D93" s="100"/>
      <c r="E93" s="100"/>
      <c r="F93" s="100"/>
      <c r="G93" s="100"/>
      <c r="H93" s="100"/>
      <c r="I93" s="100"/>
      <c r="J93" s="100"/>
      <c r="K93" s="153"/>
      <c r="L93" s="125"/>
      <c r="M93" s="125"/>
      <c r="N93" s="125"/>
      <c r="O93" s="157"/>
    </row>
    <row r="94" spans="1:15" ht="17.100000000000001" customHeight="1" x14ac:dyDescent="0.25">
      <c r="A94" s="99"/>
      <c r="B94" s="100"/>
      <c r="C94" s="100"/>
      <c r="D94" s="100"/>
      <c r="E94" s="100"/>
      <c r="F94" s="100"/>
      <c r="G94" s="100"/>
      <c r="H94" s="100"/>
      <c r="I94" s="100"/>
      <c r="J94" s="100"/>
      <c r="K94" s="153"/>
      <c r="L94" s="125"/>
      <c r="M94" s="125"/>
      <c r="N94" s="125"/>
      <c r="O94" s="157"/>
    </row>
    <row r="95" spans="1:15" ht="17.100000000000001" customHeight="1" x14ac:dyDescent="0.25">
      <c r="A95" s="99"/>
      <c r="B95" s="100"/>
      <c r="C95" s="100"/>
      <c r="D95" s="100"/>
      <c r="E95" s="100"/>
      <c r="F95" s="100"/>
      <c r="G95" s="100"/>
      <c r="H95" s="100"/>
      <c r="I95" s="100"/>
      <c r="J95" s="100"/>
      <c r="K95" s="153"/>
      <c r="L95" s="125"/>
      <c r="M95" s="125"/>
      <c r="N95" s="125"/>
      <c r="O95" s="157"/>
    </row>
    <row r="96" spans="1:15" ht="17.100000000000001" customHeight="1" thickBot="1" x14ac:dyDescent="0.3">
      <c r="A96" s="159"/>
      <c r="B96" s="160"/>
      <c r="C96" s="160"/>
      <c r="D96" s="160"/>
      <c r="E96" s="160"/>
      <c r="F96" s="160"/>
      <c r="G96" s="160"/>
      <c r="H96" s="160"/>
      <c r="I96" s="160"/>
      <c r="J96" s="160"/>
      <c r="K96" s="154"/>
      <c r="L96" s="155"/>
      <c r="M96" s="155"/>
      <c r="N96" s="155"/>
      <c r="O96" s="158"/>
    </row>
    <row r="97" spans="1:19" ht="14.1" customHeight="1" x14ac:dyDescent="0.25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</row>
    <row r="98" spans="1:19" ht="14.1" customHeight="1" x14ac:dyDescent="0.25"/>
    <row r="99" spans="1:19" ht="14.1" customHeight="1" x14ac:dyDescent="0.25"/>
    <row r="100" spans="1:19" ht="14.1" customHeight="1" x14ac:dyDescent="0.25"/>
  </sheetData>
  <sortState ref="A32:N76">
    <sortCondition ref="E32:E76"/>
  </sortState>
  <mergeCells count="74">
    <mergeCell ref="A64:M64"/>
    <mergeCell ref="A14:A15"/>
    <mergeCell ref="A59:N59"/>
    <mergeCell ref="H29:L29"/>
    <mergeCell ref="M29:M30"/>
    <mergeCell ref="F14:F15"/>
    <mergeCell ref="G14:G15"/>
    <mergeCell ref="H14:L14"/>
    <mergeCell ref="M14:M15"/>
    <mergeCell ref="N14:N15"/>
    <mergeCell ref="N29:N30"/>
    <mergeCell ref="B31:F31"/>
    <mergeCell ref="A52:A53"/>
    <mergeCell ref="B52:B53"/>
    <mergeCell ref="C52:C53"/>
    <mergeCell ref="D52:D53"/>
    <mergeCell ref="O14:O78"/>
    <mergeCell ref="A29:A30"/>
    <mergeCell ref="B29:B30"/>
    <mergeCell ref="C29:C30"/>
    <mergeCell ref="D29:D30"/>
    <mergeCell ref="E29:E30"/>
    <mergeCell ref="F29:F30"/>
    <mergeCell ref="G29:G30"/>
    <mergeCell ref="B54:F54"/>
    <mergeCell ref="A71:G71"/>
    <mergeCell ref="J71:N71"/>
    <mergeCell ref="A72:N78"/>
    <mergeCell ref="E52:E53"/>
    <mergeCell ref="F52:F53"/>
    <mergeCell ref="G52:G53"/>
    <mergeCell ref="E14:E15"/>
    <mergeCell ref="A97:J97"/>
    <mergeCell ref="K97:S97"/>
    <mergeCell ref="A89:O89"/>
    <mergeCell ref="A90:D91"/>
    <mergeCell ref="E90:J91"/>
    <mergeCell ref="K90:N96"/>
    <mergeCell ref="O90:O96"/>
    <mergeCell ref="A92:J96"/>
    <mergeCell ref="A79:O79"/>
    <mergeCell ref="A80:F80"/>
    <mergeCell ref="G80:J80"/>
    <mergeCell ref="K80:N88"/>
    <mergeCell ref="O80:O88"/>
    <mergeCell ref="A81:F88"/>
    <mergeCell ref="G81:J88"/>
    <mergeCell ref="N52:N53"/>
    <mergeCell ref="H52:L52"/>
    <mergeCell ref="M52:M53"/>
    <mergeCell ref="B14:B15"/>
    <mergeCell ref="C14:C15"/>
    <mergeCell ref="D14:D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hyperlinks>
    <hyperlink ref="E40" r:id="rId1" display="VALVULA DE DESCARGA EM METAL CROMADO PARA MICTORIO COM ACIONAMENTO POR PRESSAO E FECHAMENTO AUTOMATICO"/>
  </hyperlinks>
  <pageMargins left="0.25" right="0.25" top="0.75" bottom="0.75" header="0.3" footer="0.3"/>
  <pageSetup paperSize="9" scale="53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F3CBAA9-5C05-4C9E-8F47-C6F643D5BDDE}"/>
</file>

<file path=customXml/itemProps2.xml><?xml version="1.0" encoding="utf-8"?>
<ds:datastoreItem xmlns:ds="http://schemas.openxmlformats.org/officeDocument/2006/customXml" ds:itemID="{DFFABD08-0912-4E3F-8AD5-BD07E0C6B99C}"/>
</file>

<file path=customXml/itemProps3.xml><?xml version="1.0" encoding="utf-8"?>
<ds:datastoreItem xmlns:ds="http://schemas.openxmlformats.org/officeDocument/2006/customXml" ds:itemID="{3590FDDF-F7D8-4CCD-9DC8-DC1124993A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2025-07-23T14:16:47Z</cp:lastPrinted>
  <dcterms:created xsi:type="dcterms:W3CDTF">2022-01-02T19:12:46Z</dcterms:created>
  <dcterms:modified xsi:type="dcterms:W3CDTF">2025-07-23T14:16:54Z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