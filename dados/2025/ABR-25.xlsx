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5-Abril-25\"/>
    </mc:Choice>
  </mc:AlternateContent>
  <bookViews>
    <workbookView xWindow="-38520" yWindow="-10290" windowWidth="38640" windowHeight="21240"/>
  </bookViews>
  <sheets>
    <sheet name="São Carlos" sheetId="1" r:id="rId1"/>
  </sheets>
  <definedNames>
    <definedName name="_xlnm.Print_Area" localSheetId="0">'São Carlos'!$A$1:$O$111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2" i="1" l="1"/>
  <c r="J72" i="1" s="1"/>
  <c r="G83" i="1"/>
  <c r="I84" i="1"/>
  <c r="J84" i="1" s="1"/>
  <c r="I83" i="1"/>
  <c r="J83" i="1" s="1"/>
  <c r="I57" i="1"/>
  <c r="J57" i="1" s="1"/>
  <c r="I58" i="1"/>
  <c r="J58" i="1"/>
  <c r="K58" i="1" s="1"/>
  <c r="I59" i="1"/>
  <c r="J59" i="1" s="1"/>
  <c r="K59" i="1" s="1"/>
  <c r="I60" i="1"/>
  <c r="J60" i="1" s="1"/>
  <c r="I67" i="1"/>
  <c r="J67" i="1" s="1"/>
  <c r="I71" i="1"/>
  <c r="J71" i="1" s="1"/>
  <c r="I70" i="1"/>
  <c r="J70" i="1" s="1"/>
  <c r="I69" i="1"/>
  <c r="J69" i="1" s="1"/>
  <c r="I68" i="1"/>
  <c r="J68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K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34" i="1"/>
  <c r="J34" i="1" s="1"/>
  <c r="I42" i="1"/>
  <c r="J42" i="1" s="1"/>
  <c r="I41" i="1"/>
  <c r="J41" i="1" s="1"/>
  <c r="I40" i="1"/>
  <c r="J40" i="1" s="1"/>
  <c r="I39" i="1"/>
  <c r="J39" i="1" s="1"/>
  <c r="I38" i="1"/>
  <c r="J38" i="1" s="1"/>
  <c r="K38" i="1" s="1"/>
  <c r="K72" i="1" l="1"/>
  <c r="L72" i="1" s="1"/>
  <c r="M72" i="1" s="1"/>
  <c r="K83" i="1"/>
  <c r="L83" i="1" s="1"/>
  <c r="M83" i="1" s="1"/>
  <c r="K84" i="1"/>
  <c r="L84" i="1" s="1"/>
  <c r="M84" i="1" s="1"/>
  <c r="L58" i="1"/>
  <c r="M58" i="1" s="1"/>
  <c r="N58" i="1" s="1"/>
  <c r="K60" i="1"/>
  <c r="L60" i="1" s="1"/>
  <c r="M60" i="1" s="1"/>
  <c r="K57" i="1"/>
  <c r="L57" i="1" s="1"/>
  <c r="M57" i="1" s="1"/>
  <c r="L59" i="1"/>
  <c r="M59" i="1" s="1"/>
  <c r="K67" i="1"/>
  <c r="L67" i="1" s="1"/>
  <c r="M67" i="1" s="1"/>
  <c r="K71" i="1"/>
  <c r="L71" i="1" s="1"/>
  <c r="M71" i="1" s="1"/>
  <c r="K70" i="1"/>
  <c r="L70" i="1" s="1"/>
  <c r="M70" i="1" s="1"/>
  <c r="K69" i="1"/>
  <c r="L69" i="1" s="1"/>
  <c r="M69" i="1" s="1"/>
  <c r="K68" i="1"/>
  <c r="L68" i="1" s="1"/>
  <c r="M68" i="1" s="1"/>
  <c r="K66" i="1"/>
  <c r="L66" i="1" s="1"/>
  <c r="M66" i="1" s="1"/>
  <c r="K65" i="1"/>
  <c r="L65" i="1"/>
  <c r="M65" i="1" s="1"/>
  <c r="K64" i="1"/>
  <c r="L64" i="1" s="1"/>
  <c r="M64" i="1" s="1"/>
  <c r="K63" i="1"/>
  <c r="L63" i="1" s="1"/>
  <c r="M63" i="1" s="1"/>
  <c r="K62" i="1"/>
  <c r="L62" i="1" s="1"/>
  <c r="M62" i="1" s="1"/>
  <c r="K61" i="1"/>
  <c r="L61" i="1" s="1"/>
  <c r="M61" i="1" s="1"/>
  <c r="K56" i="1"/>
  <c r="L56" i="1" s="1"/>
  <c r="M56" i="1" s="1"/>
  <c r="K55" i="1"/>
  <c r="L55" i="1" s="1"/>
  <c r="M55" i="1" s="1"/>
  <c r="K54" i="1"/>
  <c r="L54" i="1" s="1"/>
  <c r="M54" i="1" s="1"/>
  <c r="K53" i="1"/>
  <c r="L53" i="1" s="1"/>
  <c r="M53" i="1" s="1"/>
  <c r="K52" i="1"/>
  <c r="L52" i="1" s="1"/>
  <c r="M52" i="1" s="1"/>
  <c r="L51" i="1"/>
  <c r="M51" i="1" s="1"/>
  <c r="K50" i="1"/>
  <c r="L50" i="1" s="1"/>
  <c r="M50" i="1" s="1"/>
  <c r="K49" i="1"/>
  <c r="L49" i="1"/>
  <c r="M49" i="1" s="1"/>
  <c r="K48" i="1"/>
  <c r="L48" i="1" s="1"/>
  <c r="M48" i="1" s="1"/>
  <c r="K47" i="1"/>
  <c r="L47" i="1" s="1"/>
  <c r="M47" i="1" s="1"/>
  <c r="K46" i="1"/>
  <c r="L46" i="1" s="1"/>
  <c r="M46" i="1" s="1"/>
  <c r="K45" i="1"/>
  <c r="L45" i="1" s="1"/>
  <c r="M45" i="1" s="1"/>
  <c r="K44" i="1"/>
  <c r="L44" i="1" s="1"/>
  <c r="M44" i="1" s="1"/>
  <c r="K43" i="1"/>
  <c r="L43" i="1" s="1"/>
  <c r="M43" i="1" s="1"/>
  <c r="K34" i="1"/>
  <c r="L34" i="1" s="1"/>
  <c r="M34" i="1" s="1"/>
  <c r="K42" i="1"/>
  <c r="L42" i="1" s="1"/>
  <c r="M42" i="1" s="1"/>
  <c r="K41" i="1"/>
  <c r="L41" i="1" s="1"/>
  <c r="M41" i="1" s="1"/>
  <c r="K40" i="1"/>
  <c r="L40" i="1" s="1"/>
  <c r="M40" i="1" s="1"/>
  <c r="K39" i="1"/>
  <c r="L39" i="1" s="1"/>
  <c r="M39" i="1" s="1"/>
  <c r="L38" i="1"/>
  <c r="M38" i="1" s="1"/>
  <c r="N60" i="1" l="1"/>
  <c r="N72" i="1"/>
  <c r="N44" i="1"/>
  <c r="N50" i="1"/>
  <c r="N69" i="1"/>
  <c r="N59" i="1"/>
  <c r="N67" i="1"/>
  <c r="N41" i="1"/>
  <c r="N47" i="1"/>
  <c r="N54" i="1"/>
  <c r="N65" i="1"/>
  <c r="N57" i="1"/>
  <c r="N61" i="1"/>
  <c r="N42" i="1"/>
  <c r="N45" i="1"/>
  <c r="N48" i="1"/>
  <c r="N51" i="1"/>
  <c r="N55" i="1"/>
  <c r="N62" i="1"/>
  <c r="N70" i="1"/>
  <c r="N39" i="1"/>
  <c r="N49" i="1"/>
  <c r="N52" i="1"/>
  <c r="N63" i="1"/>
  <c r="N66" i="1"/>
  <c r="N71" i="1"/>
  <c r="N40" i="1"/>
  <c r="N43" i="1"/>
  <c r="N46" i="1"/>
  <c r="N53" i="1"/>
  <c r="N56" i="1"/>
  <c r="N64" i="1"/>
  <c r="N68" i="1"/>
  <c r="G32" i="1" l="1"/>
  <c r="G35" i="1"/>
  <c r="I37" i="1"/>
  <c r="J37" i="1" s="1"/>
  <c r="G33" i="1"/>
  <c r="K37" i="1" l="1"/>
  <c r="L37" i="1" s="1"/>
  <c r="M37" i="1" s="1"/>
  <c r="I36" i="1"/>
  <c r="J36" i="1" s="1"/>
  <c r="I35" i="1"/>
  <c r="J35" i="1" s="1"/>
  <c r="K35" i="1" s="1"/>
  <c r="N38" i="1" l="1"/>
  <c r="K36" i="1"/>
  <c r="L36" i="1" s="1"/>
  <c r="M36" i="1" s="1"/>
  <c r="L35" i="1"/>
  <c r="M35" i="1" s="1"/>
  <c r="N35" i="1" s="1"/>
  <c r="N36" i="1" l="1"/>
  <c r="N37" i="1"/>
  <c r="I33" i="1"/>
  <c r="J33" i="1" s="1"/>
  <c r="I32" i="1"/>
  <c r="J32" i="1" s="1"/>
  <c r="K33" i="1" l="1"/>
  <c r="L33" i="1" s="1"/>
  <c r="M33" i="1" s="1"/>
  <c r="K32" i="1"/>
  <c r="L32" i="1" s="1"/>
  <c r="M32" i="1" s="1"/>
  <c r="N33" i="1" l="1"/>
  <c r="N34" i="1"/>
  <c r="I81" i="1"/>
  <c r="J81" i="1" s="1"/>
  <c r="I79" i="1"/>
  <c r="J79" i="1" s="1"/>
  <c r="I80" i="1"/>
  <c r="J80" i="1" s="1"/>
  <c r="K80" i="1" s="1"/>
  <c r="K81" i="1" l="1"/>
  <c r="L81" i="1" s="1"/>
  <c r="M81" i="1" s="1"/>
  <c r="K79" i="1"/>
  <c r="L79" i="1" s="1"/>
  <c r="M79" i="1" s="1"/>
  <c r="L80" i="1"/>
  <c r="M80" i="1" s="1"/>
  <c r="M78" i="1" l="1"/>
  <c r="M31" i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84" i="1" l="1"/>
  <c r="N83" i="1"/>
  <c r="N79" i="1"/>
  <c r="N81" i="1"/>
  <c r="N80" i="1"/>
  <c r="N19" i="1"/>
  <c r="N18" i="1"/>
  <c r="N23" i="1"/>
  <c r="N21" i="1"/>
  <c r="N26" i="1"/>
  <c r="N20" i="1"/>
  <c r="N27" i="1"/>
  <c r="N25" i="1"/>
  <c r="N24" i="1"/>
  <c r="N28" i="1"/>
  <c r="N22" i="1"/>
  <c r="N17" i="1"/>
  <c r="J86" i="1"/>
  <c r="N16" i="1" l="1"/>
</calcChain>
</file>

<file path=xl/sharedStrings.xml><?xml version="1.0" encoding="utf-8"?>
<sst xmlns="http://schemas.openxmlformats.org/spreadsheetml/2006/main" count="382" uniqueCount="179">
  <si>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</si>
  <si>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</si>
  <si>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</si>
  <si>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</si>
  <si>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</si>
  <si>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</si>
  <si>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</si>
  <si>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</si>
  <si>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</si>
  <si>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</si>
  <si>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</si>
  <si>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</si>
  <si>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</si>
  <si>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</si>
  <si>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</si>
  <si>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</si>
  <si>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</si>
  <si>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</si>
  <si>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</si>
  <si>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</si>
  <si>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</si>
  <si>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</si>
  <si>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</si>
  <si>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</si>
  <si>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</si>
  <si>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</si>
  <si>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</si>
  <si>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</si>
  <si>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</si>
  <si>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</si>
  <si>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</si>
  <si>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</si>
  <si>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</si>
  <si>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</si>
  <si>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</si>
  <si>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</si>
  <si>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</si>
  <si>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</si>
  <si>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</si>
  <si>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</si>
  <si>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</si>
  <si>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</si>
  <si>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</si>
  <si>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</si>
  <si>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</si>
  <si>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</si>
  <si>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</si>
  <si>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</si>
  <si>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</si>
  <si>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</si>
  <si>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</si>
  <si>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</si>
  <si>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</si>
  <si>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</si>
  <si>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</si>
  <si>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</si>
  <si>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</si>
  <si>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</si>
  <si>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</si>
  <si>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</si>
  <si>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</si>
  <si>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</si>
  <si>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</si>
  <si>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</si>
  <si>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</si>
  <si>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</si>
  <si>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</si>
  <si>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</si>
  <si>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</si>
  <si>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</si>
  <si>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</si>
  <si>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</si>
  <si>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</si>
  <si>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</si>
  <si>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</si>
  <si>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</si>
  <si>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</si>
  <si>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</si>
  <si>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</si>
  <si>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</si>
  <si>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</si>
  <si>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</si>
  <si>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</si>
  <si>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</si>
  <si>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</si>
  <si>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</si>
  <si>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</si>
  <si>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</si>
  <si>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</si>
  <si>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</si>
  <si>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</si>
  <si>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</si>
  <si>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</si>
  <si>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</si>
  <si>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</si>
  <si>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</si>
  <si>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</si>
  <si>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</si>
  <si>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</si>
  <si>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</si>
  <si>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ORSE</t>
  </si>
  <si>
    <t>L</t>
  </si>
  <si>
    <t>2.6</t>
  </si>
  <si>
    <t>2.4</t>
  </si>
  <si>
    <t>2.22</t>
  </si>
  <si>
    <t>2.2</t>
  </si>
  <si>
    <t>2.8</t>
  </si>
  <si>
    <t>2.13</t>
  </si>
  <si>
    <t>2.14</t>
  </si>
  <si>
    <t>2.16</t>
  </si>
  <si>
    <t>2.17</t>
  </si>
  <si>
    <t>2.19</t>
  </si>
  <si>
    <t>2.21</t>
  </si>
  <si>
    <t>2.26</t>
  </si>
  <si>
    <t>2.27</t>
  </si>
  <si>
    <t>2.30</t>
  </si>
  <si>
    <t>2.29</t>
  </si>
  <si>
    <t>2.31</t>
  </si>
  <si>
    <t>TINTA ACRILICA PREMIUM PARA PISO</t>
  </si>
  <si>
    <t>KG</t>
  </si>
  <si>
    <t>M</t>
  </si>
  <si>
    <t>2.32</t>
  </si>
  <si>
    <t>2.35</t>
  </si>
  <si>
    <t>TINTA LATEX ACRILICA STANDARD, COR BRANCA</t>
  </si>
  <si>
    <t>2.33</t>
  </si>
  <si>
    <t>2.34</t>
  </si>
  <si>
    <t>2.36</t>
  </si>
  <si>
    <t>3.5</t>
  </si>
  <si>
    <t>MASSA CORRIDA PARA SUPERFICIES DE AMBIENTES INTERNOS</t>
  </si>
  <si>
    <t>Redutor químico tipo 2002 acabamento (Thinner)</t>
  </si>
  <si>
    <t>BUCHA DE REDUCAO DE FERRO GALVANIZADO, COM ROSCA BSP, DE 3/4" X 1/2"</t>
  </si>
  <si>
    <t>CONJUNTO DE LIGACAO AJUSTAVEL, PARA VASO / BACIA SANITARIA, EM PLASTICO BRANCO, COM TUBO, CANOPLA E ESPUD</t>
  </si>
  <si>
    <t>PARAFUSO NIQUELADO COM ACABAMENTO CROMADO PARA FIXAR PECA SANITARIA, INCLUI PORCA CEGA, ARRUELA E BUCHA DE NYLON TAMANHO S-10</t>
  </si>
  <si>
    <t>SIFAO / TUBO SINFONADO EXTENSIVEL/SANFONADO, UNIVERSAL/ SIMPLES, ENTRE *50 A 70* CM, DE PLASTICO BRANCO</t>
  </si>
  <si>
    <t>LUVA SIMPLES, PVC, SOLDAVEL, DN 40 MM, SERIE NORMAL, PARA ESGOTO PREDIAL</t>
  </si>
  <si>
    <t>ADAPTADOR PVC SOLDAVEL CURTO COM BOLSA E ROSCA, 50 MM X 1 1/4", PARA AGUA FRIA</t>
  </si>
  <si>
    <t>BUCHA DE REDUCAO DE PVC, SOLDAVEL, CURTA, COM 32 X 25 MM, PARA AGUA FRIA PREDIAL</t>
  </si>
  <si>
    <t>TUBO PVC, SOLDAVEL, DN 25 MM, AGUA FRIA (NBR-5648)</t>
  </si>
  <si>
    <t>2.37</t>
  </si>
  <si>
    <t>2.38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</si>
  <si>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PERIODO DE </t>
    </r>
    <r>
      <rPr>
        <b/>
        <sz val="8"/>
        <color rgb="FFFF0000"/>
        <rFont val="Arial"/>
        <family val="2"/>
      </rPr>
      <t>ABRIL/2025</t>
    </r>
  </si>
  <si>
    <t>FITA CREPE ROLO DE 25 MM X 50 M</t>
  </si>
  <si>
    <t>BACIA SANITARIA (VASO) CONVENCIONAL, DE LOUCA BRANCA, SIFAO APARENTE, SAIDA VERTICAL (SEM ASSENTO)</t>
  </si>
  <si>
    <t>FITA VEDA ROSCA EM ROLOS DE 18 MM X 50 M (L X C)</t>
  </si>
  <si>
    <t>JOELHO PVC, SOLDAVEL, 90 GRAUS, 25 MM, PARA AGUA FRIA PREDIAL</t>
  </si>
  <si>
    <t>Tubo de ligação em PVC para vaso sanitário, acabamento cromado, CIPLA ou similar</t>
  </si>
  <si>
    <t>NIPLE DE FERRO GALVANIZADO, COM ROSCA BSP, DE 1/2"</t>
  </si>
  <si>
    <t>BUCHA DE REDUCAO DE PVC, SOLDAVEL, CURTA, COM 60 X 50 MM, PARA AGUA FRIA PREDIAL</t>
  </si>
  <si>
    <t>BUCHA DE REDUCAO DE PVC, SOLDAVEL, LONGA, COM 75 X 50 MM, PARA AGUA FRIA PREDIAL</t>
  </si>
  <si>
    <t>ASSENTO SANITARIO DE PLASTICO, TIPO CONVENCIONAL</t>
  </si>
  <si>
    <t>TORNEIRA METALICA CROMADA PARA JARDIM / TANQUE, COM BICO PLASTICO, CANO LONGO, DE PAREDE, PADRAO POPULAR / USO GERAL , 1/2 " OU 3/4 " (REF 1153 / 1130)</t>
  </si>
  <si>
    <t>TORNEIRA DE BOIA CONVENCIONAL PARA CAIXA D'AGUA, AGUA FRIA, 3/4", COM HASTE E TORNEIRA METALICOS E BALAO PLASTICO</t>
  </si>
  <si>
    <t>VALVULA DE RETENCAO DE BRONZE, PE COM CRIVOS, EXTREMIDADE COM ROSCA, DE 3", PARA FUNDO DE POCO</t>
  </si>
  <si>
    <t>MASSA PLASTICA PARA MARMORE/GRANITO</t>
  </si>
  <si>
    <t xml:space="preserve"> LUVA DE CORRER COM TRAVAS DEFOFO, PVC, JE, DN 200 MM</t>
  </si>
  <si>
    <t>TUBO COLETOR DE ESGOTO PVC, JEI, DN 200 MM (NBR 7362)</t>
  </si>
  <si>
    <t>LAMPADA LED 10 W BIVOLT BRANCA, FORMATO TRADICIONAL (BASE E27)</t>
  </si>
  <si>
    <t>REGISTRO DE ESFERA, PVC, COM VOLANTE, VS, SOLDAVEL, DN 40 MM, COM CORPO DIVIDIDO</t>
  </si>
  <si>
    <t>REGISTRO DE ESFERA, PVC, COM VOLANTE, VS, SOLDAVEL, DN 32 MM, COM CORPO DIVIDIDO</t>
  </si>
  <si>
    <t>REGISTRO DE ESFERA, PVC, COM VOLANTE, VS, SOLDAVEL, DN 50 MM, COM CORPO DIVIDIDO</t>
  </si>
  <si>
    <t>SELANTE ELASTICO MONOCOMPONENTE A BASE DE POLIURETANO (PU) PARA JUNTAS DIVERSAS</t>
  </si>
  <si>
    <t>ADAPTADOR PVC SOLDAVEL CURTO COM BOLSA E ROSCA, 75 MM X 2 1/2", PARA AGUA FRIA</t>
  </si>
  <si>
    <t>ADAPTADOR PVC SOLDAVEL CURTO COM BOLSA E ROSCA, 85 MM X 3", PARA AGUA FRIA</t>
  </si>
  <si>
    <t>BUCHA DE REDUCAO DE PVC, SOLDAVEL, CURTA, COM 40 X 32 MM, PARA AGUA FRIA PREDIAL</t>
  </si>
  <si>
    <t>BUCHA DE REDUCAO DE PVC, SOLDAVEL, CURTA, COM 50 X 40 MM, PARA AGUA FRIA PREDIAL</t>
  </si>
  <si>
    <t>LUVA PVC SOLDAVEL, 32 MM, PARA AGUA FRIA PREDIAL</t>
  </si>
  <si>
    <t>TUBO PVC, SOLDAVEL, DN 32 MM, AGUA FRIA (NBR-5648)</t>
  </si>
  <si>
    <t>Lubrificante spray Gar-Lub ou similar</t>
  </si>
  <si>
    <t>2.39</t>
  </si>
  <si>
    <t>2.40</t>
  </si>
  <si>
    <t>14.30.110</t>
  </si>
  <si>
    <t>Divisória cega tipo naval, acabamento em laminado fenólico melamínico, com espessura de 3,5 cm</t>
  </si>
  <si>
    <t>m²</t>
  </si>
  <si>
    <t>Porta para divisória, dim. 820 x 2110 x 35mm, Naval ou similar - Rev. 01</t>
  </si>
  <si>
    <t>UNID</t>
  </si>
  <si>
    <t>DIVISORIA FISIOTERAPIA</t>
  </si>
  <si>
    <t>Aluguel de plataforma aérea elétrica, altura de trabalho = 9,72m</t>
  </si>
  <si>
    <t>2.41</t>
  </si>
  <si>
    <t>CPOS(03/2024)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</si>
</sst>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sz val="8"/>
      <color rgb="FFFF0000"/>
      <name val="Arial"/>
      <family val="1"/>
    </font>
    <font>
      <b/>
      <sz val="8"/>
      <color rgb="FF00B0F0"/>
      <name val="Calibri"/>
      <family val="2"/>
      <scheme val="minor"/>
    </font>
    <font>
      <b/>
      <sz val="8"/>
      <color rgb="FF00B0F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3" fillId="0" borderId="0"/>
    <xf numFmtId="164" fontId="23" fillId="0" borderId="0" applyBorder="0" applyProtection="0"/>
    <xf numFmtId="0" fontId="24" fillId="0" borderId="0" applyBorder="0" applyProtection="0"/>
    <xf numFmtId="0" fontId="16" fillId="4" borderId="1" applyProtection="0"/>
    <xf numFmtId="0" fontId="25" fillId="0" borderId="0"/>
  </cellStyleXfs>
  <cellXfs count="166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3" fillId="0" borderId="24" xfId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6" fillId="0" borderId="0" xfId="0" applyFont="1"/>
    <xf numFmtId="43" fontId="15" fillId="0" borderId="0" xfId="0" applyNumberFormat="1" applyFont="1"/>
    <xf numFmtId="0" fontId="13" fillId="0" borderId="0" xfId="0" applyFont="1" applyAlignment="1">
      <alignment vertical="center"/>
    </xf>
    <xf numFmtId="0" fontId="9" fillId="0" borderId="24" xfId="4" applyFont="1" applyFill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/>
    </xf>
    <xf numFmtId="0" fontId="15" fillId="0" borderId="24" xfId="0" applyFont="1" applyBorder="1" applyAlignment="1">
      <alignment vertical="center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center" wrapText="1"/>
    </xf>
    <xf numFmtId="0" fontId="21" fillId="5" borderId="24" xfId="0" applyFont="1" applyFill="1" applyBorder="1" applyAlignment="1">
      <alignment horizontal="left" vertical="center" wrapText="1"/>
    </xf>
    <xf numFmtId="4" fontId="27" fillId="0" borderId="24" xfId="2" applyNumberFormat="1" applyFont="1" applyBorder="1" applyAlignment="1" applyProtection="1">
      <alignment horizontal="center" vertical="center"/>
    </xf>
    <xf numFmtId="4" fontId="10" fillId="5" borderId="24" xfId="0" applyNumberFormat="1" applyFont="1" applyFill="1" applyBorder="1" applyAlignment="1">
      <alignment horizontal="center" vertical="center" wrapText="1"/>
    </xf>
    <xf numFmtId="0" fontId="28" fillId="5" borderId="24" xfId="0" applyFont="1" applyFill="1" applyBorder="1" applyAlignment="1">
      <alignment horizontal="center" vertical="center" wrapText="1"/>
    </xf>
    <xf numFmtId="0" fontId="29" fillId="0" borderId="24" xfId="1" applyFont="1" applyFill="1" applyBorder="1" applyAlignment="1">
      <alignment horizontal="center" vertical="center"/>
    </xf>
    <xf numFmtId="2" fontId="29" fillId="0" borderId="24" xfId="1" applyNumberFormat="1" applyFont="1" applyFill="1" applyBorder="1" applyAlignment="1">
      <alignment horizontal="center" vertical="center"/>
    </xf>
    <xf numFmtId="0" fontId="30" fillId="0" borderId="24" xfId="1" applyFont="1" applyFill="1" applyBorder="1" applyAlignment="1">
      <alignment horizontal="center" vertical="center"/>
    </xf>
    <xf numFmtId="2" fontId="30" fillId="0" borderId="24" xfId="1" applyNumberFormat="1" applyFont="1" applyFill="1" applyBorder="1" applyAlignment="1">
      <alignment horizontal="center" vertical="center"/>
    </xf>
    <xf numFmtId="4" fontId="30" fillId="0" borderId="24" xfId="0" applyNumberFormat="1" applyFont="1" applyBorder="1" applyAlignment="1">
      <alignment horizontal="center" vertical="center" wrapText="1"/>
    </xf>
    <xf numFmtId="4" fontId="30" fillId="0" borderId="24" xfId="2" applyNumberFormat="1" applyFont="1" applyBorder="1" applyAlignment="1" applyProtection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2" fontId="30" fillId="0" borderId="24" xfId="2" applyNumberFormat="1" applyFont="1" applyBorder="1" applyAlignment="1" applyProtection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2" fontId="27" fillId="0" borderId="24" xfId="1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28" xfId="1" applyFont="1" applyBorder="1" applyAlignment="1">
      <alignment horizontal="center" vertical="center" textRotation="90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12">
    <cellStyle name="Excel Built-in Explanatory Text" xfId="6"/>
    <cellStyle name="Excel Built-in Output" xfId="5"/>
    <cellStyle name="Excel Built-in Output 2" xfId="10"/>
    <cellStyle name="Hiperlink" xfId="4" builtinId="8"/>
    <cellStyle name="Hiperlink 2" xfId="9"/>
    <cellStyle name="Moeda" xfId="3" builtinId="4"/>
    <cellStyle name="Moeda 2" xfId="8"/>
    <cellStyle name="Normal" xfId="0" builtinId="0"/>
    <cellStyle name="Normal 2" xfId="7"/>
    <cellStyle name="Normal 3" xfId="11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C:/Users/anivaldo/AppData/Roaming/Microsoft/Excel/08%20Ago/2022/10%20Outubro/Notas%20Fiscais/NF%20516064%20Jabu%20SA.pdf" TargetMode="External"/><Relationship Id="rId2" Type="http://schemas.openxmlformats.org/officeDocument/2006/relationships/hyperlink" Target="file:///C:/Users/anivaldo/AppData/Roaming/Microsoft/Excel/2022/10%20Outubro/Notas%20Fiscais/NF01%20Jabu%20SA.pdf" TargetMode="External"/><Relationship Id="rId1" Type="http://schemas.openxmlformats.org/officeDocument/2006/relationships/hyperlink" Target="file:///C:/Users/anivaldo/Downloads/2022/10%20Outubro/Notas%20Fiscais/NF%20516064%20Jabu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5"/>
  <sheetViews>
    <sheetView tabSelected="1" topLeftCell="A48" zoomScale="85" zoomScaleNormal="85" workbookViewId="0">
      <selection activeCell="Q80" sqref="Q80"/>
    </sheetView>
  </sheetViews>
  <sheetFormatPr defaultRowHeight="15" x14ac:dyDescent="0.25"/>
  <cols>
    <col min="2" max="3" width="10.7109375" customWidth="1"/>
    <col min="4" max="4" width="13.710937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2.85546875" customWidth="1"/>
  </cols>
  <sheetData>
    <row r="1" spans="1:15" ht="17.100000000000001" customHeight="1" x14ac:dyDescent="0.25">
      <c r="A1" s="147" t="s">
        <v>0</v>
      </c>
      <c r="B1" s="148"/>
      <c r="C1" s="148"/>
      <c r="D1" s="148"/>
      <c r="E1" s="148"/>
      <c r="F1" s="148"/>
      <c r="G1" s="148"/>
      <c r="H1" s="148"/>
      <c r="I1" s="149"/>
      <c r="J1" s="156" t="s">
        <v>1</v>
      </c>
      <c r="K1" s="156"/>
      <c r="L1" s="156"/>
      <c r="M1" s="156"/>
      <c r="N1" s="156"/>
      <c r="O1" s="157"/>
    </row>
    <row r="2" spans="1:15" ht="17.100000000000001" customHeight="1" x14ac:dyDescent="0.25">
      <c r="A2" s="150"/>
      <c r="B2" s="151"/>
      <c r="C2" s="151"/>
      <c r="D2" s="151"/>
      <c r="E2" s="151"/>
      <c r="F2" s="151"/>
      <c r="G2" s="151"/>
      <c r="H2" s="151"/>
      <c r="I2" s="152"/>
      <c r="J2" s="158" t="s">
        <v>2</v>
      </c>
      <c r="K2" s="158"/>
      <c r="L2" s="158"/>
      <c r="M2" s="158"/>
      <c r="N2" s="158"/>
      <c r="O2" s="159"/>
    </row>
    <row r="3" spans="1:15" ht="17.100000000000001" customHeight="1" x14ac:dyDescent="0.25">
      <c r="A3" s="150"/>
      <c r="B3" s="151"/>
      <c r="C3" s="151"/>
      <c r="D3" s="151"/>
      <c r="E3" s="151"/>
      <c r="F3" s="151"/>
      <c r="G3" s="151"/>
      <c r="H3" s="151"/>
      <c r="I3" s="152"/>
      <c r="J3" s="158" t="s">
        <v>3</v>
      </c>
      <c r="K3" s="158"/>
      <c r="L3" s="158"/>
      <c r="M3" s="158" t="s">
        <v>4</v>
      </c>
      <c r="N3" s="158"/>
      <c r="O3" s="1"/>
    </row>
    <row r="4" spans="1:15" ht="17.100000000000001" customHeight="1" x14ac:dyDescent="0.25">
      <c r="A4" s="150"/>
      <c r="B4" s="151"/>
      <c r="C4" s="151"/>
      <c r="D4" s="151"/>
      <c r="E4" s="151"/>
      <c r="F4" s="151"/>
      <c r="G4" s="151"/>
      <c r="H4" s="151"/>
      <c r="I4" s="152"/>
      <c r="J4" s="158" t="s">
        <v>5</v>
      </c>
      <c r="K4" s="158"/>
      <c r="L4" s="158"/>
      <c r="M4" s="158" t="s">
        <v>6</v>
      </c>
      <c r="N4" s="158"/>
      <c r="O4" s="2"/>
    </row>
    <row r="5" spans="1:15" ht="17.100000000000001" customHeight="1" x14ac:dyDescent="0.25">
      <c r="A5" s="150"/>
      <c r="B5" s="151"/>
      <c r="C5" s="151"/>
      <c r="D5" s="151"/>
      <c r="E5" s="151"/>
      <c r="F5" s="151"/>
      <c r="G5" s="151"/>
      <c r="H5" s="151"/>
      <c r="I5" s="152"/>
      <c r="J5" s="158" t="s">
        <v>7</v>
      </c>
      <c r="K5" s="158"/>
      <c r="L5" s="158"/>
      <c r="M5" s="158" t="s">
        <v>8</v>
      </c>
      <c r="N5" s="158"/>
      <c r="O5" s="1"/>
    </row>
    <row r="6" spans="1:15" ht="17.100000000000001" customHeight="1" x14ac:dyDescent="0.25">
      <c r="A6" s="153"/>
      <c r="B6" s="154"/>
      <c r="C6" s="154"/>
      <c r="D6" s="154"/>
      <c r="E6" s="154"/>
      <c r="F6" s="154"/>
      <c r="G6" s="154"/>
      <c r="H6" s="154"/>
      <c r="I6" s="155"/>
      <c r="J6" s="158" t="s">
        <v>9</v>
      </c>
      <c r="K6" s="158"/>
      <c r="L6" s="158"/>
      <c r="M6" s="158" t="s">
        <v>10</v>
      </c>
      <c r="N6" s="158"/>
      <c r="O6" s="1"/>
    </row>
    <row r="7" spans="1:15" ht="17.100000000000001" customHeight="1" x14ac:dyDescent="0.25">
      <c r="A7" s="160" t="s">
        <v>11</v>
      </c>
      <c r="B7" s="161"/>
      <c r="C7" s="161"/>
      <c r="D7" s="161"/>
      <c r="E7" s="161"/>
      <c r="F7" s="161"/>
      <c r="G7" s="161"/>
      <c r="H7" s="161"/>
      <c r="I7" s="162"/>
      <c r="J7" s="163" t="s">
        <v>51</v>
      </c>
      <c r="K7" s="164"/>
      <c r="L7" s="164"/>
      <c r="M7" s="164"/>
      <c r="N7" s="165"/>
      <c r="O7" s="83" t="s">
        <v>12</v>
      </c>
    </row>
    <row r="8" spans="1:15" ht="17.100000000000001" customHeight="1" x14ac:dyDescent="0.25">
      <c r="A8" s="118" t="s">
        <v>140</v>
      </c>
      <c r="B8" s="95"/>
      <c r="C8" s="95"/>
      <c r="D8" s="95"/>
      <c r="E8" s="95"/>
      <c r="F8" s="95"/>
      <c r="G8" s="95"/>
      <c r="H8" s="95"/>
      <c r="I8" s="96"/>
      <c r="J8" s="163" t="s">
        <v>13</v>
      </c>
      <c r="K8" s="164"/>
      <c r="L8" s="164"/>
      <c r="M8" s="164"/>
      <c r="N8" s="165"/>
      <c r="O8" s="83"/>
    </row>
    <row r="9" spans="1:15" ht="17.100000000000001" customHeight="1" x14ac:dyDescent="0.25">
      <c r="A9" s="97"/>
      <c r="B9" s="94"/>
      <c r="C9" s="94"/>
      <c r="D9" s="94"/>
      <c r="E9" s="94"/>
      <c r="F9" s="94"/>
      <c r="G9" s="94"/>
      <c r="H9" s="94"/>
      <c r="I9" s="98"/>
      <c r="J9" s="163" t="s">
        <v>14</v>
      </c>
      <c r="K9" s="164"/>
      <c r="L9" s="164"/>
      <c r="M9" s="164"/>
      <c r="N9" s="165"/>
      <c r="O9" s="83"/>
    </row>
    <row r="10" spans="1:15" ht="17.100000000000001" customHeight="1" x14ac:dyDescent="0.25">
      <c r="A10" s="97"/>
      <c r="B10" s="94"/>
      <c r="C10" s="94"/>
      <c r="D10" s="94"/>
      <c r="E10" s="94"/>
      <c r="F10" s="94"/>
      <c r="G10" s="94"/>
      <c r="H10" s="94"/>
      <c r="I10" s="98"/>
      <c r="J10" s="163" t="s">
        <v>15</v>
      </c>
      <c r="K10" s="164"/>
      <c r="L10" s="164"/>
      <c r="M10" s="164"/>
      <c r="N10" s="165"/>
      <c r="O10" s="83"/>
    </row>
    <row r="11" spans="1:15" ht="17.100000000000001" customHeight="1" x14ac:dyDescent="0.25">
      <c r="A11" s="97"/>
      <c r="B11" s="94"/>
      <c r="C11" s="94"/>
      <c r="D11" s="94"/>
      <c r="E11" s="94"/>
      <c r="F11" s="94"/>
      <c r="G11" s="94"/>
      <c r="H11" s="94"/>
      <c r="I11" s="98"/>
      <c r="J11" s="163" t="s">
        <v>50</v>
      </c>
      <c r="K11" s="164"/>
      <c r="L11" s="164"/>
      <c r="M11" s="164"/>
      <c r="N11" s="165"/>
      <c r="O11" s="83"/>
    </row>
    <row r="12" spans="1:15" ht="17.100000000000001" customHeight="1" x14ac:dyDescent="0.25">
      <c r="A12" s="97"/>
      <c r="B12" s="94"/>
      <c r="C12" s="94"/>
      <c r="D12" s="94"/>
      <c r="E12" s="94"/>
      <c r="F12" s="94"/>
      <c r="G12" s="94"/>
      <c r="H12" s="94"/>
      <c r="I12" s="98"/>
      <c r="J12" s="163" t="s">
        <v>99</v>
      </c>
      <c r="K12" s="164"/>
      <c r="L12" s="164"/>
      <c r="M12" s="164"/>
      <c r="N12" s="165"/>
      <c r="O12" s="83"/>
    </row>
    <row r="13" spans="1:15" ht="17.100000000000001" customHeight="1" x14ac:dyDescent="0.25">
      <c r="A13" s="99"/>
      <c r="B13" s="100"/>
      <c r="C13" s="100"/>
      <c r="D13" s="100"/>
      <c r="E13" s="100"/>
      <c r="F13" s="100"/>
      <c r="G13" s="100"/>
      <c r="H13" s="100"/>
      <c r="I13" s="101"/>
      <c r="J13" s="163" t="s">
        <v>98</v>
      </c>
      <c r="K13" s="164"/>
      <c r="L13" s="164"/>
      <c r="M13" s="164"/>
      <c r="N13" s="165"/>
      <c r="O13" s="83"/>
    </row>
    <row r="14" spans="1:15" ht="17.100000000000001" customHeight="1" x14ac:dyDescent="0.25">
      <c r="A14" s="76" t="s">
        <v>16</v>
      </c>
      <c r="B14" s="81" t="s">
        <v>17</v>
      </c>
      <c r="C14" s="81" t="s">
        <v>18</v>
      </c>
      <c r="D14" s="81" t="s">
        <v>19</v>
      </c>
      <c r="E14" s="81" t="s">
        <v>20</v>
      </c>
      <c r="F14" s="81" t="s">
        <v>21</v>
      </c>
      <c r="G14" s="81" t="s">
        <v>22</v>
      </c>
      <c r="H14" s="79" t="s">
        <v>23</v>
      </c>
      <c r="I14" s="79"/>
      <c r="J14" s="79"/>
      <c r="K14" s="79"/>
      <c r="L14" s="80"/>
      <c r="M14" s="81" t="s">
        <v>24</v>
      </c>
      <c r="N14" s="81" t="s">
        <v>25</v>
      </c>
      <c r="O14" s="83" t="s">
        <v>26</v>
      </c>
    </row>
    <row r="15" spans="1:15" ht="17.100000000000001" customHeight="1" x14ac:dyDescent="0.25">
      <c r="A15" s="77"/>
      <c r="B15" s="82"/>
      <c r="C15" s="82"/>
      <c r="D15" s="82"/>
      <c r="E15" s="82"/>
      <c r="F15" s="82"/>
      <c r="G15" s="82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82"/>
      <c r="N15" s="82"/>
      <c r="O15" s="83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72171.850587408</v>
      </c>
      <c r="N16" s="10">
        <f>SUM(N17:N28)</f>
        <v>1.0000000000000002</v>
      </c>
      <c r="O16" s="83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62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10541.065371408</v>
      </c>
      <c r="N17" s="14">
        <f>M17/M$16</f>
        <v>0.14605507944737564</v>
      </c>
      <c r="O17" s="84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0</v>
      </c>
      <c r="H18" s="62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0</v>
      </c>
      <c r="N18" s="14">
        <f t="shared" ref="N18:N28" si="5">M18/M$16</f>
        <v>0</v>
      </c>
      <c r="O18" s="84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62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0.11012839671841168</v>
      </c>
      <c r="O19" s="84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180</v>
      </c>
      <c r="H20" s="62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6552.6731281440007</v>
      </c>
      <c r="N20" s="14">
        <f t="shared" si="5"/>
        <v>9.07926438744701E-2</v>
      </c>
      <c r="O20" s="84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180</v>
      </c>
      <c r="H21" s="62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9.07926438744701E-2</v>
      </c>
      <c r="O21" s="84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180</v>
      </c>
      <c r="H22" s="62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7168.9809803040007</v>
      </c>
      <c r="N22" s="14">
        <f t="shared" si="5"/>
        <v>9.9332093079996353E-2</v>
      </c>
      <c r="O22" s="84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180</v>
      </c>
      <c r="H23" s="62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7168.9809803040007</v>
      </c>
      <c r="N23" s="14">
        <f t="shared" si="5"/>
        <v>9.9332093079996353E-2</v>
      </c>
      <c r="O23" s="84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180</v>
      </c>
      <c r="H24" s="62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9.2653023879959745E-2</v>
      </c>
      <c r="O24" s="84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180</v>
      </c>
      <c r="H25" s="62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9.2653023879959745E-2</v>
      </c>
      <c r="O25" s="84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180</v>
      </c>
      <c r="H26" s="62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9.2653023879959745E-2</v>
      </c>
      <c r="O26" s="84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17">
        <v>180</v>
      </c>
      <c r="H27" s="62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6178.4862179040001</v>
      </c>
      <c r="N27" s="14">
        <f t="shared" si="5"/>
        <v>8.5607978285400593E-2</v>
      </c>
      <c r="O27" s="84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17">
        <v>0</v>
      </c>
      <c r="H28" s="62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0</v>
      </c>
      <c r="N28" s="14">
        <f t="shared" si="5"/>
        <v>0</v>
      </c>
      <c r="O28" s="84"/>
    </row>
    <row r="29" spans="1:15" x14ac:dyDescent="0.25">
      <c r="A29" s="76" t="s">
        <v>16</v>
      </c>
      <c r="B29" s="81" t="s">
        <v>17</v>
      </c>
      <c r="C29" s="81" t="s">
        <v>18</v>
      </c>
      <c r="D29" s="81" t="s">
        <v>19</v>
      </c>
      <c r="E29" s="81" t="s">
        <v>20</v>
      </c>
      <c r="F29" s="81" t="s">
        <v>21</v>
      </c>
      <c r="G29" s="81" t="s">
        <v>22</v>
      </c>
      <c r="H29" s="79" t="s">
        <v>23</v>
      </c>
      <c r="I29" s="79"/>
      <c r="J29" s="79"/>
      <c r="K29" s="79"/>
      <c r="L29" s="80"/>
      <c r="M29" s="81" t="s">
        <v>24</v>
      </c>
      <c r="N29" s="81" t="s">
        <v>25</v>
      </c>
      <c r="O29" s="84"/>
    </row>
    <row r="30" spans="1:15" ht="17.100000000000001" customHeight="1" x14ac:dyDescent="0.25">
      <c r="A30" s="77"/>
      <c r="B30" s="82"/>
      <c r="C30" s="82"/>
      <c r="D30" s="82"/>
      <c r="E30" s="82"/>
      <c r="F30" s="82"/>
      <c r="G30" s="82"/>
      <c r="H30" s="3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82"/>
      <c r="N30" s="82"/>
      <c r="O30" s="83"/>
    </row>
    <row r="31" spans="1:15" ht="17.100000000000001" customHeight="1" x14ac:dyDescent="0.25">
      <c r="A31" s="15">
        <v>2</v>
      </c>
      <c r="B31" s="141" t="s">
        <v>37</v>
      </c>
      <c r="C31" s="141"/>
      <c r="D31" s="142"/>
      <c r="E31" s="142"/>
      <c r="F31" s="142"/>
      <c r="G31" s="16"/>
      <c r="H31" s="16"/>
      <c r="I31" s="16"/>
      <c r="J31" s="16"/>
      <c r="K31" s="16"/>
      <c r="L31" s="16"/>
      <c r="M31" s="22">
        <f>SUM(M32:M75)</f>
        <v>25492.860789917038</v>
      </c>
      <c r="N31" s="16"/>
      <c r="O31" s="84"/>
    </row>
    <row r="32" spans="1:15" s="43" customFormat="1" ht="17.25" customHeight="1" x14ac:dyDescent="0.25">
      <c r="A32" s="18" t="s">
        <v>88</v>
      </c>
      <c r="B32" s="18" t="s">
        <v>81</v>
      </c>
      <c r="C32" s="47">
        <v>35692</v>
      </c>
      <c r="D32" s="47" t="s">
        <v>34</v>
      </c>
      <c r="E32" s="48" t="s">
        <v>123</v>
      </c>
      <c r="F32" s="47" t="s">
        <v>101</v>
      </c>
      <c r="G32" s="47">
        <f>7*18</f>
        <v>126</v>
      </c>
      <c r="H32" s="65">
        <v>20.12</v>
      </c>
      <c r="I32" s="35">
        <f t="shared" ref="I32:I33" si="6">H32*0.1532</f>
        <v>3.0823840000000002</v>
      </c>
      <c r="J32" s="35">
        <f t="shared" ref="J32:J33" si="7">H32+I32</f>
        <v>23.202384000000002</v>
      </c>
      <c r="K32" s="35">
        <f t="shared" ref="K32:K33" si="8">J32*(0.03%)</f>
        <v>6.9607152000000002E-3</v>
      </c>
      <c r="L32" s="35">
        <f t="shared" ref="L32:L33" si="9">J32-K32</f>
        <v>23.1954232848</v>
      </c>
      <c r="M32" s="35">
        <f t="shared" ref="M32:M33" si="10">L32*G32</f>
        <v>2922.6233338848001</v>
      </c>
      <c r="N32" s="14">
        <f>M32/M31</f>
        <v>0.11464477674631005</v>
      </c>
      <c r="O32" s="84"/>
    </row>
    <row r="33" spans="1:15" s="43" customFormat="1" ht="17.25" customHeight="1" x14ac:dyDescent="0.25">
      <c r="A33" s="18" t="s">
        <v>105</v>
      </c>
      <c r="B33" s="47" t="s">
        <v>81</v>
      </c>
      <c r="C33" s="47">
        <v>7348</v>
      </c>
      <c r="D33" s="47" t="s">
        <v>34</v>
      </c>
      <c r="E33" s="48" t="s">
        <v>118</v>
      </c>
      <c r="F33" s="47" t="s">
        <v>101</v>
      </c>
      <c r="G33" s="47">
        <f>9*18</f>
        <v>162</v>
      </c>
      <c r="H33" s="66">
        <v>20.62</v>
      </c>
      <c r="I33" s="35">
        <f t="shared" si="6"/>
        <v>3.1589840000000002</v>
      </c>
      <c r="J33" s="35">
        <f t="shared" si="7"/>
        <v>23.778984000000001</v>
      </c>
      <c r="K33" s="35">
        <f t="shared" si="8"/>
        <v>7.1336951999999999E-3</v>
      </c>
      <c r="L33" s="35">
        <f t="shared" si="9"/>
        <v>23.771850304800001</v>
      </c>
      <c r="M33" s="35">
        <f t="shared" si="10"/>
        <v>3851.0397493775999</v>
      </c>
      <c r="N33" s="14">
        <f t="shared" ref="N33:N72" si="11">M33/M32</f>
        <v>1.3176654359556943</v>
      </c>
      <c r="O33" s="84"/>
    </row>
    <row r="34" spans="1:15" s="43" customFormat="1" ht="17.100000000000001" customHeight="1" x14ac:dyDescent="0.25">
      <c r="A34" s="18" t="s">
        <v>89</v>
      </c>
      <c r="B34" s="18" t="s">
        <v>81</v>
      </c>
      <c r="C34" s="11">
        <v>779</v>
      </c>
      <c r="D34" s="18" t="s">
        <v>34</v>
      </c>
      <c r="E34" s="44" t="s">
        <v>130</v>
      </c>
      <c r="F34" s="18" t="s">
        <v>21</v>
      </c>
      <c r="G34" s="18">
        <v>10</v>
      </c>
      <c r="H34" s="67">
        <v>7.71</v>
      </c>
      <c r="I34" s="14">
        <f t="shared" ref="I34:I37" si="12">H34*0.1532</f>
        <v>1.1811720000000001</v>
      </c>
      <c r="J34" s="14">
        <f t="shared" ref="J34:J37" si="13">H34+I34</f>
        <v>8.891172000000001</v>
      </c>
      <c r="K34" s="14">
        <f t="shared" ref="K34:K37" si="14">J34*(0.03%)</f>
        <v>2.6673515999999999E-3</v>
      </c>
      <c r="L34" s="14">
        <f t="shared" ref="L34:L37" si="15">J34-K34</f>
        <v>8.8885046484000014</v>
      </c>
      <c r="M34" s="14">
        <f t="shared" ref="M34:M37" si="16">L34*G34</f>
        <v>88.885046484000014</v>
      </c>
      <c r="N34" s="14">
        <f t="shared" si="11"/>
        <v>2.3080791751984773E-2</v>
      </c>
      <c r="O34" s="84"/>
    </row>
    <row r="35" spans="1:15" s="43" customFormat="1" ht="17.100000000000001" customHeight="1" x14ac:dyDescent="0.25">
      <c r="A35" s="18" t="s">
        <v>103</v>
      </c>
      <c r="B35" s="18" t="s">
        <v>81</v>
      </c>
      <c r="C35" s="11">
        <v>43626</v>
      </c>
      <c r="D35" s="47" t="s">
        <v>34</v>
      </c>
      <c r="E35" s="44" t="s">
        <v>128</v>
      </c>
      <c r="F35" s="18" t="s">
        <v>119</v>
      </c>
      <c r="G35" s="18">
        <f>4*23</f>
        <v>92</v>
      </c>
      <c r="H35" s="67">
        <v>3.68</v>
      </c>
      <c r="I35" s="35">
        <f t="shared" si="12"/>
        <v>0.56377600000000005</v>
      </c>
      <c r="J35" s="35">
        <f t="shared" si="13"/>
        <v>4.2437760000000004</v>
      </c>
      <c r="K35" s="35">
        <f t="shared" si="14"/>
        <v>1.2731328E-3</v>
      </c>
      <c r="L35" s="35">
        <f t="shared" si="15"/>
        <v>4.2425028672000007</v>
      </c>
      <c r="M35" s="35">
        <f t="shared" si="16"/>
        <v>390.31026378240006</v>
      </c>
      <c r="N35" s="14">
        <f t="shared" si="11"/>
        <v>4.391180285343709</v>
      </c>
      <c r="O35" s="84"/>
    </row>
    <row r="36" spans="1:15" s="43" customFormat="1" ht="17.25" customHeight="1" x14ac:dyDescent="0.25">
      <c r="A36" s="18" t="s">
        <v>82</v>
      </c>
      <c r="B36" s="18" t="s">
        <v>81</v>
      </c>
      <c r="C36" s="11">
        <v>3157</v>
      </c>
      <c r="D36" s="18" t="s">
        <v>100</v>
      </c>
      <c r="E36" s="44" t="s">
        <v>129</v>
      </c>
      <c r="F36" s="18" t="s">
        <v>101</v>
      </c>
      <c r="G36" s="18">
        <v>18</v>
      </c>
      <c r="H36" s="67">
        <v>25.33</v>
      </c>
      <c r="I36" s="14">
        <f t="shared" si="12"/>
        <v>3.8805559999999999</v>
      </c>
      <c r="J36" s="14">
        <f t="shared" si="13"/>
        <v>29.210555999999997</v>
      </c>
      <c r="K36" s="14">
        <f t="shared" si="14"/>
        <v>8.7631667999999979E-3</v>
      </c>
      <c r="L36" s="14">
        <f t="shared" si="15"/>
        <v>29.201792833199995</v>
      </c>
      <c r="M36" s="14">
        <f t="shared" si="16"/>
        <v>525.6322709975999</v>
      </c>
      <c r="N36" s="14">
        <f t="shared" si="11"/>
        <v>1.3467036862003776</v>
      </c>
      <c r="O36" s="84"/>
    </row>
    <row r="37" spans="1:15" s="43" customFormat="1" ht="17.100000000000001" customHeight="1" x14ac:dyDescent="0.25">
      <c r="A37" s="18" t="s">
        <v>102</v>
      </c>
      <c r="B37" s="47" t="s">
        <v>81</v>
      </c>
      <c r="C37" s="47">
        <v>12815</v>
      </c>
      <c r="D37" s="47" t="s">
        <v>34</v>
      </c>
      <c r="E37" s="54" t="s">
        <v>141</v>
      </c>
      <c r="F37" s="47" t="s">
        <v>21</v>
      </c>
      <c r="G37" s="47">
        <v>20</v>
      </c>
      <c r="H37" s="66">
        <v>10.72</v>
      </c>
      <c r="I37" s="35">
        <f t="shared" si="12"/>
        <v>1.6423040000000002</v>
      </c>
      <c r="J37" s="35">
        <f t="shared" si="13"/>
        <v>12.362304000000002</v>
      </c>
      <c r="K37" s="35">
        <f t="shared" si="14"/>
        <v>3.7086912000000001E-3</v>
      </c>
      <c r="L37" s="35">
        <f t="shared" si="15"/>
        <v>12.358595308800002</v>
      </c>
      <c r="M37" s="35">
        <f t="shared" si="16"/>
        <v>247.17190617600005</v>
      </c>
      <c r="N37" s="14">
        <f t="shared" si="11"/>
        <v>0.47023731192700813</v>
      </c>
      <c r="O37" s="84"/>
    </row>
    <row r="38" spans="1:15" s="43" customFormat="1" ht="17.100000000000001" customHeight="1" x14ac:dyDescent="0.2">
      <c r="A38" s="18" t="s">
        <v>90</v>
      </c>
      <c r="B38" s="18" t="s">
        <v>81</v>
      </c>
      <c r="C38" s="23">
        <v>10420</v>
      </c>
      <c r="D38" s="18" t="s">
        <v>34</v>
      </c>
      <c r="E38" s="24" t="s">
        <v>142</v>
      </c>
      <c r="F38" s="18" t="s">
        <v>21</v>
      </c>
      <c r="G38" s="18">
        <v>5</v>
      </c>
      <c r="H38" s="67">
        <v>211.26</v>
      </c>
      <c r="I38" s="35">
        <f t="shared" ref="I38" si="17">H38*0.1532</f>
        <v>32.365031999999999</v>
      </c>
      <c r="J38" s="35">
        <f t="shared" ref="J38" si="18">H38+I38</f>
        <v>243.62503199999998</v>
      </c>
      <c r="K38" s="35">
        <f t="shared" ref="K38" si="19">J38*(0.03%)</f>
        <v>7.3087509599999989E-2</v>
      </c>
      <c r="L38" s="35">
        <f t="shared" ref="L38" si="20">J38-K38</f>
        <v>243.55194449039999</v>
      </c>
      <c r="M38" s="35">
        <f t="shared" ref="M38" si="21">L38*G38</f>
        <v>1217.759722452</v>
      </c>
      <c r="N38" s="14">
        <f t="shared" si="11"/>
        <v>4.9267723880597005</v>
      </c>
      <c r="O38" s="84"/>
    </row>
    <row r="39" spans="1:15" s="43" customFormat="1" ht="17.25" customHeight="1" x14ac:dyDescent="0.25">
      <c r="A39" s="18" t="s">
        <v>106</v>
      </c>
      <c r="B39" s="18" t="s">
        <v>81</v>
      </c>
      <c r="C39" s="18">
        <v>3148</v>
      </c>
      <c r="D39" s="18" t="s">
        <v>34</v>
      </c>
      <c r="E39" s="44" t="s">
        <v>143</v>
      </c>
      <c r="F39" s="18" t="s">
        <v>21</v>
      </c>
      <c r="G39" s="18">
        <v>15</v>
      </c>
      <c r="H39" s="68">
        <v>8.07</v>
      </c>
      <c r="I39" s="14">
        <f>H39*0.1532</f>
        <v>1.236324</v>
      </c>
      <c r="J39" s="14">
        <f>H39+I39</f>
        <v>9.306324</v>
      </c>
      <c r="K39" s="14">
        <f>J39*(0.03%)</f>
        <v>2.7918971999999998E-3</v>
      </c>
      <c r="L39" s="14">
        <f>J39-K39</f>
        <v>9.3035321028000002</v>
      </c>
      <c r="M39" s="14">
        <f>L39*G39</f>
        <v>139.552981542</v>
      </c>
      <c r="N39" s="14">
        <f t="shared" si="11"/>
        <v>0.11459812553251916</v>
      </c>
      <c r="O39" s="84"/>
    </row>
    <row r="40" spans="1:15" s="46" customFormat="1" ht="14.25" customHeight="1" x14ac:dyDescent="0.25">
      <c r="A40" s="18" t="s">
        <v>91</v>
      </c>
      <c r="B40" s="18" t="s">
        <v>81</v>
      </c>
      <c r="C40" s="18">
        <v>3529</v>
      </c>
      <c r="D40" s="18" t="s">
        <v>34</v>
      </c>
      <c r="E40" s="45" t="s">
        <v>144</v>
      </c>
      <c r="F40" s="18" t="s">
        <v>21</v>
      </c>
      <c r="G40" s="18">
        <v>15</v>
      </c>
      <c r="H40" s="68">
        <v>0.6</v>
      </c>
      <c r="I40" s="14">
        <f t="shared" ref="I40:I48" si="22">H40*0.1532</f>
        <v>9.1920000000000002E-2</v>
      </c>
      <c r="J40" s="14">
        <f t="shared" ref="J40:J48" si="23">H40+I40</f>
        <v>0.69191999999999998</v>
      </c>
      <c r="K40" s="14">
        <f t="shared" ref="K40:K48" si="24">J40*(0.03%)</f>
        <v>2.0757599999999998E-4</v>
      </c>
      <c r="L40" s="14">
        <f t="shared" ref="L40:L48" si="25">J40-K40</f>
        <v>0.69171242399999999</v>
      </c>
      <c r="M40" s="14">
        <f t="shared" ref="M40:M48" si="26">L40*G40</f>
        <v>10.37568636</v>
      </c>
      <c r="N40" s="14">
        <f t="shared" si="11"/>
        <v>7.434944237918216E-2</v>
      </c>
      <c r="O40" s="84"/>
    </row>
    <row r="41" spans="1:15" s="43" customFormat="1" ht="17.25" customHeight="1" x14ac:dyDescent="0.25">
      <c r="A41" s="18" t="s">
        <v>87</v>
      </c>
      <c r="B41" s="18" t="s">
        <v>81</v>
      </c>
      <c r="C41" s="55">
        <v>44945</v>
      </c>
      <c r="D41" s="55" t="s">
        <v>34</v>
      </c>
      <c r="E41" s="56" t="s">
        <v>133</v>
      </c>
      <c r="F41" s="18" t="s">
        <v>21</v>
      </c>
      <c r="G41" s="55">
        <v>30</v>
      </c>
      <c r="H41" s="69">
        <v>10.93</v>
      </c>
      <c r="I41" s="14">
        <f t="shared" si="22"/>
        <v>1.6744760000000001</v>
      </c>
      <c r="J41" s="14">
        <f t="shared" si="23"/>
        <v>12.604476</v>
      </c>
      <c r="K41" s="14">
        <f t="shared" si="24"/>
        <v>3.7813427999999999E-3</v>
      </c>
      <c r="L41" s="14">
        <f t="shared" si="25"/>
        <v>12.6006946572</v>
      </c>
      <c r="M41" s="14">
        <f t="shared" si="26"/>
        <v>378.02083971600001</v>
      </c>
      <c r="N41" s="14">
        <f t="shared" si="11"/>
        <v>36.433333333333337</v>
      </c>
      <c r="O41" s="84"/>
    </row>
    <row r="42" spans="1:15" s="43" customFormat="1" ht="17.25" customHeight="1" x14ac:dyDescent="0.25">
      <c r="A42" s="18" t="s">
        <v>84</v>
      </c>
      <c r="B42" s="18" t="s">
        <v>81</v>
      </c>
      <c r="C42" s="18">
        <v>2305</v>
      </c>
      <c r="D42" s="18" t="s">
        <v>100</v>
      </c>
      <c r="E42" s="49" t="s">
        <v>145</v>
      </c>
      <c r="F42" s="18" t="s">
        <v>21</v>
      </c>
      <c r="G42" s="18">
        <v>20</v>
      </c>
      <c r="H42" s="68">
        <v>9.1300000000000008</v>
      </c>
      <c r="I42" s="14">
        <f t="shared" si="22"/>
        <v>1.3987160000000001</v>
      </c>
      <c r="J42" s="14">
        <f t="shared" si="23"/>
        <v>10.528716000000001</v>
      </c>
      <c r="K42" s="14">
        <f t="shared" si="24"/>
        <v>3.1586148E-3</v>
      </c>
      <c r="L42" s="14">
        <f t="shared" si="25"/>
        <v>10.525557385200001</v>
      </c>
      <c r="M42" s="14">
        <f t="shared" si="26"/>
        <v>210.51114770400002</v>
      </c>
      <c r="N42" s="14">
        <f t="shared" si="11"/>
        <v>0.55687709667581586</v>
      </c>
      <c r="O42" s="84"/>
    </row>
    <row r="43" spans="1:15" s="43" customFormat="1" ht="17.25" customHeight="1" x14ac:dyDescent="0.25">
      <c r="A43" s="18" t="s">
        <v>92</v>
      </c>
      <c r="B43" s="18" t="s">
        <v>81</v>
      </c>
      <c r="C43" s="18">
        <v>4177</v>
      </c>
      <c r="D43" s="18" t="s">
        <v>34</v>
      </c>
      <c r="E43" s="44" t="s">
        <v>146</v>
      </c>
      <c r="F43" s="18" t="s">
        <v>21</v>
      </c>
      <c r="G43" s="18">
        <v>5</v>
      </c>
      <c r="H43" s="70">
        <v>6.3</v>
      </c>
      <c r="I43" s="14">
        <f t="shared" si="22"/>
        <v>0.96516000000000002</v>
      </c>
      <c r="J43" s="14">
        <f t="shared" si="23"/>
        <v>7.2651599999999998</v>
      </c>
      <c r="K43" s="14">
        <f t="shared" si="24"/>
        <v>2.1795479999999999E-3</v>
      </c>
      <c r="L43" s="14">
        <f t="shared" si="25"/>
        <v>7.2629804519999999</v>
      </c>
      <c r="M43" s="14">
        <f t="shared" si="26"/>
        <v>36.314902259999997</v>
      </c>
      <c r="N43" s="14">
        <f t="shared" si="11"/>
        <v>0.17250821467688934</v>
      </c>
      <c r="O43" s="84"/>
    </row>
    <row r="44" spans="1:15" s="46" customFormat="1" ht="14.25" customHeight="1" x14ac:dyDescent="0.25">
      <c r="A44" s="18" t="s">
        <v>107</v>
      </c>
      <c r="B44" s="18" t="s">
        <v>81</v>
      </c>
      <c r="C44" s="18">
        <v>818</v>
      </c>
      <c r="D44" s="18" t="s">
        <v>34</v>
      </c>
      <c r="E44" s="45" t="s">
        <v>147</v>
      </c>
      <c r="F44" s="18" t="s">
        <v>21</v>
      </c>
      <c r="G44" s="18">
        <v>10</v>
      </c>
      <c r="H44" s="68">
        <v>5.66</v>
      </c>
      <c r="I44" s="14">
        <f t="shared" si="22"/>
        <v>0.86711199999999999</v>
      </c>
      <c r="J44" s="14">
        <f t="shared" si="23"/>
        <v>6.5271119999999998</v>
      </c>
      <c r="K44" s="14">
        <f t="shared" si="24"/>
        <v>1.9581335999999997E-3</v>
      </c>
      <c r="L44" s="14">
        <f t="shared" si="25"/>
        <v>6.5251538664000002</v>
      </c>
      <c r="M44" s="14">
        <f t="shared" si="26"/>
        <v>65.251538664000009</v>
      </c>
      <c r="N44" s="14">
        <f t="shared" si="11"/>
        <v>1.7968253968253973</v>
      </c>
      <c r="O44" s="84"/>
    </row>
    <row r="45" spans="1:15" s="43" customFormat="1" ht="17.100000000000001" customHeight="1" x14ac:dyDescent="0.2">
      <c r="A45" s="18" t="s">
        <v>108</v>
      </c>
      <c r="B45" s="18" t="s">
        <v>81</v>
      </c>
      <c r="C45" s="23">
        <v>821</v>
      </c>
      <c r="D45" s="18" t="s">
        <v>34</v>
      </c>
      <c r="E45" s="24" t="s">
        <v>148</v>
      </c>
      <c r="F45" s="18" t="s">
        <v>21</v>
      </c>
      <c r="G45" s="18">
        <v>10</v>
      </c>
      <c r="H45" s="67">
        <v>15.68</v>
      </c>
      <c r="I45" s="35">
        <f t="shared" si="22"/>
        <v>2.4021759999999999</v>
      </c>
      <c r="J45" s="35">
        <f t="shared" si="23"/>
        <v>18.082176</v>
      </c>
      <c r="K45" s="35">
        <f t="shared" si="24"/>
        <v>5.4246527999999997E-3</v>
      </c>
      <c r="L45" s="35">
        <f t="shared" si="25"/>
        <v>18.076751347200002</v>
      </c>
      <c r="M45" s="35">
        <f t="shared" si="26"/>
        <v>180.76751347200002</v>
      </c>
      <c r="N45" s="14">
        <f t="shared" si="11"/>
        <v>2.7703180212014131</v>
      </c>
      <c r="O45" s="84"/>
    </row>
    <row r="46" spans="1:15" s="43" customFormat="1" ht="17.25" customHeight="1" x14ac:dyDescent="0.25">
      <c r="A46" s="18" t="s">
        <v>85</v>
      </c>
      <c r="B46" s="18" t="s">
        <v>81</v>
      </c>
      <c r="C46" s="11">
        <v>377</v>
      </c>
      <c r="D46" s="18" t="s">
        <v>34</v>
      </c>
      <c r="E46" s="53" t="s">
        <v>149</v>
      </c>
      <c r="F46" s="18" t="s">
        <v>21</v>
      </c>
      <c r="G46" s="18">
        <v>30</v>
      </c>
      <c r="H46" s="72">
        <v>42.5</v>
      </c>
      <c r="I46" s="14">
        <f t="shared" si="22"/>
        <v>6.5110000000000001</v>
      </c>
      <c r="J46" s="14">
        <f t="shared" si="23"/>
        <v>49.011000000000003</v>
      </c>
      <c r="K46" s="14">
        <f t="shared" si="24"/>
        <v>1.4703299999999999E-2</v>
      </c>
      <c r="L46" s="14">
        <f t="shared" si="25"/>
        <v>48.996296700000002</v>
      </c>
      <c r="M46" s="14">
        <f t="shared" si="26"/>
        <v>1469.888901</v>
      </c>
      <c r="N46" s="14">
        <f t="shared" si="11"/>
        <v>8.1313775510204067</v>
      </c>
      <c r="O46" s="84"/>
    </row>
    <row r="47" spans="1:15" s="43" customFormat="1" ht="17.100000000000001" customHeight="1" x14ac:dyDescent="0.25">
      <c r="A47" s="18" t="s">
        <v>109</v>
      </c>
      <c r="B47" s="18" t="s">
        <v>81</v>
      </c>
      <c r="C47" s="18">
        <v>6142</v>
      </c>
      <c r="D47" s="18" t="s">
        <v>34</v>
      </c>
      <c r="E47" s="49" t="s">
        <v>131</v>
      </c>
      <c r="F47" s="18" t="s">
        <v>21</v>
      </c>
      <c r="G47" s="18">
        <v>15</v>
      </c>
      <c r="H47" s="68">
        <v>9.99</v>
      </c>
      <c r="I47" s="14">
        <f t="shared" si="22"/>
        <v>1.5304680000000002</v>
      </c>
      <c r="J47" s="14">
        <f t="shared" si="23"/>
        <v>11.520468000000001</v>
      </c>
      <c r="K47" s="14">
        <f t="shared" si="24"/>
        <v>3.4561404E-3</v>
      </c>
      <c r="L47" s="14">
        <f t="shared" si="25"/>
        <v>11.5170118596</v>
      </c>
      <c r="M47" s="14">
        <f t="shared" si="26"/>
        <v>172.75517789400001</v>
      </c>
      <c r="N47" s="14">
        <f t="shared" si="11"/>
        <v>0.11752941176470588</v>
      </c>
      <c r="O47" s="84"/>
    </row>
    <row r="48" spans="1:15" s="43" customFormat="1" ht="17.25" customHeight="1" x14ac:dyDescent="0.25">
      <c r="A48" s="18" t="s">
        <v>110</v>
      </c>
      <c r="B48" s="18" t="s">
        <v>81</v>
      </c>
      <c r="C48" s="18">
        <v>4384</v>
      </c>
      <c r="D48" s="18" t="s">
        <v>34</v>
      </c>
      <c r="E48" s="45" t="s">
        <v>132</v>
      </c>
      <c r="F48" s="18" t="s">
        <v>21</v>
      </c>
      <c r="G48" s="18">
        <v>20</v>
      </c>
      <c r="H48" s="68">
        <v>24.83</v>
      </c>
      <c r="I48" s="14">
        <f t="shared" si="22"/>
        <v>3.8039559999999999</v>
      </c>
      <c r="J48" s="14">
        <f t="shared" si="23"/>
        <v>28.633955999999998</v>
      </c>
      <c r="K48" s="14">
        <f t="shared" si="24"/>
        <v>8.5901867999999982E-3</v>
      </c>
      <c r="L48" s="14">
        <f t="shared" si="25"/>
        <v>28.625365813199998</v>
      </c>
      <c r="M48" s="14">
        <f t="shared" si="26"/>
        <v>572.507316264</v>
      </c>
      <c r="N48" s="14">
        <f t="shared" si="11"/>
        <v>3.3139806473139806</v>
      </c>
      <c r="O48" s="84"/>
    </row>
    <row r="49" spans="1:15" s="43" customFormat="1" ht="17.25" customHeight="1" x14ac:dyDescent="0.25">
      <c r="A49" s="18" t="s">
        <v>93</v>
      </c>
      <c r="B49" s="18" t="s">
        <v>81</v>
      </c>
      <c r="C49" s="18">
        <v>11762</v>
      </c>
      <c r="D49" s="18" t="s">
        <v>34</v>
      </c>
      <c r="E49" s="45" t="s">
        <v>150</v>
      </c>
      <c r="F49" s="18" t="s">
        <v>21</v>
      </c>
      <c r="G49" s="18">
        <v>15</v>
      </c>
      <c r="H49" s="71">
        <v>51.67</v>
      </c>
      <c r="I49" s="14">
        <f>H49*0.1532</f>
        <v>7.9158440000000008</v>
      </c>
      <c r="J49" s="14">
        <f>H49+I49</f>
        <v>59.585844000000002</v>
      </c>
      <c r="K49" s="14">
        <f>J49*(0.03%)</f>
        <v>1.78757532E-2</v>
      </c>
      <c r="L49" s="14">
        <f>J49-K49</f>
        <v>59.5679682468</v>
      </c>
      <c r="M49" s="14">
        <f>L49*G49</f>
        <v>893.51952370200001</v>
      </c>
      <c r="N49" s="14">
        <f t="shared" si="11"/>
        <v>1.560712847362062</v>
      </c>
      <c r="O49" s="84"/>
    </row>
    <row r="50" spans="1:15" x14ac:dyDescent="0.25">
      <c r="A50" s="18" t="s">
        <v>111</v>
      </c>
      <c r="B50" s="18" t="s">
        <v>81</v>
      </c>
      <c r="C50" s="18">
        <v>11830</v>
      </c>
      <c r="D50" s="18" t="s">
        <v>34</v>
      </c>
      <c r="E50" s="57" t="s">
        <v>151</v>
      </c>
      <c r="F50" s="18" t="s">
        <v>21</v>
      </c>
      <c r="G50" s="18">
        <v>15</v>
      </c>
      <c r="H50" s="68">
        <v>54.71</v>
      </c>
      <c r="I50" s="14">
        <f t="shared" ref="I50:I56" si="27">H50*0.1532</f>
        <v>8.3815720000000002</v>
      </c>
      <c r="J50" s="14">
        <f t="shared" ref="J50:J56" si="28">H50+I50</f>
        <v>63.091571999999999</v>
      </c>
      <c r="K50" s="14">
        <f t="shared" ref="K50:K56" si="29">J50*(0.03%)</f>
        <v>1.8927471599999999E-2</v>
      </c>
      <c r="L50" s="14">
        <f t="shared" ref="L50:L56" si="30">J50-K50</f>
        <v>63.072644528399998</v>
      </c>
      <c r="M50" s="14">
        <f t="shared" ref="M50:M56" si="31">L50*G50</f>
        <v>946.08966792599995</v>
      </c>
      <c r="N50" s="14">
        <f t="shared" si="11"/>
        <v>1.0588349138765241</v>
      </c>
      <c r="O50" s="84"/>
    </row>
    <row r="51" spans="1:15" s="43" customFormat="1" ht="17.100000000000001" customHeight="1" x14ac:dyDescent="0.2">
      <c r="A51" s="18" t="s">
        <v>86</v>
      </c>
      <c r="B51" s="18" t="s">
        <v>81</v>
      </c>
      <c r="C51" s="23">
        <v>10235</v>
      </c>
      <c r="D51" s="18" t="s">
        <v>34</v>
      </c>
      <c r="E51" s="24" t="s">
        <v>152</v>
      </c>
      <c r="F51" s="18" t="s">
        <v>21</v>
      </c>
      <c r="G51" s="18">
        <v>1</v>
      </c>
      <c r="H51" s="74">
        <v>491.1</v>
      </c>
      <c r="I51" s="35">
        <f t="shared" si="27"/>
        <v>75.236519999999999</v>
      </c>
      <c r="J51" s="35">
        <f t="shared" si="28"/>
        <v>566.33652000000006</v>
      </c>
      <c r="K51" s="35">
        <f t="shared" si="29"/>
        <v>0.16990095599999999</v>
      </c>
      <c r="L51" s="35">
        <f t="shared" si="30"/>
        <v>566.16661904400007</v>
      </c>
      <c r="M51" s="35">
        <f t="shared" si="31"/>
        <v>566.16661904400007</v>
      </c>
      <c r="N51" s="14">
        <f t="shared" si="11"/>
        <v>0.59842807530615982</v>
      </c>
      <c r="O51" s="84"/>
    </row>
    <row r="52" spans="1:15" s="43" customFormat="1" ht="17.100000000000001" customHeight="1" x14ac:dyDescent="0.25">
      <c r="A52" s="18" t="s">
        <v>112</v>
      </c>
      <c r="B52" s="18" t="s">
        <v>81</v>
      </c>
      <c r="C52" s="18">
        <v>4823</v>
      </c>
      <c r="D52" s="18" t="s">
        <v>34</v>
      </c>
      <c r="E52" s="45" t="s">
        <v>153</v>
      </c>
      <c r="F52" s="18" t="s">
        <v>119</v>
      </c>
      <c r="G52" s="18">
        <v>2</v>
      </c>
      <c r="H52" s="75">
        <v>42.55</v>
      </c>
      <c r="I52" s="14">
        <f t="shared" si="27"/>
        <v>6.5186599999999997</v>
      </c>
      <c r="J52" s="14">
        <f t="shared" si="28"/>
        <v>49.068659999999994</v>
      </c>
      <c r="K52" s="14">
        <f t="shared" si="29"/>
        <v>1.4720597999999996E-2</v>
      </c>
      <c r="L52" s="14">
        <f t="shared" si="30"/>
        <v>49.053939401999997</v>
      </c>
      <c r="M52" s="14">
        <f t="shared" si="31"/>
        <v>98.107878803999995</v>
      </c>
      <c r="N52" s="14">
        <f t="shared" si="11"/>
        <v>0.17328446344939927</v>
      </c>
      <c r="O52" s="84"/>
    </row>
    <row r="53" spans="1:15" s="43" customFormat="1" ht="17.25" customHeight="1" x14ac:dyDescent="0.25">
      <c r="A53" s="18" t="s">
        <v>104</v>
      </c>
      <c r="B53" s="18" t="s">
        <v>81</v>
      </c>
      <c r="C53" s="18">
        <v>3897</v>
      </c>
      <c r="D53" s="18" t="s">
        <v>34</v>
      </c>
      <c r="E53" s="45" t="s">
        <v>134</v>
      </c>
      <c r="F53" s="18" t="s">
        <v>21</v>
      </c>
      <c r="G53" s="18">
        <v>15</v>
      </c>
      <c r="H53" s="75">
        <v>1.44</v>
      </c>
      <c r="I53" s="14">
        <f t="shared" si="27"/>
        <v>0.220608</v>
      </c>
      <c r="J53" s="14">
        <f t="shared" si="28"/>
        <v>1.6606079999999999</v>
      </c>
      <c r="K53" s="14">
        <f t="shared" si="29"/>
        <v>4.9818239999999993E-4</v>
      </c>
      <c r="L53" s="14">
        <f t="shared" si="30"/>
        <v>1.6601098175999998</v>
      </c>
      <c r="M53" s="14">
        <f t="shared" si="31"/>
        <v>24.901647263999998</v>
      </c>
      <c r="N53" s="14">
        <f t="shared" si="11"/>
        <v>0.25381903642773207</v>
      </c>
      <c r="O53" s="84"/>
    </row>
    <row r="54" spans="1:15" s="43" customFormat="1" ht="17.100000000000001" customHeight="1" x14ac:dyDescent="0.2">
      <c r="A54" s="18" t="s">
        <v>94</v>
      </c>
      <c r="B54" s="18" t="s">
        <v>81</v>
      </c>
      <c r="C54" s="23">
        <v>3844</v>
      </c>
      <c r="D54" s="18" t="s">
        <v>34</v>
      </c>
      <c r="E54" s="24" t="s">
        <v>154</v>
      </c>
      <c r="F54" s="18" t="s">
        <v>21</v>
      </c>
      <c r="G54" s="18">
        <v>2</v>
      </c>
      <c r="H54" s="74">
        <v>167.48</v>
      </c>
      <c r="I54" s="35">
        <f t="shared" si="27"/>
        <v>25.657935999999999</v>
      </c>
      <c r="J54" s="35">
        <f t="shared" si="28"/>
        <v>193.137936</v>
      </c>
      <c r="K54" s="35">
        <f t="shared" si="29"/>
        <v>5.7941380799999991E-2</v>
      </c>
      <c r="L54" s="35">
        <f t="shared" si="30"/>
        <v>193.07999461919999</v>
      </c>
      <c r="M54" s="35">
        <f t="shared" si="31"/>
        <v>386.15998923839999</v>
      </c>
      <c r="N54" s="14">
        <f t="shared" si="11"/>
        <v>15.507407407407408</v>
      </c>
      <c r="O54" s="84"/>
    </row>
    <row r="55" spans="1:15" s="43" customFormat="1" ht="17.100000000000001" customHeight="1" x14ac:dyDescent="0.2">
      <c r="A55" s="18" t="s">
        <v>83</v>
      </c>
      <c r="B55" s="18" t="s">
        <v>81</v>
      </c>
      <c r="C55" s="23">
        <v>41930</v>
      </c>
      <c r="D55" s="18" t="s">
        <v>34</v>
      </c>
      <c r="E55" s="24" t="s">
        <v>155</v>
      </c>
      <c r="F55" s="18" t="s">
        <v>120</v>
      </c>
      <c r="G55" s="18">
        <v>6</v>
      </c>
      <c r="H55" s="74">
        <v>120.83</v>
      </c>
      <c r="I55" s="35">
        <f t="shared" si="27"/>
        <v>18.511156</v>
      </c>
      <c r="J55" s="35">
        <f t="shared" si="28"/>
        <v>139.34115600000001</v>
      </c>
      <c r="K55" s="35">
        <f t="shared" si="29"/>
        <v>4.1802346800000001E-2</v>
      </c>
      <c r="L55" s="35">
        <f t="shared" si="30"/>
        <v>139.2993536532</v>
      </c>
      <c r="M55" s="35">
        <f t="shared" si="31"/>
        <v>835.7961219192</v>
      </c>
      <c r="N55" s="14">
        <f t="shared" si="11"/>
        <v>2.1643778361595416</v>
      </c>
      <c r="O55" s="84"/>
    </row>
    <row r="56" spans="1:15" s="19" customFormat="1" ht="17.100000000000001" customHeight="1" x14ac:dyDescent="0.2">
      <c r="A56" s="18" t="s">
        <v>95</v>
      </c>
      <c r="B56" s="18" t="s">
        <v>81</v>
      </c>
      <c r="C56" s="18">
        <v>38194</v>
      </c>
      <c r="D56" s="18" t="s">
        <v>34</v>
      </c>
      <c r="E56" s="24" t="s">
        <v>156</v>
      </c>
      <c r="F56" s="18" t="s">
        <v>21</v>
      </c>
      <c r="G56" s="18">
        <v>20</v>
      </c>
      <c r="H56" s="62">
        <v>5</v>
      </c>
      <c r="I56" s="14">
        <f t="shared" si="27"/>
        <v>0.76600000000000001</v>
      </c>
      <c r="J56" s="14">
        <f t="shared" si="28"/>
        <v>5.766</v>
      </c>
      <c r="K56" s="14">
        <f t="shared" si="29"/>
        <v>1.7297999999999999E-3</v>
      </c>
      <c r="L56" s="14">
        <f t="shared" si="30"/>
        <v>5.7642702000000003</v>
      </c>
      <c r="M56" s="14">
        <f t="shared" si="31"/>
        <v>115.285404</v>
      </c>
      <c r="N56" s="14">
        <f t="shared" si="11"/>
        <v>0.13793483958178157</v>
      </c>
      <c r="O56" s="84"/>
    </row>
    <row r="57" spans="1:15" s="43" customFormat="1" ht="17.100000000000001" customHeight="1" x14ac:dyDescent="0.2">
      <c r="A57" s="18" t="s">
        <v>113</v>
      </c>
      <c r="B57" s="18" t="s">
        <v>81</v>
      </c>
      <c r="C57" s="23">
        <v>11676</v>
      </c>
      <c r="D57" s="18" t="s">
        <v>34</v>
      </c>
      <c r="E57" s="24" t="s">
        <v>157</v>
      </c>
      <c r="F57" s="18" t="s">
        <v>21</v>
      </c>
      <c r="G57" s="18">
        <v>3</v>
      </c>
      <c r="H57" s="74">
        <v>58.99</v>
      </c>
      <c r="I57" s="14">
        <f t="shared" ref="I57:I60" si="32">H57*0.1532</f>
        <v>9.037268000000001</v>
      </c>
      <c r="J57" s="14">
        <f t="shared" ref="J57:J60" si="33">H57+I57</f>
        <v>68.027268000000007</v>
      </c>
      <c r="K57" s="14">
        <f t="shared" ref="K57:K60" si="34">J57*(0.03%)</f>
        <v>2.04081804E-2</v>
      </c>
      <c r="L57" s="14">
        <f t="shared" ref="L57:L60" si="35">J57-K57</f>
        <v>68.00685981960001</v>
      </c>
      <c r="M57" s="14">
        <f t="shared" ref="M57:M60" si="36">L57*G57</f>
        <v>204.02057945880003</v>
      </c>
      <c r="N57" s="14">
        <f t="shared" si="11"/>
        <v>1.7697000000000003</v>
      </c>
      <c r="O57" s="84"/>
    </row>
    <row r="58" spans="1:15" s="43" customFormat="1" ht="17.100000000000001" customHeight="1" x14ac:dyDescent="0.2">
      <c r="A58" s="18" t="s">
        <v>114</v>
      </c>
      <c r="B58" s="18" t="s">
        <v>81</v>
      </c>
      <c r="C58" s="23">
        <v>11675</v>
      </c>
      <c r="D58" s="18" t="s">
        <v>34</v>
      </c>
      <c r="E58" s="24" t="s">
        <v>158</v>
      </c>
      <c r="F58" s="18" t="s">
        <v>21</v>
      </c>
      <c r="G58" s="18">
        <v>10</v>
      </c>
      <c r="H58" s="74">
        <v>44.1</v>
      </c>
      <c r="I58" s="14">
        <f t="shared" si="32"/>
        <v>6.7561200000000001</v>
      </c>
      <c r="J58" s="14">
        <f t="shared" si="33"/>
        <v>50.856120000000004</v>
      </c>
      <c r="K58" s="14">
        <f t="shared" si="34"/>
        <v>1.5256835999999999E-2</v>
      </c>
      <c r="L58" s="14">
        <f t="shared" si="35"/>
        <v>50.840863164000005</v>
      </c>
      <c r="M58" s="14">
        <f t="shared" si="36"/>
        <v>508.40863164000007</v>
      </c>
      <c r="N58" s="14">
        <f t="shared" si="11"/>
        <v>2.4919477877606373</v>
      </c>
      <c r="O58" s="84"/>
    </row>
    <row r="59" spans="1:15" s="43" customFormat="1" ht="17.100000000000001" customHeight="1" x14ac:dyDescent="0.2">
      <c r="A59" s="18" t="s">
        <v>96</v>
      </c>
      <c r="B59" s="18" t="s">
        <v>81</v>
      </c>
      <c r="C59" s="23">
        <v>11677</v>
      </c>
      <c r="D59" s="18" t="s">
        <v>34</v>
      </c>
      <c r="E59" s="24" t="s">
        <v>159</v>
      </c>
      <c r="F59" s="18" t="s">
        <v>21</v>
      </c>
      <c r="G59" s="18">
        <v>8</v>
      </c>
      <c r="H59" s="74">
        <v>60.92</v>
      </c>
      <c r="I59" s="14">
        <f t="shared" si="32"/>
        <v>9.3329440000000012</v>
      </c>
      <c r="J59" s="14">
        <f t="shared" si="33"/>
        <v>70.252943999999999</v>
      </c>
      <c r="K59" s="14">
        <f t="shared" si="34"/>
        <v>2.1075883199999999E-2</v>
      </c>
      <c r="L59" s="14">
        <f t="shared" si="35"/>
        <v>70.231868116800001</v>
      </c>
      <c r="M59" s="14">
        <f t="shared" si="36"/>
        <v>561.85494493440001</v>
      </c>
      <c r="N59" s="14">
        <f t="shared" si="11"/>
        <v>1.1051247165532878</v>
      </c>
      <c r="O59" s="84"/>
    </row>
    <row r="60" spans="1:15" s="43" customFormat="1" ht="17.25" customHeight="1" x14ac:dyDescent="0.25">
      <c r="A60" s="18" t="s">
        <v>116</v>
      </c>
      <c r="B60" s="18" t="s">
        <v>81</v>
      </c>
      <c r="C60" s="11">
        <v>142</v>
      </c>
      <c r="D60" s="18" t="s">
        <v>34</v>
      </c>
      <c r="E60" s="44" t="s">
        <v>160</v>
      </c>
      <c r="F60" s="18" t="s">
        <v>21</v>
      </c>
      <c r="G60" s="18">
        <v>100</v>
      </c>
      <c r="H60" s="62">
        <v>34.86</v>
      </c>
      <c r="I60" s="14">
        <f t="shared" si="32"/>
        <v>5.3405519999999997</v>
      </c>
      <c r="J60" s="14">
        <f t="shared" si="33"/>
        <v>40.200552000000002</v>
      </c>
      <c r="K60" s="14">
        <f t="shared" si="34"/>
        <v>1.2060165599999999E-2</v>
      </c>
      <c r="L60" s="14">
        <f t="shared" si="35"/>
        <v>40.188491834400004</v>
      </c>
      <c r="M60" s="14">
        <f t="shared" si="36"/>
        <v>4018.8491834400006</v>
      </c>
      <c r="N60" s="14">
        <f t="shared" si="11"/>
        <v>7.1528233749179257</v>
      </c>
      <c r="O60" s="84"/>
    </row>
    <row r="61" spans="1:15" s="43" customFormat="1" ht="17.25" customHeight="1" x14ac:dyDescent="0.25">
      <c r="A61" s="18" t="s">
        <v>115</v>
      </c>
      <c r="B61" s="18" t="s">
        <v>81</v>
      </c>
      <c r="C61" s="18">
        <v>111</v>
      </c>
      <c r="D61" s="18" t="s">
        <v>34</v>
      </c>
      <c r="E61" s="45" t="s">
        <v>135</v>
      </c>
      <c r="F61" s="18" t="s">
        <v>21</v>
      </c>
      <c r="G61" s="18">
        <v>10</v>
      </c>
      <c r="H61" s="75">
        <v>6.99</v>
      </c>
      <c r="I61" s="14">
        <f t="shared" ref="I61:I66" si="37">H61*0.1532</f>
        <v>1.0708680000000002</v>
      </c>
      <c r="J61" s="14">
        <f t="shared" ref="J61:J66" si="38">H61+I61</f>
        <v>8.060868000000001</v>
      </c>
      <c r="K61" s="14">
        <f t="shared" ref="K61:K66" si="39">J61*(0.03%)</f>
        <v>2.4182603999999999E-3</v>
      </c>
      <c r="L61" s="14">
        <f t="shared" ref="L61:L66" si="40">J61-K61</f>
        <v>8.0584497396000003</v>
      </c>
      <c r="M61" s="14">
        <f t="shared" ref="M61:M66" si="41">L61*G61</f>
        <v>80.584497396000003</v>
      </c>
      <c r="N61" s="14">
        <f t="shared" si="11"/>
        <v>2.0051635111876073E-2</v>
      </c>
      <c r="O61" s="84"/>
    </row>
    <row r="62" spans="1:15" s="43" customFormat="1" ht="17.25" customHeight="1" x14ac:dyDescent="0.25">
      <c r="A62" s="18" t="s">
        <v>117</v>
      </c>
      <c r="B62" s="18" t="s">
        <v>81</v>
      </c>
      <c r="C62" s="18">
        <v>104</v>
      </c>
      <c r="D62" s="18" t="s">
        <v>34</v>
      </c>
      <c r="E62" s="45" t="s">
        <v>161</v>
      </c>
      <c r="F62" s="18" t="s">
        <v>21</v>
      </c>
      <c r="G62" s="18">
        <v>6</v>
      </c>
      <c r="H62" s="75">
        <v>16.149999999999999</v>
      </c>
      <c r="I62" s="14">
        <f t="shared" si="37"/>
        <v>2.47418</v>
      </c>
      <c r="J62" s="14">
        <f t="shared" si="38"/>
        <v>18.624179999999999</v>
      </c>
      <c r="K62" s="14">
        <f t="shared" si="39"/>
        <v>5.587253999999999E-3</v>
      </c>
      <c r="L62" s="14">
        <f t="shared" si="40"/>
        <v>18.618592745999997</v>
      </c>
      <c r="M62" s="14">
        <f t="shared" si="41"/>
        <v>111.71155647599998</v>
      </c>
      <c r="N62" s="14">
        <f t="shared" si="11"/>
        <v>1.3862660944206007</v>
      </c>
      <c r="O62" s="84"/>
    </row>
    <row r="63" spans="1:15" s="43" customFormat="1" ht="17.25" customHeight="1" x14ac:dyDescent="0.25">
      <c r="A63" s="18" t="s">
        <v>121</v>
      </c>
      <c r="B63" s="18" t="s">
        <v>81</v>
      </c>
      <c r="C63" s="18">
        <v>102</v>
      </c>
      <c r="D63" s="18" t="s">
        <v>34</v>
      </c>
      <c r="E63" s="45" t="s">
        <v>162</v>
      </c>
      <c r="F63" s="18" t="s">
        <v>21</v>
      </c>
      <c r="G63" s="18">
        <v>8</v>
      </c>
      <c r="H63" s="75">
        <v>22.26</v>
      </c>
      <c r="I63" s="14">
        <f t="shared" si="37"/>
        <v>3.4102320000000002</v>
      </c>
      <c r="J63" s="14">
        <f t="shared" si="38"/>
        <v>25.670232000000002</v>
      </c>
      <c r="K63" s="14">
        <f t="shared" si="39"/>
        <v>7.7010695999999998E-3</v>
      </c>
      <c r="L63" s="14">
        <f t="shared" si="40"/>
        <v>25.662530930400003</v>
      </c>
      <c r="M63" s="14">
        <f t="shared" si="41"/>
        <v>205.30024744320002</v>
      </c>
      <c r="N63" s="14">
        <f t="shared" si="11"/>
        <v>1.8377708978328178</v>
      </c>
      <c r="O63" s="84"/>
    </row>
    <row r="64" spans="1:15" s="43" customFormat="1" ht="17.100000000000001" customHeight="1" x14ac:dyDescent="0.25">
      <c r="A64" s="18" t="s">
        <v>124</v>
      </c>
      <c r="B64" s="18" t="s">
        <v>81</v>
      </c>
      <c r="C64" s="18">
        <v>829</v>
      </c>
      <c r="D64" s="18" t="s">
        <v>34</v>
      </c>
      <c r="E64" s="49" t="s">
        <v>136</v>
      </c>
      <c r="F64" s="18" t="s">
        <v>21</v>
      </c>
      <c r="G64" s="18">
        <v>20</v>
      </c>
      <c r="H64" s="74">
        <v>0.79</v>
      </c>
      <c r="I64" s="41">
        <f t="shared" si="37"/>
        <v>0.12102800000000001</v>
      </c>
      <c r="J64" s="41">
        <f t="shared" si="38"/>
        <v>0.91102800000000006</v>
      </c>
      <c r="K64" s="41">
        <f t="shared" si="39"/>
        <v>2.7330840000000002E-4</v>
      </c>
      <c r="L64" s="41">
        <f t="shared" si="40"/>
        <v>0.91075469160000011</v>
      </c>
      <c r="M64" s="41">
        <f t="shared" si="41"/>
        <v>18.215093832000001</v>
      </c>
      <c r="N64" s="14">
        <f t="shared" si="11"/>
        <v>8.872416891284815E-2</v>
      </c>
      <c r="O64" s="84"/>
    </row>
    <row r="65" spans="1:15" s="43" customFormat="1" ht="17.100000000000001" customHeight="1" x14ac:dyDescent="0.2">
      <c r="A65" s="18" t="s">
        <v>125</v>
      </c>
      <c r="B65" s="18" t="s">
        <v>81</v>
      </c>
      <c r="C65" s="23">
        <v>812</v>
      </c>
      <c r="D65" s="18" t="s">
        <v>34</v>
      </c>
      <c r="E65" s="24" t="s">
        <v>163</v>
      </c>
      <c r="F65" s="18" t="s">
        <v>21</v>
      </c>
      <c r="G65" s="18">
        <v>10</v>
      </c>
      <c r="H65" s="74">
        <v>1.75</v>
      </c>
      <c r="I65" s="35">
        <f t="shared" si="37"/>
        <v>0.2681</v>
      </c>
      <c r="J65" s="35">
        <f t="shared" si="38"/>
        <v>2.0181</v>
      </c>
      <c r="K65" s="35">
        <f t="shared" si="39"/>
        <v>6.054299999999999E-4</v>
      </c>
      <c r="L65" s="35">
        <f t="shared" si="40"/>
        <v>2.0174945700000002</v>
      </c>
      <c r="M65" s="35">
        <f t="shared" si="41"/>
        <v>20.174945700000002</v>
      </c>
      <c r="N65" s="14">
        <f t="shared" si="11"/>
        <v>1.1075949367088609</v>
      </c>
      <c r="O65" s="84"/>
    </row>
    <row r="66" spans="1:15" s="43" customFormat="1" ht="17.100000000000001" customHeight="1" x14ac:dyDescent="0.2">
      <c r="A66" s="18" t="s">
        <v>122</v>
      </c>
      <c r="B66" s="18" t="s">
        <v>81</v>
      </c>
      <c r="C66" s="23">
        <v>819</v>
      </c>
      <c r="D66" s="18" t="s">
        <v>34</v>
      </c>
      <c r="E66" s="24" t="s">
        <v>164</v>
      </c>
      <c r="F66" s="18" t="s">
        <v>21</v>
      </c>
      <c r="G66" s="18">
        <v>10</v>
      </c>
      <c r="H66" s="74">
        <v>3.03</v>
      </c>
      <c r="I66" s="35">
        <f t="shared" si="37"/>
        <v>0.464196</v>
      </c>
      <c r="J66" s="35">
        <f t="shared" si="38"/>
        <v>3.4941959999999996</v>
      </c>
      <c r="K66" s="35">
        <f t="shared" si="39"/>
        <v>1.0482587999999999E-3</v>
      </c>
      <c r="L66" s="35">
        <f t="shared" si="40"/>
        <v>3.4931477411999996</v>
      </c>
      <c r="M66" s="35">
        <f t="shared" si="41"/>
        <v>34.931477411999992</v>
      </c>
      <c r="N66" s="14">
        <f t="shared" si="11"/>
        <v>1.7314285714285709</v>
      </c>
      <c r="O66" s="84"/>
    </row>
    <row r="67" spans="1:15" s="43" customFormat="1" ht="17.100000000000001" customHeight="1" x14ac:dyDescent="0.2">
      <c r="A67" s="18" t="s">
        <v>126</v>
      </c>
      <c r="B67" s="18" t="s">
        <v>81</v>
      </c>
      <c r="C67" s="23">
        <v>821</v>
      </c>
      <c r="D67" s="18" t="s">
        <v>34</v>
      </c>
      <c r="E67" s="24" t="s">
        <v>148</v>
      </c>
      <c r="F67" s="18" t="s">
        <v>21</v>
      </c>
      <c r="G67" s="18">
        <v>10</v>
      </c>
      <c r="H67" s="73">
        <v>15.68</v>
      </c>
      <c r="I67" s="35">
        <f t="shared" ref="I67" si="42">H67*0.1532</f>
        <v>2.4021759999999999</v>
      </c>
      <c r="J67" s="35">
        <f t="shared" ref="J67" si="43">H67+I67</f>
        <v>18.082176</v>
      </c>
      <c r="K67" s="35">
        <f t="shared" ref="K67" si="44">J67*(0.03%)</f>
        <v>5.4246527999999997E-3</v>
      </c>
      <c r="L67" s="35">
        <f t="shared" ref="L67" si="45">J67-K67</f>
        <v>18.076751347200002</v>
      </c>
      <c r="M67" s="35">
        <f t="shared" ref="M67" si="46">L67*G67</f>
        <v>180.76751347200002</v>
      </c>
      <c r="N67" s="14">
        <f t="shared" si="11"/>
        <v>5.1749174917491763</v>
      </c>
      <c r="O67" s="84"/>
    </row>
    <row r="68" spans="1:15" s="43" customFormat="1" ht="17.100000000000001" customHeight="1" x14ac:dyDescent="0.25">
      <c r="A68" s="18" t="s">
        <v>138</v>
      </c>
      <c r="B68" s="18" t="s">
        <v>81</v>
      </c>
      <c r="C68" s="18">
        <v>3903</v>
      </c>
      <c r="D68" s="18" t="s">
        <v>34</v>
      </c>
      <c r="E68" s="45" t="s">
        <v>165</v>
      </c>
      <c r="F68" s="18" t="s">
        <v>21</v>
      </c>
      <c r="G68" s="18">
        <v>10</v>
      </c>
      <c r="H68" s="75">
        <v>1.66</v>
      </c>
      <c r="I68" s="14">
        <f t="shared" ref="I68:I72" si="47">H68*0.1532</f>
        <v>0.25431199999999998</v>
      </c>
      <c r="J68" s="14">
        <f t="shared" ref="J68:J72" si="48">H68+I68</f>
        <v>1.9143119999999998</v>
      </c>
      <c r="K68" s="14">
        <f t="shared" ref="K68:K72" si="49">J68*(0.03%)</f>
        <v>5.7429359999999991E-4</v>
      </c>
      <c r="L68" s="14">
        <f t="shared" ref="L68:L72" si="50">J68-K68</f>
        <v>1.9137377063999998</v>
      </c>
      <c r="M68" s="14">
        <f t="shared" ref="M68:M72" si="51">L68*G68</f>
        <v>19.137377063999999</v>
      </c>
      <c r="N68" s="14">
        <f t="shared" si="11"/>
        <v>0.10586734693877549</v>
      </c>
      <c r="O68" s="84"/>
    </row>
    <row r="69" spans="1:15" s="52" customFormat="1" ht="17.100000000000001" customHeight="1" x14ac:dyDescent="0.25">
      <c r="A69" s="18" t="s">
        <v>139</v>
      </c>
      <c r="B69" s="18" t="s">
        <v>81</v>
      </c>
      <c r="C69" s="18">
        <v>9868</v>
      </c>
      <c r="D69" s="18" t="s">
        <v>34</v>
      </c>
      <c r="E69" s="53" t="s">
        <v>137</v>
      </c>
      <c r="F69" s="18" t="s">
        <v>120</v>
      </c>
      <c r="G69" s="18">
        <v>120</v>
      </c>
      <c r="H69" s="75">
        <v>3.45</v>
      </c>
      <c r="I69" s="14">
        <f t="shared" si="47"/>
        <v>0.52854000000000001</v>
      </c>
      <c r="J69" s="14">
        <f t="shared" si="48"/>
        <v>3.9785400000000002</v>
      </c>
      <c r="K69" s="14">
        <f t="shared" si="49"/>
        <v>1.193562E-3</v>
      </c>
      <c r="L69" s="14">
        <f t="shared" si="50"/>
        <v>3.9773464380000001</v>
      </c>
      <c r="M69" s="14">
        <f t="shared" si="51"/>
        <v>477.28157256000003</v>
      </c>
      <c r="N69" s="14">
        <f t="shared" si="11"/>
        <v>24.939759036144583</v>
      </c>
      <c r="O69" s="84"/>
    </row>
    <row r="70" spans="1:15" s="52" customFormat="1" ht="17.100000000000001" customHeight="1" x14ac:dyDescent="0.25">
      <c r="A70" s="18" t="s">
        <v>168</v>
      </c>
      <c r="B70" s="18" t="s">
        <v>81</v>
      </c>
      <c r="C70" s="18">
        <v>9869</v>
      </c>
      <c r="D70" s="18" t="s">
        <v>34</v>
      </c>
      <c r="E70" s="45" t="s">
        <v>166</v>
      </c>
      <c r="F70" s="18" t="s">
        <v>120</v>
      </c>
      <c r="G70" s="18">
        <v>90</v>
      </c>
      <c r="H70" s="75">
        <v>7.44</v>
      </c>
      <c r="I70" s="14">
        <f t="shared" si="47"/>
        <v>1.1398080000000002</v>
      </c>
      <c r="J70" s="14">
        <f t="shared" si="48"/>
        <v>8.5798079999999999</v>
      </c>
      <c r="K70" s="14">
        <f t="shared" si="49"/>
        <v>2.5739423999999998E-3</v>
      </c>
      <c r="L70" s="14">
        <f t="shared" si="50"/>
        <v>8.5772340576000001</v>
      </c>
      <c r="M70" s="14">
        <f t="shared" si="51"/>
        <v>771.95106518399996</v>
      </c>
      <c r="N70" s="14">
        <f t="shared" si="11"/>
        <v>1.6173913043478259</v>
      </c>
      <c r="O70" s="84"/>
    </row>
    <row r="71" spans="1:15" s="46" customFormat="1" ht="17.25" customHeight="1" x14ac:dyDescent="0.25">
      <c r="A71" s="18" t="s">
        <v>169</v>
      </c>
      <c r="B71" s="18" t="s">
        <v>81</v>
      </c>
      <c r="C71" s="18">
        <v>3531</v>
      </c>
      <c r="D71" s="18" t="s">
        <v>100</v>
      </c>
      <c r="E71" s="45" t="s">
        <v>167</v>
      </c>
      <c r="F71" s="18" t="s">
        <v>101</v>
      </c>
      <c r="G71" s="18">
        <v>1.8</v>
      </c>
      <c r="H71" s="70">
        <v>89.67</v>
      </c>
      <c r="I71" s="14">
        <f t="shared" si="47"/>
        <v>13.737444</v>
      </c>
      <c r="J71" s="14">
        <f t="shared" si="48"/>
        <v>103.407444</v>
      </c>
      <c r="K71" s="14">
        <f t="shared" si="49"/>
        <v>3.1022233199999995E-2</v>
      </c>
      <c r="L71" s="14">
        <f t="shared" si="50"/>
        <v>103.37642176679999</v>
      </c>
      <c r="M71" s="14">
        <f t="shared" si="51"/>
        <v>186.07755918024</v>
      </c>
      <c r="N71" s="14">
        <f t="shared" si="11"/>
        <v>0.2410483870967742</v>
      </c>
      <c r="O71" s="84"/>
    </row>
    <row r="72" spans="1:15" s="43" customFormat="1" ht="17.25" customHeight="1" x14ac:dyDescent="0.25">
      <c r="A72" s="18" t="s">
        <v>177</v>
      </c>
      <c r="B72" s="18" t="s">
        <v>81</v>
      </c>
      <c r="C72" s="18">
        <v>11296</v>
      </c>
      <c r="D72" s="18" t="s">
        <v>100</v>
      </c>
      <c r="E72" s="45" t="s">
        <v>176</v>
      </c>
      <c r="F72" s="18" t="s">
        <v>120</v>
      </c>
      <c r="G72" s="18">
        <v>1</v>
      </c>
      <c r="H72" s="68">
        <v>1516.41</v>
      </c>
      <c r="I72" s="14">
        <f t="shared" si="47"/>
        <v>232.31401200000002</v>
      </c>
      <c r="J72" s="14">
        <f t="shared" si="48"/>
        <v>1748.7240120000001</v>
      </c>
      <c r="K72" s="14">
        <f t="shared" si="49"/>
        <v>0.52461720359999997</v>
      </c>
      <c r="L72" s="14">
        <f t="shared" si="50"/>
        <v>1748.1993947964002</v>
      </c>
      <c r="M72" s="14">
        <f t="shared" si="51"/>
        <v>1748.1993947964002</v>
      </c>
      <c r="N72" s="14">
        <f t="shared" si="11"/>
        <v>9.3950039032006245</v>
      </c>
      <c r="O72" s="84"/>
    </row>
    <row r="73" spans="1:15" s="43" customFormat="1" ht="17.25" customHeight="1" x14ac:dyDescent="0.25">
      <c r="A73" s="18"/>
      <c r="B73" s="18"/>
      <c r="C73" s="18"/>
      <c r="D73" s="18"/>
      <c r="E73" s="45"/>
      <c r="F73" s="18"/>
      <c r="G73" s="18"/>
      <c r="H73" s="40"/>
      <c r="I73" s="14"/>
      <c r="J73" s="14"/>
      <c r="K73" s="14"/>
      <c r="L73" s="14"/>
      <c r="M73" s="14"/>
      <c r="N73" s="14"/>
      <c r="O73" s="84"/>
    </row>
    <row r="74" spans="1:15" s="43" customFormat="1" ht="17.25" customHeight="1" x14ac:dyDescent="0.25">
      <c r="A74" s="18"/>
      <c r="B74" s="18"/>
      <c r="C74" s="18"/>
      <c r="D74" s="18"/>
      <c r="E74" s="45"/>
      <c r="F74" s="18"/>
      <c r="G74" s="18"/>
      <c r="H74" s="40"/>
      <c r="I74" s="14"/>
      <c r="J74" s="14"/>
      <c r="K74" s="14"/>
      <c r="L74" s="14"/>
      <c r="M74" s="14"/>
      <c r="N74" s="14"/>
      <c r="O74" s="84"/>
    </row>
    <row r="75" spans="1:15" s="19" customFormat="1" ht="17.25" customHeight="1" x14ac:dyDescent="0.2">
      <c r="A75" s="18"/>
      <c r="B75" s="18"/>
      <c r="C75" s="23"/>
      <c r="D75" s="18"/>
      <c r="E75" s="24"/>
      <c r="F75" s="18"/>
      <c r="G75" s="18"/>
      <c r="H75" s="26"/>
      <c r="I75" s="14"/>
      <c r="J75" s="14"/>
      <c r="K75" s="14"/>
      <c r="L75" s="14"/>
      <c r="M75" s="14"/>
      <c r="N75" s="14"/>
      <c r="O75" s="84"/>
    </row>
    <row r="76" spans="1:15" s="27" customFormat="1" ht="17.100000000000001" customHeight="1" x14ac:dyDescent="0.25">
      <c r="A76" s="143" t="s">
        <v>16</v>
      </c>
      <c r="B76" s="102" t="s">
        <v>17</v>
      </c>
      <c r="C76" s="102" t="s">
        <v>18</v>
      </c>
      <c r="D76" s="102" t="s">
        <v>19</v>
      </c>
      <c r="E76" s="102" t="s">
        <v>20</v>
      </c>
      <c r="F76" s="102" t="s">
        <v>21</v>
      </c>
      <c r="G76" s="102" t="s">
        <v>22</v>
      </c>
      <c r="H76" s="145" t="s">
        <v>23</v>
      </c>
      <c r="I76" s="145"/>
      <c r="J76" s="145"/>
      <c r="K76" s="145"/>
      <c r="L76" s="146"/>
      <c r="M76" s="102" t="s">
        <v>24</v>
      </c>
      <c r="N76" s="102" t="s">
        <v>25</v>
      </c>
      <c r="O76" s="83"/>
    </row>
    <row r="77" spans="1:15" s="27" customFormat="1" ht="17.100000000000001" customHeight="1" x14ac:dyDescent="0.25">
      <c r="A77" s="144"/>
      <c r="B77" s="103"/>
      <c r="C77" s="103"/>
      <c r="D77" s="103"/>
      <c r="E77" s="103"/>
      <c r="F77" s="103"/>
      <c r="G77" s="103"/>
      <c r="H77" s="4" t="s">
        <v>27</v>
      </c>
      <c r="I77" s="4" t="s">
        <v>28</v>
      </c>
      <c r="J77" s="4" t="s">
        <v>29</v>
      </c>
      <c r="K77" s="4" t="s">
        <v>53</v>
      </c>
      <c r="L77" s="4" t="s">
        <v>30</v>
      </c>
      <c r="M77" s="103"/>
      <c r="N77" s="103"/>
      <c r="O77" s="83"/>
    </row>
    <row r="78" spans="1:15" s="28" customFormat="1" ht="17.100000000000001" customHeight="1" x14ac:dyDescent="0.2">
      <c r="A78" s="29">
        <v>3</v>
      </c>
      <c r="B78" s="85" t="s">
        <v>38</v>
      </c>
      <c r="C78" s="86"/>
      <c r="D78" s="86"/>
      <c r="E78" s="86"/>
      <c r="F78" s="87"/>
      <c r="G78" s="30"/>
      <c r="H78" s="30"/>
      <c r="I78" s="30"/>
      <c r="J78" s="30"/>
      <c r="K78" s="30"/>
      <c r="L78" s="30"/>
      <c r="M78" s="31">
        <f>SUM(M79:M84)</f>
        <v>23645.868689826242</v>
      </c>
      <c r="N78" s="30"/>
      <c r="O78" s="83"/>
    </row>
    <row r="79" spans="1:15" s="28" customFormat="1" ht="26.25" customHeight="1" x14ac:dyDescent="0.2">
      <c r="A79" s="32" t="s">
        <v>76</v>
      </c>
      <c r="B79" s="32" t="s">
        <v>33</v>
      </c>
      <c r="C79" s="32" t="s">
        <v>58</v>
      </c>
      <c r="D79" s="32" t="s">
        <v>34</v>
      </c>
      <c r="E79" s="33" t="s">
        <v>59</v>
      </c>
      <c r="F79" s="34" t="s">
        <v>35</v>
      </c>
      <c r="G79" s="32">
        <v>180</v>
      </c>
      <c r="H79" s="62">
        <v>32.57</v>
      </c>
      <c r="I79" s="35">
        <f>H79*0.2232</f>
        <v>7.2696240000000003</v>
      </c>
      <c r="J79" s="35">
        <f>H79+I79</f>
        <v>39.839624000000001</v>
      </c>
      <c r="K79" s="35">
        <f>J79*(0.03%)</f>
        <v>1.1951887199999999E-2</v>
      </c>
      <c r="L79" s="35">
        <f>J79-K79</f>
        <v>39.827672112800002</v>
      </c>
      <c r="M79" s="35">
        <f>L79*G79</f>
        <v>7168.9809803040007</v>
      </c>
      <c r="N79" s="35">
        <f>M79/M$16</f>
        <v>9.9332093079996353E-2</v>
      </c>
      <c r="O79" s="84"/>
    </row>
    <row r="80" spans="1:15" s="28" customFormat="1" ht="23.25" customHeight="1" x14ac:dyDescent="0.2">
      <c r="A80" s="32" t="s">
        <v>78</v>
      </c>
      <c r="B80" s="32" t="s">
        <v>33</v>
      </c>
      <c r="C80" s="32" t="s">
        <v>60</v>
      </c>
      <c r="D80" s="32" t="s">
        <v>34</v>
      </c>
      <c r="E80" s="33" t="s">
        <v>61</v>
      </c>
      <c r="F80" s="34" t="s">
        <v>35</v>
      </c>
      <c r="G80" s="32">
        <v>180</v>
      </c>
      <c r="H80" s="62">
        <v>30.38</v>
      </c>
      <c r="I80" s="35">
        <f>H80*0.2232</f>
        <v>6.7808159999999997</v>
      </c>
      <c r="J80" s="35">
        <f>H80+I80</f>
        <v>37.160815999999997</v>
      </c>
      <c r="K80" s="35">
        <f>J80*(0.03%)</f>
        <v>1.1148244799999998E-2</v>
      </c>
      <c r="L80" s="35">
        <f>J80-K80</f>
        <v>37.149667755199999</v>
      </c>
      <c r="M80" s="35">
        <f>L80*G80</f>
        <v>6686.9401959360002</v>
      </c>
      <c r="N80" s="35">
        <f>M80/M$16</f>
        <v>9.2653023879959745E-2</v>
      </c>
      <c r="O80" s="84"/>
    </row>
    <row r="81" spans="1:16" s="28" customFormat="1" ht="23.25" customHeight="1" x14ac:dyDescent="0.2">
      <c r="A81" s="11" t="s">
        <v>77</v>
      </c>
      <c r="B81" s="11" t="s">
        <v>33</v>
      </c>
      <c r="C81" s="11">
        <v>88310</v>
      </c>
      <c r="D81" s="11" t="s">
        <v>34</v>
      </c>
      <c r="E81" s="20" t="s">
        <v>79</v>
      </c>
      <c r="F81" s="13" t="s">
        <v>35</v>
      </c>
      <c r="G81" s="11">
        <v>180</v>
      </c>
      <c r="H81" s="62">
        <v>35.880000000000003</v>
      </c>
      <c r="I81" s="14">
        <f>H81*0.2232</f>
        <v>8.0084160000000004</v>
      </c>
      <c r="J81" s="14">
        <f>H81+I81</f>
        <v>43.888416000000007</v>
      </c>
      <c r="K81" s="14">
        <f>J81*(0.03%)</f>
        <v>1.3166524800000001E-2</v>
      </c>
      <c r="L81" s="14">
        <f>J81-K81</f>
        <v>43.875249475200008</v>
      </c>
      <c r="M81" s="14">
        <f>L81*G81</f>
        <v>7897.5449055360014</v>
      </c>
      <c r="N81" s="14">
        <f>M81/M$16</f>
        <v>0.10942694196224345</v>
      </c>
      <c r="O81" s="84"/>
    </row>
    <row r="82" spans="1:16" s="28" customFormat="1" ht="23.25" customHeight="1" x14ac:dyDescent="0.2">
      <c r="A82" s="78" t="s">
        <v>175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84"/>
      <c r="P82" s="50"/>
    </row>
    <row r="83" spans="1:16" s="28" customFormat="1" ht="23.25" customHeight="1" x14ac:dyDescent="0.2">
      <c r="A83" s="58" t="s">
        <v>80</v>
      </c>
      <c r="B83" s="32" t="s">
        <v>33</v>
      </c>
      <c r="C83" s="59" t="s">
        <v>170</v>
      </c>
      <c r="D83" s="64" t="s">
        <v>178</v>
      </c>
      <c r="E83" s="60" t="s">
        <v>171</v>
      </c>
      <c r="F83" s="59" t="s">
        <v>172</v>
      </c>
      <c r="G83" s="59">
        <f>2.2*3.5</f>
        <v>7.7000000000000011</v>
      </c>
      <c r="H83" s="63">
        <v>160.18</v>
      </c>
      <c r="I83" s="42">
        <f t="shared" ref="I83:I84" si="52">H83*0.2232</f>
        <v>35.752176000000006</v>
      </c>
      <c r="J83" s="42">
        <f t="shared" ref="J83:J84" si="53">H83+I83</f>
        <v>195.93217600000003</v>
      </c>
      <c r="K83" s="42">
        <f t="shared" ref="K83:K84" si="54">J83*(0.03%)</f>
        <v>5.8779652800000005E-2</v>
      </c>
      <c r="L83" s="42">
        <f t="shared" ref="L83:L84" si="55">J83-K83</f>
        <v>195.87339634720001</v>
      </c>
      <c r="M83" s="42">
        <f t="shared" ref="M83:M84" si="56">L83*G83</f>
        <v>1508.2251518734404</v>
      </c>
      <c r="N83" s="35">
        <f t="shared" ref="N83:N84" si="57">M83/M$16</f>
        <v>2.0897692654379352E-2</v>
      </c>
      <c r="O83" s="84"/>
    </row>
    <row r="84" spans="1:16" s="28" customFormat="1" ht="23.25" customHeight="1" x14ac:dyDescent="0.2">
      <c r="A84" s="58" t="s">
        <v>127</v>
      </c>
      <c r="B84" s="32" t="s">
        <v>33</v>
      </c>
      <c r="C84" s="59">
        <v>4066</v>
      </c>
      <c r="D84" s="59" t="s">
        <v>100</v>
      </c>
      <c r="E84" s="61" t="s">
        <v>173</v>
      </c>
      <c r="F84" s="59" t="s">
        <v>174</v>
      </c>
      <c r="G84" s="59">
        <v>1</v>
      </c>
      <c r="H84" s="63">
        <v>314.17</v>
      </c>
      <c r="I84" s="42">
        <f t="shared" si="52"/>
        <v>70.122744000000012</v>
      </c>
      <c r="J84" s="42">
        <f t="shared" si="53"/>
        <v>384.29274400000003</v>
      </c>
      <c r="K84" s="42">
        <f t="shared" si="54"/>
        <v>0.1152878232</v>
      </c>
      <c r="L84" s="42">
        <f t="shared" si="55"/>
        <v>384.17745617680004</v>
      </c>
      <c r="M84" s="42">
        <f t="shared" si="56"/>
        <v>384.17745617680004</v>
      </c>
      <c r="N84" s="35">
        <f t="shared" si="57"/>
        <v>5.3230927716273416E-3</v>
      </c>
      <c r="O84" s="84"/>
    </row>
    <row r="85" spans="1:16" s="39" customFormat="1" ht="17.100000000000001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84"/>
    </row>
    <row r="86" spans="1:16" s="39" customFormat="1" ht="17.100000000000001" customHeight="1" x14ac:dyDescent="0.2">
      <c r="A86" s="88"/>
      <c r="B86" s="89"/>
      <c r="C86" s="89"/>
      <c r="D86" s="89"/>
      <c r="E86" s="89"/>
      <c r="F86" s="89"/>
      <c r="G86" s="89"/>
      <c r="H86" s="37" t="s">
        <v>39</v>
      </c>
      <c r="I86" s="38"/>
      <c r="J86" s="90">
        <f>M16+M31+M78</f>
        <v>121310.58006715127</v>
      </c>
      <c r="K86" s="91"/>
      <c r="L86" s="91"/>
      <c r="M86" s="91"/>
      <c r="N86" s="92"/>
      <c r="O86" s="83"/>
      <c r="P86" s="51"/>
    </row>
    <row r="87" spans="1:16" ht="17.100000000000001" customHeight="1" x14ac:dyDescent="0.25">
      <c r="A87" s="93" t="s">
        <v>97</v>
      </c>
      <c r="B87" s="94"/>
      <c r="C87" s="94"/>
      <c r="D87" s="94"/>
      <c r="E87" s="94"/>
      <c r="F87" s="94"/>
      <c r="G87" s="94"/>
      <c r="H87" s="95"/>
      <c r="I87" s="95"/>
      <c r="J87" s="95"/>
      <c r="K87" s="95"/>
      <c r="L87" s="95"/>
      <c r="M87" s="95"/>
      <c r="N87" s="96"/>
      <c r="O87" s="83"/>
    </row>
    <row r="88" spans="1:16" ht="17.100000000000001" customHeight="1" x14ac:dyDescent="0.25">
      <c r="A88" s="97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8"/>
      <c r="O88" s="83"/>
    </row>
    <row r="89" spans="1:16" ht="17.100000000000001" customHeight="1" x14ac:dyDescent="0.25">
      <c r="A89" s="97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8"/>
      <c r="O89" s="83"/>
    </row>
    <row r="90" spans="1:16" ht="17.100000000000001" customHeight="1" x14ac:dyDescent="0.25">
      <c r="A90" s="97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8"/>
      <c r="O90" s="83"/>
    </row>
    <row r="91" spans="1:16" ht="17.100000000000001" customHeight="1" x14ac:dyDescent="0.25">
      <c r="A91" s="97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8"/>
      <c r="O91" s="83"/>
    </row>
    <row r="92" spans="1:16" ht="17.100000000000001" customHeight="1" x14ac:dyDescent="0.25">
      <c r="A92" s="97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8"/>
      <c r="O92" s="83"/>
    </row>
    <row r="93" spans="1:16" ht="17.100000000000001" customHeight="1" x14ac:dyDescent="0.25">
      <c r="A93" s="99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1"/>
      <c r="O93" s="83"/>
    </row>
    <row r="94" spans="1:16" ht="17.100000000000001" customHeight="1" x14ac:dyDescent="0.25">
      <c r="A94" s="12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22"/>
    </row>
    <row r="95" spans="1:16" ht="17.100000000000001" customHeight="1" x14ac:dyDescent="0.25">
      <c r="A95" s="123" t="s">
        <v>40</v>
      </c>
      <c r="B95" s="124"/>
      <c r="C95" s="124"/>
      <c r="D95" s="124"/>
      <c r="E95" s="124"/>
      <c r="F95" s="124"/>
      <c r="G95" s="125" t="s">
        <v>41</v>
      </c>
      <c r="H95" s="125"/>
      <c r="I95" s="125"/>
      <c r="J95" s="125"/>
      <c r="K95" s="126"/>
      <c r="L95" s="127"/>
      <c r="M95" s="127"/>
      <c r="N95" s="128"/>
      <c r="O95" s="83" t="s">
        <v>42</v>
      </c>
    </row>
    <row r="96" spans="1:16" ht="17.100000000000001" customHeight="1" x14ac:dyDescent="0.25">
      <c r="A96" s="133" t="s">
        <v>43</v>
      </c>
      <c r="B96" s="134"/>
      <c r="C96" s="134"/>
      <c r="D96" s="134"/>
      <c r="E96" s="134"/>
      <c r="F96" s="135"/>
      <c r="G96" s="139" t="s">
        <v>44</v>
      </c>
      <c r="H96" s="134"/>
      <c r="I96" s="134"/>
      <c r="J96" s="135"/>
      <c r="K96" s="129"/>
      <c r="L96" s="130"/>
      <c r="M96" s="130"/>
      <c r="N96" s="131"/>
      <c r="O96" s="83"/>
    </row>
    <row r="97" spans="1:19" ht="17.100000000000001" customHeight="1" x14ac:dyDescent="0.25">
      <c r="A97" s="136"/>
      <c r="B97" s="137"/>
      <c r="C97" s="137"/>
      <c r="D97" s="137"/>
      <c r="E97" s="137"/>
      <c r="F97" s="138"/>
      <c r="G97" s="140"/>
      <c r="H97" s="137"/>
      <c r="I97" s="137"/>
      <c r="J97" s="138"/>
      <c r="K97" s="129"/>
      <c r="L97" s="130"/>
      <c r="M97" s="130"/>
      <c r="N97" s="131"/>
      <c r="O97" s="83"/>
    </row>
    <row r="98" spans="1:19" ht="17.100000000000001" customHeight="1" x14ac:dyDescent="0.25">
      <c r="A98" s="136"/>
      <c r="B98" s="137"/>
      <c r="C98" s="137"/>
      <c r="D98" s="137"/>
      <c r="E98" s="137"/>
      <c r="F98" s="138"/>
      <c r="G98" s="140"/>
      <c r="H98" s="137"/>
      <c r="I98" s="137"/>
      <c r="J98" s="138"/>
      <c r="K98" s="129"/>
      <c r="L98" s="130"/>
      <c r="M98" s="130"/>
      <c r="N98" s="131"/>
      <c r="O98" s="83"/>
    </row>
    <row r="99" spans="1:19" ht="17.100000000000001" customHeight="1" x14ac:dyDescent="0.25">
      <c r="A99" s="136"/>
      <c r="B99" s="137"/>
      <c r="C99" s="137"/>
      <c r="D99" s="137"/>
      <c r="E99" s="137"/>
      <c r="F99" s="138"/>
      <c r="G99" s="140"/>
      <c r="H99" s="137"/>
      <c r="I99" s="137"/>
      <c r="J99" s="138"/>
      <c r="K99" s="129"/>
      <c r="L99" s="130"/>
      <c r="M99" s="130"/>
      <c r="N99" s="131"/>
      <c r="O99" s="83"/>
    </row>
    <row r="100" spans="1:19" ht="17.100000000000001" customHeight="1" x14ac:dyDescent="0.25">
      <c r="A100" s="136"/>
      <c r="B100" s="137"/>
      <c r="C100" s="137"/>
      <c r="D100" s="137"/>
      <c r="E100" s="137"/>
      <c r="F100" s="138"/>
      <c r="G100" s="140"/>
      <c r="H100" s="137"/>
      <c r="I100" s="137"/>
      <c r="J100" s="138"/>
      <c r="K100" s="129"/>
      <c r="L100" s="130"/>
      <c r="M100" s="130"/>
      <c r="N100" s="131"/>
      <c r="O100" s="83"/>
    </row>
    <row r="101" spans="1:19" ht="17.100000000000001" customHeight="1" x14ac:dyDescent="0.25">
      <c r="A101" s="136"/>
      <c r="B101" s="137"/>
      <c r="C101" s="137"/>
      <c r="D101" s="137"/>
      <c r="E101" s="137"/>
      <c r="F101" s="138"/>
      <c r="G101" s="140"/>
      <c r="H101" s="137"/>
      <c r="I101" s="137"/>
      <c r="J101" s="138"/>
      <c r="K101" s="129"/>
      <c r="L101" s="130"/>
      <c r="M101" s="130"/>
      <c r="N101" s="131"/>
      <c r="O101" s="83"/>
    </row>
    <row r="102" spans="1:19" ht="17.100000000000001" customHeight="1" x14ac:dyDescent="0.25">
      <c r="A102" s="136"/>
      <c r="B102" s="137"/>
      <c r="C102" s="137"/>
      <c r="D102" s="137"/>
      <c r="E102" s="137"/>
      <c r="F102" s="138"/>
      <c r="G102" s="140"/>
      <c r="H102" s="137"/>
      <c r="I102" s="137"/>
      <c r="J102" s="138"/>
      <c r="K102" s="129"/>
      <c r="L102" s="130"/>
      <c r="M102" s="130"/>
      <c r="N102" s="131"/>
      <c r="O102" s="83"/>
    </row>
    <row r="103" spans="1:19" ht="17.100000000000001" customHeight="1" thickBot="1" x14ac:dyDescent="0.3">
      <c r="A103" s="136"/>
      <c r="B103" s="137"/>
      <c r="C103" s="137"/>
      <c r="D103" s="137"/>
      <c r="E103" s="137"/>
      <c r="F103" s="138"/>
      <c r="G103" s="140"/>
      <c r="H103" s="137"/>
      <c r="I103" s="137"/>
      <c r="J103" s="138"/>
      <c r="K103" s="129"/>
      <c r="L103" s="130"/>
      <c r="M103" s="130"/>
      <c r="N103" s="131"/>
      <c r="O103" s="132"/>
    </row>
    <row r="104" spans="1:19" ht="17.100000000000001" customHeight="1" thickBot="1" x14ac:dyDescent="0.3">
      <c r="A104" s="105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7"/>
    </row>
    <row r="105" spans="1:19" ht="17.100000000000001" customHeight="1" x14ac:dyDescent="0.25">
      <c r="A105" s="93" t="s">
        <v>45</v>
      </c>
      <c r="B105" s="94"/>
      <c r="C105" s="94"/>
      <c r="D105" s="98"/>
      <c r="E105" s="108" t="s">
        <v>46</v>
      </c>
      <c r="F105" s="94"/>
      <c r="G105" s="94"/>
      <c r="H105" s="94"/>
      <c r="I105" s="94"/>
      <c r="J105" s="94"/>
      <c r="K105" s="110" t="s">
        <v>47</v>
      </c>
      <c r="L105" s="111"/>
      <c r="M105" s="111"/>
      <c r="N105" s="111"/>
      <c r="O105" s="115" t="s">
        <v>48</v>
      </c>
    </row>
    <row r="106" spans="1:19" ht="17.100000000000001" customHeight="1" x14ac:dyDescent="0.25">
      <c r="A106" s="99"/>
      <c r="B106" s="100"/>
      <c r="C106" s="100"/>
      <c r="D106" s="101"/>
      <c r="E106" s="109"/>
      <c r="F106" s="100"/>
      <c r="G106" s="100"/>
      <c r="H106" s="100"/>
      <c r="I106" s="100"/>
      <c r="J106" s="100"/>
      <c r="K106" s="112"/>
      <c r="L106" s="111"/>
      <c r="M106" s="111"/>
      <c r="N106" s="111"/>
      <c r="O106" s="116"/>
    </row>
    <row r="107" spans="1:19" ht="17.100000000000001" customHeight="1" x14ac:dyDescent="0.25">
      <c r="A107" s="118" t="s">
        <v>49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112"/>
      <c r="L107" s="111"/>
      <c r="M107" s="111"/>
      <c r="N107" s="111"/>
      <c r="O107" s="116"/>
    </row>
    <row r="108" spans="1:19" ht="17.100000000000001" customHeight="1" x14ac:dyDescent="0.25">
      <c r="A108" s="97"/>
      <c r="B108" s="94"/>
      <c r="C108" s="94"/>
      <c r="D108" s="94"/>
      <c r="E108" s="94"/>
      <c r="F108" s="94"/>
      <c r="G108" s="94"/>
      <c r="H108" s="94"/>
      <c r="I108" s="94"/>
      <c r="J108" s="94"/>
      <c r="K108" s="112"/>
      <c r="L108" s="111"/>
      <c r="M108" s="111"/>
      <c r="N108" s="111"/>
      <c r="O108" s="116"/>
    </row>
    <row r="109" spans="1:19" ht="17.100000000000001" customHeight="1" x14ac:dyDescent="0.25">
      <c r="A109" s="97"/>
      <c r="B109" s="94"/>
      <c r="C109" s="94"/>
      <c r="D109" s="94"/>
      <c r="E109" s="94"/>
      <c r="F109" s="94"/>
      <c r="G109" s="94"/>
      <c r="H109" s="94"/>
      <c r="I109" s="94"/>
      <c r="J109" s="94"/>
      <c r="K109" s="112"/>
      <c r="L109" s="111"/>
      <c r="M109" s="111"/>
      <c r="N109" s="111"/>
      <c r="O109" s="116"/>
    </row>
    <row r="110" spans="1:19" ht="17.100000000000001" customHeight="1" x14ac:dyDescent="0.25">
      <c r="A110" s="97"/>
      <c r="B110" s="94"/>
      <c r="C110" s="94"/>
      <c r="D110" s="94"/>
      <c r="E110" s="94"/>
      <c r="F110" s="94"/>
      <c r="G110" s="94"/>
      <c r="H110" s="94"/>
      <c r="I110" s="94"/>
      <c r="J110" s="94"/>
      <c r="K110" s="112"/>
      <c r="L110" s="111"/>
      <c r="M110" s="111"/>
      <c r="N110" s="111"/>
      <c r="O110" s="116"/>
    </row>
    <row r="111" spans="1:19" ht="17.100000000000001" customHeight="1" thickBot="1" x14ac:dyDescent="0.3">
      <c r="A111" s="119"/>
      <c r="B111" s="120"/>
      <c r="C111" s="120"/>
      <c r="D111" s="120"/>
      <c r="E111" s="120"/>
      <c r="F111" s="120"/>
      <c r="G111" s="120"/>
      <c r="H111" s="120"/>
      <c r="I111" s="120"/>
      <c r="J111" s="120"/>
      <c r="K111" s="113"/>
      <c r="L111" s="114"/>
      <c r="M111" s="114"/>
      <c r="N111" s="114"/>
      <c r="O111" s="117"/>
    </row>
    <row r="112" spans="1:19" ht="14.1" customHeight="1" x14ac:dyDescent="0.25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</row>
    <row r="113" ht="14.1" customHeight="1" x14ac:dyDescent="0.25"/>
    <row r="114" ht="14.1" customHeight="1" x14ac:dyDescent="0.25"/>
    <row r="115" ht="14.1" customHeight="1" x14ac:dyDescent="0.25"/>
  </sheetData>
  <sortState ref="A32:N76">
    <sortCondition ref="E32:E76"/>
  </sortState>
  <mergeCells count="73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H76:L76"/>
    <mergeCell ref="M76:M77"/>
    <mergeCell ref="B14:B15"/>
    <mergeCell ref="C14:C15"/>
    <mergeCell ref="D14:D15"/>
    <mergeCell ref="A94:O94"/>
    <mergeCell ref="A95:F95"/>
    <mergeCell ref="G95:J95"/>
    <mergeCell ref="K95:N103"/>
    <mergeCell ref="O95:O103"/>
    <mergeCell ref="A96:F103"/>
    <mergeCell ref="G96:J103"/>
    <mergeCell ref="A112:J112"/>
    <mergeCell ref="K112:S112"/>
    <mergeCell ref="A104:O104"/>
    <mergeCell ref="A105:D106"/>
    <mergeCell ref="E105:J106"/>
    <mergeCell ref="K105:N111"/>
    <mergeCell ref="O105:O111"/>
    <mergeCell ref="A107:J111"/>
    <mergeCell ref="O14:O93"/>
    <mergeCell ref="A29:A30"/>
    <mergeCell ref="B29:B30"/>
    <mergeCell ref="C29:C30"/>
    <mergeCell ref="D29:D30"/>
    <mergeCell ref="E29:E30"/>
    <mergeCell ref="F29:F30"/>
    <mergeCell ref="G29:G30"/>
    <mergeCell ref="B78:F78"/>
    <mergeCell ref="A86:G86"/>
    <mergeCell ref="J86:N86"/>
    <mergeCell ref="A87:N93"/>
    <mergeCell ref="E76:E77"/>
    <mergeCell ref="F76:F77"/>
    <mergeCell ref="G76:G77"/>
    <mergeCell ref="E14:E15"/>
    <mergeCell ref="A14:A15"/>
    <mergeCell ref="A82:N82"/>
    <mergeCell ref="H29:L29"/>
    <mergeCell ref="M29:M30"/>
    <mergeCell ref="F14:F15"/>
    <mergeCell ref="G14:G15"/>
    <mergeCell ref="H14:L14"/>
    <mergeCell ref="M14:M15"/>
    <mergeCell ref="N14:N15"/>
    <mergeCell ref="N29:N30"/>
    <mergeCell ref="B31:F31"/>
    <mergeCell ref="A76:A77"/>
    <mergeCell ref="B76:B77"/>
    <mergeCell ref="C76:C77"/>
    <mergeCell ref="D76:D77"/>
    <mergeCell ref="N76:N77"/>
  </mergeCells>
  <phoneticPr fontId="13" type="noConversion"/>
  <hyperlinks>
    <hyperlink ref="E39" r:id="rId1" display="VALVULA DE DESCARGA EM METAL CROMADO PARA MICTORIO COM ACIONAMENTO POR PRESSAO E FECHAMENTO AUTOMATICO"/>
    <hyperlink ref="E50" r:id="rId2" display="FITA VEDA ROSCA EM ROLOS DE 18 MM X 50 M (L X C)"/>
    <hyperlink ref="E52" r:id="rId3" display="VALVULA DE DESCARGA EM METAL CROMADO PARA MICTORIO COM ACIONAMENTO POR PRESSAO E FECHAMENTO AUTOMATICO"/>
  </hyperlinks>
  <pageMargins left="0.25" right="0.25" top="0.75" bottom="0.75" header="0.3" footer="0.3"/>
  <pageSetup paperSize="9" scale="53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64CD4B6-0A5F-41D1-8AB7-5ED93C799756}"/>
</file>

<file path=customXml/itemProps2.xml><?xml version="1.0" encoding="utf-8"?>
<ds:datastoreItem xmlns:ds="http://schemas.openxmlformats.org/officeDocument/2006/customXml" ds:itemID="{A4B24FEE-C534-4B25-97C9-37B790A8F91F}"/>
</file>

<file path=customXml/itemProps3.xml><?xml version="1.0" encoding="utf-8"?>
<ds:datastoreItem xmlns:ds="http://schemas.openxmlformats.org/officeDocument/2006/customXml" ds:itemID="{8FE954AA-02DC-4A90-AFC2-A03A1A216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2025-05-27T19:21:30Z</cp:lastPrinted>
  <dcterms:created xsi:type="dcterms:W3CDTF">2022-01-02T19:12:46Z</dcterms:created>
  <dcterms:modified xsi:type="dcterms:W3CDTF">2025-05-27T19:21:54Z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