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3-Fevereiro-25\"/>
    </mc:Choice>
  </mc:AlternateContent>
  <xr:revisionPtr revIDLastSave="0" documentId="13_ncr:1_{71C722D1-6EE8-4BFF-9F68-51C2C6AE89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Toldos" sheetId="3" r:id="rId2"/>
    <sheet name="Vidros" sheetId="2" r:id="rId3"/>
  </sheets>
  <externalReferences>
    <externalReference r:id="rId4"/>
  </externalReferences>
  <definedNames>
    <definedName name="_xlnm.Print_Area" localSheetId="0">'São Carlos'!$A$1:$O$135</definedName>
    <definedName name="_xlnm.Print_Titles" localSheetId="1">'[1]repeated header'!$4:$4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8" i="1" l="1"/>
  <c r="N107" i="1"/>
  <c r="N105" i="1"/>
  <c r="N104" i="1"/>
  <c r="N103" i="1"/>
  <c r="N102" i="1"/>
  <c r="N101" i="1"/>
  <c r="N100" i="1"/>
  <c r="N98" i="1"/>
  <c r="N97" i="1"/>
  <c r="N96" i="1"/>
  <c r="N94" i="1"/>
  <c r="N93" i="1"/>
  <c r="N92" i="1"/>
  <c r="N90" i="1"/>
  <c r="N89" i="1"/>
  <c r="N87" i="1"/>
  <c r="N84" i="1"/>
  <c r="N85" i="1"/>
  <c r="N83" i="1"/>
  <c r="N79" i="1"/>
  <c r="N80" i="1"/>
  <c r="N81" i="1"/>
  <c r="N78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32" i="1"/>
  <c r="M77" i="1"/>
  <c r="G108" i="1"/>
  <c r="G107" i="1"/>
  <c r="I108" i="1" l="1"/>
  <c r="J108" i="1" s="1"/>
  <c r="I107" i="1"/>
  <c r="J107" i="1" s="1"/>
  <c r="G83" i="1"/>
  <c r="G85" i="1" s="1"/>
  <c r="I85" i="1"/>
  <c r="J85" i="1" s="1"/>
  <c r="I84" i="1"/>
  <c r="J84" i="1" s="1"/>
  <c r="I83" i="1"/>
  <c r="J83" i="1" s="1"/>
  <c r="I90" i="1"/>
  <c r="J90" i="1" s="1"/>
  <c r="I89" i="1"/>
  <c r="J89" i="1" s="1"/>
  <c r="I87" i="1"/>
  <c r="J87" i="1" s="1"/>
  <c r="I98" i="1"/>
  <c r="J98" i="1" s="1"/>
  <c r="I97" i="1"/>
  <c r="J97" i="1" s="1"/>
  <c r="I96" i="1"/>
  <c r="J96" i="1" s="1"/>
  <c r="G101" i="1"/>
  <c r="G100" i="1"/>
  <c r="I104" i="1"/>
  <c r="J104" i="1" s="1"/>
  <c r="I103" i="1"/>
  <c r="J103" i="1" s="1"/>
  <c r="I102" i="1"/>
  <c r="J102" i="1" s="1"/>
  <c r="G81" i="1"/>
  <c r="I81" i="1"/>
  <c r="J81" i="1" s="1"/>
  <c r="I94" i="1"/>
  <c r="J94" i="1" s="1"/>
  <c r="I93" i="1"/>
  <c r="J93" i="1" s="1"/>
  <c r="I92" i="1"/>
  <c r="J92" i="1" s="1"/>
  <c r="G50" i="2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G61" i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K56" i="1" s="1"/>
  <c r="F49" i="2"/>
  <c r="I55" i="1"/>
  <c r="J55" i="1" s="1"/>
  <c r="K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K39" i="1" s="1"/>
  <c r="I38" i="1"/>
  <c r="J38" i="1" s="1"/>
  <c r="I37" i="1"/>
  <c r="J37" i="1" s="1"/>
  <c r="I36" i="1"/>
  <c r="J36" i="1" s="1"/>
  <c r="I35" i="1"/>
  <c r="J35" i="1" s="1"/>
  <c r="I34" i="1"/>
  <c r="J34" i="1" s="1"/>
  <c r="K34" i="1" s="1"/>
  <c r="L34" i="1" s="1"/>
  <c r="M34" i="1" s="1"/>
  <c r="I32" i="1"/>
  <c r="J32" i="1" s="1"/>
  <c r="K32" i="1" s="1"/>
  <c r="I33" i="1"/>
  <c r="J33" i="1" s="1"/>
  <c r="K108" i="1" l="1"/>
  <c r="L108" i="1" s="1"/>
  <c r="M108" i="1" s="1"/>
  <c r="K107" i="1"/>
  <c r="L107" i="1" s="1"/>
  <c r="M107" i="1" s="1"/>
  <c r="K85" i="1"/>
  <c r="L85" i="1" s="1"/>
  <c r="M85" i="1" s="1"/>
  <c r="K83" i="1"/>
  <c r="L83" i="1" s="1"/>
  <c r="M83" i="1" s="1"/>
  <c r="K84" i="1"/>
  <c r="L84" i="1" s="1"/>
  <c r="M84" i="1" s="1"/>
  <c r="K89" i="1"/>
  <c r="L89" i="1" s="1"/>
  <c r="M89" i="1" s="1"/>
  <c r="K87" i="1"/>
  <c r="L87" i="1" s="1"/>
  <c r="M87" i="1" s="1"/>
  <c r="K90" i="1"/>
  <c r="L90" i="1" s="1"/>
  <c r="M90" i="1" s="1"/>
  <c r="K96" i="1"/>
  <c r="L96" i="1" s="1"/>
  <c r="M96" i="1" s="1"/>
  <c r="K97" i="1"/>
  <c r="L97" i="1" s="1"/>
  <c r="M97" i="1" s="1"/>
  <c r="K98" i="1"/>
  <c r="L98" i="1" s="1"/>
  <c r="M98" i="1" s="1"/>
  <c r="K104" i="1"/>
  <c r="L104" i="1" s="1"/>
  <c r="M104" i="1" s="1"/>
  <c r="K103" i="1"/>
  <c r="L103" i="1" s="1"/>
  <c r="M103" i="1" s="1"/>
  <c r="K102" i="1"/>
  <c r="L102" i="1" s="1"/>
  <c r="M102" i="1" s="1"/>
  <c r="K81" i="1"/>
  <c r="L81" i="1" s="1"/>
  <c r="M81" i="1" s="1"/>
  <c r="K93" i="1"/>
  <c r="L93" i="1" s="1"/>
  <c r="M93" i="1" s="1"/>
  <c r="K94" i="1"/>
  <c r="L94" i="1" s="1"/>
  <c r="M94" i="1" s="1"/>
  <c r="K92" i="1"/>
  <c r="L92" i="1" s="1"/>
  <c r="M92" i="1" s="1"/>
  <c r="L56" i="1"/>
  <c r="M56" i="1" s="1"/>
  <c r="K67" i="1"/>
  <c r="L67" i="1" s="1"/>
  <c r="M67" i="1" s="1"/>
  <c r="K66" i="1"/>
  <c r="L66" i="1" s="1"/>
  <c r="M66" i="1" s="1"/>
  <c r="K65" i="1"/>
  <c r="L65" i="1" s="1"/>
  <c r="M65" i="1" s="1"/>
  <c r="K63" i="1"/>
  <c r="L63" i="1" s="1"/>
  <c r="M63" i="1" s="1"/>
  <c r="K64" i="1"/>
  <c r="L64" i="1" s="1"/>
  <c r="M64" i="1" s="1"/>
  <c r="K62" i="1"/>
  <c r="L62" i="1" s="1"/>
  <c r="M62" i="1" s="1"/>
  <c r="K54" i="1"/>
  <c r="L54" i="1" s="1"/>
  <c r="M54" i="1" s="1"/>
  <c r="K61" i="1"/>
  <c r="L61" i="1" s="1"/>
  <c r="M61" i="1" s="1"/>
  <c r="K60" i="1"/>
  <c r="L60" i="1" s="1"/>
  <c r="M60" i="1" s="1"/>
  <c r="K59" i="1"/>
  <c r="L59" i="1" s="1"/>
  <c r="M59" i="1" s="1"/>
  <c r="K58" i="1"/>
  <c r="L58" i="1" s="1"/>
  <c r="M58" i="1" s="1"/>
  <c r="K57" i="1"/>
  <c r="L57" i="1" s="1"/>
  <c r="M57" i="1" s="1"/>
  <c r="L55" i="1"/>
  <c r="M55" i="1" s="1"/>
  <c r="K53" i="1"/>
  <c r="L53" i="1" s="1"/>
  <c r="M53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 s="1"/>
  <c r="M49" i="1" s="1"/>
  <c r="K48" i="1"/>
  <c r="L48" i="1" s="1"/>
  <c r="M48" i="1" s="1"/>
  <c r="K47" i="1"/>
  <c r="L47" i="1" s="1"/>
  <c r="M47" i="1" s="1"/>
  <c r="K46" i="1"/>
  <c r="L46" i="1" s="1"/>
  <c r="M46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K41" i="1"/>
  <c r="L41" i="1" s="1"/>
  <c r="M41" i="1" s="1"/>
  <c r="K40" i="1"/>
  <c r="L40" i="1" s="1"/>
  <c r="M40" i="1" s="1"/>
  <c r="L39" i="1"/>
  <c r="M39" i="1" s="1"/>
  <c r="K38" i="1"/>
  <c r="L38" i="1" s="1"/>
  <c r="M38" i="1" s="1"/>
  <c r="K37" i="1"/>
  <c r="L37" i="1" s="1"/>
  <c r="M37" i="1" s="1"/>
  <c r="K36" i="1"/>
  <c r="L36" i="1" s="1"/>
  <c r="M36" i="1" s="1"/>
  <c r="K35" i="1"/>
  <c r="L35" i="1" s="1"/>
  <c r="M35" i="1" s="1"/>
  <c r="K33" i="1"/>
  <c r="L33" i="1" s="1"/>
  <c r="M33" i="1" s="1"/>
  <c r="L32" i="1"/>
  <c r="M32" i="1" s="1"/>
  <c r="I105" i="1" l="1"/>
  <c r="J105" i="1" s="1"/>
  <c r="I101" i="1"/>
  <c r="J101" i="1" s="1"/>
  <c r="I100" i="1"/>
  <c r="J100" i="1" s="1"/>
  <c r="I37" i="2"/>
  <c r="J37" i="2"/>
  <c r="H29" i="2"/>
  <c r="H28" i="2"/>
  <c r="H27" i="2"/>
  <c r="H26" i="2"/>
  <c r="K105" i="1" l="1"/>
  <c r="L105" i="1" s="1"/>
  <c r="M105" i="1" s="1"/>
  <c r="K100" i="1"/>
  <c r="L100" i="1" s="1"/>
  <c r="M100" i="1" s="1"/>
  <c r="K101" i="1"/>
  <c r="L101" i="1" s="1"/>
  <c r="M101" i="1" s="1"/>
  <c r="H31" i="2"/>
  <c r="H22" i="2" l="1"/>
  <c r="H21" i="2"/>
  <c r="H20" i="2"/>
  <c r="H19" i="2"/>
  <c r="H18" i="2"/>
  <c r="H17" i="2"/>
  <c r="H16" i="2"/>
  <c r="H15" i="2"/>
  <c r="H14" i="2"/>
  <c r="H13" i="2"/>
  <c r="H12" i="2"/>
  <c r="H4" i="2" l="1"/>
  <c r="H5" i="2"/>
  <c r="H6" i="2"/>
  <c r="H7" i="2"/>
  <c r="H8" i="2"/>
  <c r="H9" i="2"/>
  <c r="H10" i="2"/>
  <c r="H11" i="2"/>
  <c r="H23" i="2" l="1"/>
  <c r="I80" i="1" l="1"/>
  <c r="J80" i="1" s="1"/>
  <c r="I78" i="1"/>
  <c r="J78" i="1" s="1"/>
  <c r="I79" i="1"/>
  <c r="J79" i="1" s="1"/>
  <c r="K79" i="1" s="1"/>
  <c r="K80" i="1" l="1"/>
  <c r="L80" i="1" s="1"/>
  <c r="M80" i="1" s="1"/>
  <c r="K78" i="1"/>
  <c r="L78" i="1" s="1"/>
  <c r="M78" i="1" s="1"/>
  <c r="L79" i="1"/>
  <c r="M79" i="1" s="1"/>
  <c r="M31" i="1" l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19" i="1" l="1"/>
  <c r="N18" i="1"/>
  <c r="N23" i="1"/>
  <c r="N21" i="1"/>
  <c r="N26" i="1"/>
  <c r="N20" i="1"/>
  <c r="N27" i="1"/>
  <c r="N25" i="1"/>
  <c r="N24" i="1"/>
  <c r="N28" i="1"/>
  <c r="N22" i="1"/>
  <c r="N17" i="1"/>
  <c r="J110" i="1"/>
  <c r="N16" i="1" l="1"/>
</calcChain>
</file>

<file path=xl/sharedStrings.xml><?xml version="1.0" encoding="utf-8"?>
<sst xmlns="http://schemas.openxmlformats.org/spreadsheetml/2006/main" count="535" uniqueCount="265">
  <si>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</si>
  <si>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</si>
  <si>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</si>
  <si>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</si>
  <si>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</si>
  <si>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</si>
  <si>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</si>
  <si>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</si>
  <si>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</si>
  <si>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</si>
  <si>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</si>
  <si>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</si>
  <si>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</si>
  <si>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</si>
  <si>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</si>
  <si>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</si>
  <si>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</si>
  <si>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</si>
  <si>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</si>
  <si>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</si>
  <si>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</si>
  <si>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</si>
  <si>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</si>
  <si>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</si>
  <si>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</si>
  <si>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</si>
  <si>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</si>
  <si>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</si>
  <si>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</si>
  <si>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</si>
  <si>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</si>
  <si>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</si>
  <si>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</si>
  <si>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</si>
  <si>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</si>
  <si>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</si>
  <si>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</si>
  <si>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</si>
  <si>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</si>
  <si>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</si>
  <si>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</si>
  <si>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</si>
  <si>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</si>
  <si>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</si>
  <si>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</si>
  <si>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</si>
  <si>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</si>
  <si>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</si>
  <si>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</si>
  <si>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</si>
  <si>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</si>
  <si>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</si>
  <si>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</si>
  <si>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</si>
  <si>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</si>
  <si>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</si>
  <si>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</si>
  <si>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</si>
  <si>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</si>
  <si>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</si>
  <si>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</si>
  <si>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</si>
  <si>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</si>
  <si>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</si>
  <si>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</si>
  <si>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</si>
  <si>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</si>
  <si>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</si>
  <si>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</si>
  <si>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</si>
  <si>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</si>
  <si>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</si>
  <si>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</si>
  <si>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</si>
  <si>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</si>
  <si>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</si>
  <si>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</si>
  <si>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</si>
  <si>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</si>
  <si>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</si>
  <si>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</si>
  <si>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</si>
  <si>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3.4</t>
  </si>
  <si>
    <t>3.5</t>
  </si>
  <si>
    <t>3.6</t>
  </si>
  <si>
    <t>3.7</t>
  </si>
  <si>
    <t>Insumos</t>
  </si>
  <si>
    <t>2.5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</si>
  <si>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</si>
  <si>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</si>
  <si>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</si>
  <si>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</si>
  <si>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</si>
  <si>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</si>
  <si>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</si>
  <si>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</si>
  <si>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</si>
  <si>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</si>
  <si>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</si>
  <si>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</si>
  <si>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</si>
  <si>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</si>
  <si>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</si>
  <si>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</si>
  <si>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</si>
  <si>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ORSE</t>
  </si>
  <si>
    <t>TORNEIRA METALICA CROMADA PARA JARDIM / TANQUE, COM BICO PLASTICO, CANO LONGO, DE PAREDE, PADRAO POPULAR / USO GERAL , 1/2 " OU 3/4 " (REF 1153 / 1130)</t>
  </si>
  <si>
    <t>L</t>
  </si>
  <si>
    <t>Local</t>
  </si>
  <si>
    <t>Quant.</t>
  </si>
  <si>
    <t>largura (cm)</t>
  </si>
  <si>
    <t>Comprimento (Cm)</t>
  </si>
  <si>
    <t>total m²</t>
  </si>
  <si>
    <t>Vidro 3mm</t>
  </si>
  <si>
    <t>2.6</t>
  </si>
  <si>
    <t>2.4</t>
  </si>
  <si>
    <t>2.22</t>
  </si>
  <si>
    <t>2.2</t>
  </si>
  <si>
    <t>2.8</t>
  </si>
  <si>
    <t>2.13</t>
  </si>
  <si>
    <t>2.14</t>
  </si>
  <si>
    <t>2.16</t>
  </si>
  <si>
    <t>2.17</t>
  </si>
  <si>
    <t>2.19</t>
  </si>
  <si>
    <t>2.21</t>
  </si>
  <si>
    <t>2.26</t>
  </si>
  <si>
    <t>2.27</t>
  </si>
  <si>
    <t>letras</t>
  </si>
  <si>
    <t>Berçario</t>
  </si>
  <si>
    <t>Laboratorio Quimica</t>
  </si>
  <si>
    <t>massa vidro</t>
  </si>
  <si>
    <t>pedal bike</t>
  </si>
  <si>
    <t>Nucleo professores</t>
  </si>
  <si>
    <t>SIM</t>
  </si>
  <si>
    <t>vidro divisoria</t>
  </si>
  <si>
    <t>reitoria</t>
  </si>
  <si>
    <t>regulangem vitro caindo</t>
  </si>
  <si>
    <t>OBS</t>
  </si>
  <si>
    <t>Almoxarifado</t>
  </si>
  <si>
    <t>colocação de massa de vidro</t>
  </si>
  <si>
    <t>DEQ</t>
  </si>
  <si>
    <t>2.30</t>
  </si>
  <si>
    <t>ADAPTADOR PVC SOLDAVEL CURTO COM BOLSA E ROSCA, 25 MM X 3/4", PARA AGUA FRIA</t>
  </si>
  <si>
    <t>LUVA PVC SOLDAVEL, 25 MM, PARA AGUA FRIA PREDIAL</t>
  </si>
  <si>
    <t>2.29</t>
  </si>
  <si>
    <t>2.31</t>
  </si>
  <si>
    <t>3.10</t>
  </si>
  <si>
    <t>APLICAÇÃO MANUAL DE PINTURA COM TINTA LÁTEX ACRÍLICA EM TETO, DUAS DEMÃOS. AF_06/2014</t>
  </si>
  <si>
    <t>PINTURA LÁTEX ACRÍLICA PREMIUM, APLICAÇÃO MANUAL EM PAREDES, DUAS DEMÃOS. AF_04/2023</t>
  </si>
  <si>
    <t>APLICAÇÃO MANUAL DE MASSA ACRÍLICA EM PAREDES EXTERNAS DE CASAS, DUAS DEMÃOS. AF_05/2017</t>
  </si>
  <si>
    <t>H</t>
  </si>
  <si>
    <t>3.8</t>
  </si>
  <si>
    <t>3.9</t>
  </si>
  <si>
    <t>3.12</t>
  </si>
  <si>
    <t>TINTA ACRILICA PREMIUM PARA PISO</t>
  </si>
  <si>
    <t>KG</t>
  </si>
  <si>
    <t>M</t>
  </si>
  <si>
    <t>ENGATE / RABICHO FLEXIVEL INOX 1/2 " X 40 CM</t>
  </si>
  <si>
    <t>REGISTRO DE ESFERA, PVC, COM VOLANTE, VS, SOLDAVEL, DN 25 MM, COM CORPO DIVIDIDO</t>
  </si>
  <si>
    <t>RUFO EM CHAPA DE AÇO GALVANIZADO NÚMERO 24, CORTE DE 25 CM, INCLUSO TRANSPORTE VERTICAL. AF_07/2019</t>
  </si>
  <si>
    <t>TELHADISTA COM ENCARGOS COMPLEMENTARES</t>
  </si>
  <si>
    <t>SERVENTE COM ENCARGOS COMPLEMENTARES</t>
  </si>
  <si>
    <t>VALVULA DE RETENCAO HORIZONTAL, DE BRONZE (PN-25), 3", 400 PSI, TAMPA DE PORCA DE UNIAO, EXTREMIDADES COM ROSCA</t>
  </si>
  <si>
    <t>ADAPTADOR PVC SOLDAVEL CURTO COM BOLSA E ROSCA, 85 MM X 3", PARA AGUA FRIA</t>
  </si>
  <si>
    <t>LUVA PVC SOLDAVEL, 85 MM, PARA AGUA FRIA PREDIAL</t>
  </si>
  <si>
    <t>ADESIVO PLASTICO PARA PVC, FRASCO COM *850* GR</t>
  </si>
  <si>
    <t>TORNEIRA METALICA CROMADA DE MESA PARA LAVATORIO, BICA ALTA, COM AREJADOR (REF 1195)</t>
  </si>
  <si>
    <t>BUCHA DE NYLON SEM ABA S6, COM PARAFUSO DE 4,20 X 40 MM EM ACO ZINCADO COM ROSCA SOBERBA, CABECA CHATA E FENDA PHILLIPS</t>
  </si>
  <si>
    <t>BUCHA DE NYLON SEM ABA S8, COM PARAFUSO DE 4,80 X 50 MM EM ACO ZINCADO COM ROSCA SOBERBA, CABECA CHATA E FENDA PHILLIPS</t>
  </si>
  <si>
    <t>BUCHA DE NYLON SEM ABA S10, COM PARAFUSO DE 6,10 X 6</t>
  </si>
  <si>
    <t>ENGATE/RABICHO FLEXIVEL PLASTICO (PVC OU ABS) BRANCO 1/2 " X 40 CM</t>
  </si>
  <si>
    <t>FITA VEDA ROSCA EM ROLOS DE 18 MM X 50 M (L X C)</t>
  </si>
  <si>
    <t>2.32</t>
  </si>
  <si>
    <t>SIURB</t>
  </si>
  <si>
    <t>GRELHA REDONDA EM AÇO INOX - 150MM</t>
  </si>
  <si>
    <t>Grelha p/ralo em inox, quadrada, 10x10cm, tipo abre/fecha, Meber ou similar</t>
  </si>
  <si>
    <t>VALVULA EM METAL CROMADO PARA PIA AMERICANA 3.1/2 X 1.1/2"</t>
  </si>
  <si>
    <t>SELANTE ELASTICO MONOCOMPONENTE A BASE DE POLIURETANO (PU) PARA JUNTAS DIVERSAS</t>
  </si>
  <si>
    <t>JOELHO PVC, SOLDAVEL, 90 GRAUS, 25 MM, PARA AGUA FRIA PREDIAL</t>
  </si>
  <si>
    <t>2.35</t>
  </si>
  <si>
    <t>LUVA DE CORRER PARA TUBO SOLDAVEL, PVC, 25 MM, PARA AGUA FRIA PREDIAL</t>
  </si>
  <si>
    <t>TE SOLDAVEL, PVC, 90 GRAUS, 25 MM, PARA AGUA FRIA PREDIAL (NBR 5648)</t>
  </si>
  <si>
    <t>TUBO PVC, SOLDAVEL, DE 50 MM, AGUA FRIA (NBR-5648)</t>
  </si>
  <si>
    <t>COTOVELO 90 GRAUS DE FERRO GALVANIZADO, COM ROSCA BSP MACHO/FEMEA, DE 3"</t>
  </si>
  <si>
    <t>ACABAMENTO DE METAL CROMADO PARA REGISTRO PEQUENO, DE PAREDE, 1/2" OU 3/4"</t>
  </si>
  <si>
    <t>AREIA FINA - POSTO JAZIDA/FORNECEDOR (RETIRADO NA JAZIDA, SEM TRANSPORTE)</t>
  </si>
  <si>
    <t>M³</t>
  </si>
  <si>
    <t>AREIA GROSSA - POSTO JAZIDA/FORNECEDOR (RETIRADO NA JAZIDA, SEM TRANSPORTE)</t>
  </si>
  <si>
    <t>ARGAMASSA COLANTE TIPO AC III</t>
  </si>
  <si>
    <t>CIMENTO PORTLAND COMPOSTO CP II-32</t>
  </si>
  <si>
    <t>MANTA ASFALTICA ELASTOMERICA EM POLIESTER ALUMINIZADA 3 MM, TIPO III, CLASSE B (NBR 9952)</t>
  </si>
  <si>
    <t>M2</t>
  </si>
  <si>
    <t>BACIA SANITARIA (VASO) CONVENCIONAL, DE LOUCA BRANCA, SIFAO APARENTE, SAIDA VERTICAL (SEM ASSENTO)</t>
  </si>
  <si>
    <t>BACIA SANITARIA (VASO) COM CAIXA ACOPLADA, SIFAO APARENTE, DE LOUCA BRANCA (SEM ASSENTO)</t>
  </si>
  <si>
    <t>TINTA LATEX ACRILICA STANDARD, COR BRANCA</t>
  </si>
  <si>
    <t>TINTA LATEX ACRILICA STANDARD, COR AREIA REAL</t>
  </si>
  <si>
    <t>TINTA LATEX ACRILICA STANDARD, COR BRANCA GELO</t>
  </si>
  <si>
    <t>2.33</t>
  </si>
  <si>
    <t>2.34</t>
  </si>
  <si>
    <t>2.36</t>
  </si>
  <si>
    <t>SERVIÇO DE CALHAS E MANUTENÇÃO TELHADO NULLEN</t>
  </si>
  <si>
    <t>SERVIÇO DE CALHAS E MANUTENÇÃO TELHADO DEE</t>
  </si>
  <si>
    <t>TRANSPORTE COM CAMINHÃO BASCULANTE DE 10 M³, EM VIA URBANA EM LEITO NATURAL (UNIDADE: M3XKM). AF_07/2020</t>
  </si>
  <si>
    <t>M3XKM</t>
  </si>
  <si>
    <t>PINTURA CAROLINA BORY</t>
  </si>
  <si>
    <t>PINTURA COM TINTA ALQUÍDICA DE ACABAMENTO (ESMALTE SINTÉTICO BRILHANTE) APLICADA A ROLO OU PINCEL SOBRE SUPERFÍCIES METÁLICAS (EXCETO PERFIL) EXECUTADO EM OBRA (POR DEMÃO). AF_01/2020</t>
  </si>
  <si>
    <t>APLICAÇÃO DE FUNDO SELADOR ACRÍLICO EM PAREDES, UMA DEMÃO. AF_06/2014</t>
  </si>
  <si>
    <t>TEXTURA ACRÍLICA, APLICAÇÃO MANUAL EM PAREDE, UMA DEMÃO. AF_04/2023</t>
  </si>
  <si>
    <t>3.11</t>
  </si>
  <si>
    <t>3.13</t>
  </si>
  <si>
    <t>3.14</t>
  </si>
  <si>
    <t xml:space="preserve"> INSTALAÇÃO DE RUFO TRINCA DA DILATAÇÃO NA PORTA DE ENTRADA, LADO DIREITO, INSTALAÇÃO DE RUFO SOB A DILATAÇÃO DO PRÉDIO - FUNDOS , FECHAMENTOM DOS VÃOS ENTRE A TELA (PROTEÇÃO DE POMBOS), INSTALAÇÃO DE RUFO DE ACABAMENTO NA SALA DE LABORATÓRIO A E C (NA CHAPA BRANCA)
VEDAÇÕES NAS TRINCAS DOS RODAPÉS (NA CHAPA BRANCA),  INSTALAÇÃO DE RUFOS MANIVELA SOB OS RUFOS EXISTENTE (TELHADO DO LADOS ESQUERDO COM A PORTA DA ENTRADA), REVISAO NAS TELHAS E  VEDAÇÕES NAS EMENDAS DAS DILATAÇÕES</t>
  </si>
  <si>
    <t>INSTALAÇÕES DE RUFOS,  REVISAO NAS TELHAS E  VEDAÇÕES NAS EMENDAS DAS DILATAÇÕES</t>
  </si>
  <si>
    <t>SERVIÇO DE CALHAS E MANUTENÇÃO TELHADO FISIOTERAPIA</t>
  </si>
  <si>
    <t>SERVIÇO DE CALHAS E MANUTENÇÃO TELHADO MEDICINA</t>
  </si>
  <si>
    <t>MANJTENÇÃO + VEDAÇÃO NOS RUFOS E CALHAS DOS ARTIGOS (CAIXA D'ÁGUA)</t>
  </si>
  <si>
    <t>INSTALAÇÃO DE RUFO SOB A DILATAÇÃO</t>
  </si>
  <si>
    <t>PORTA DE FERRO, DE ABRIR, TIPO GRADE COM CHAPA, COM GUARNIÇÕES. AF_12/2019</t>
  </si>
  <si>
    <t>06.03.017</t>
  </si>
  <si>
    <t>BP-02 BARRA ANTIPANICO DUPLA</t>
  </si>
  <si>
    <t>PORTA DEB</t>
  </si>
  <si>
    <t>3.15</t>
  </si>
  <si>
    <t>3.16</t>
  </si>
  <si>
    <t>3.17</t>
  </si>
  <si>
    <t>3.18</t>
  </si>
  <si>
    <t>3.19</t>
  </si>
  <si>
    <t>3.20</t>
  </si>
  <si>
    <t>3.21</t>
  </si>
  <si>
    <t>3.22</t>
  </si>
  <si>
    <t>TOLDO GERONTOLOGIA</t>
  </si>
  <si>
    <t>3.23</t>
  </si>
  <si>
    <t>3.24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</si>
  <si>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FEVEREIRO</t>
    </r>
    <r>
      <rPr>
        <b/>
        <sz val="8"/>
        <color rgb="FFFF0000"/>
        <rFont val="Arial"/>
        <family val="2"/>
      </rPr>
      <t>/2025</t>
    </r>
  </si>
  <si>
    <t>FORNECIMENTO E INSTALAÇÃO DE TOLDO CORTINA EM TELA SCREEN MARROM 3.60X2.90</t>
  </si>
  <si>
    <t>FORNECIMENTO E INSTALAÇÃO DE TOLDO CORTINA EM TELA SCREEN MARROM 2.60X2.90</t>
  </si>
  <si>
    <t>Própria</t>
  </si>
  <si>
    <t>_______________________________________________________________
Ivan Damasco Menzori
engenheiro</t>
  </si>
  <si>
    <t>Total sem BDI</t>
  </si>
  <si>
    <t>Fornecimento e instalção de toldo tipo bambinela em lona de laminado pvc Night &amp; Day com fundo blackout,anti-chama,anti-fungos, anti-mofo,anti-raios,UV e UVB, c/estrut. em tubo industrial chapa18 c/aplic. de antiferrugem epoxi, acab. esmat. sintético</t>
  </si>
  <si>
    <t xml:space="preserve"> 12211 </t>
  </si>
  <si>
    <t xml:space="preserve"> 4 </t>
  </si>
  <si>
    <t>SOLDADOR COM ENCARGOS COMPLEMENTARES</t>
  </si>
  <si>
    <t xml:space="preserve"> 88317 </t>
  </si>
  <si>
    <t xml:space="preserve"> 3 </t>
  </si>
  <si>
    <t xml:space="preserve"> 88316 </t>
  </si>
  <si>
    <t xml:space="preserve"> 2 </t>
  </si>
  <si>
    <t xml:space="preserve"> 1 </t>
  </si>
  <si>
    <t>Peso (%)</t>
  </si>
  <si>
    <t>Total</t>
  </si>
  <si>
    <t>Valor Unit com BDI</t>
  </si>
  <si>
    <t>Valor Unit</t>
  </si>
  <si>
    <t>Und</t>
  </si>
  <si>
    <t>Descrição</t>
  </si>
  <si>
    <t>Banco</t>
  </si>
  <si>
    <t>Código</t>
  </si>
  <si>
    <t>Item</t>
  </si>
  <si>
    <t>Orçamento Sintético</t>
  </si>
  <si>
    <t>Não Desonerado: embutido nos preços unitário dos insumos de mão de obra, de acordo com as bases.</t>
  </si>
  <si>
    <t>0,0%</t>
  </si>
  <si>
    <t xml:space="preserve">SINAPI - 05/2024 - São Paulo
ORSE - 05/2024 - Sergipe
</t>
  </si>
  <si>
    <t>TPU - Toldos tipo cortina (manutenção predial)</t>
  </si>
  <si>
    <t>Encargos Sociais</t>
  </si>
  <si>
    <t>B.D.I.</t>
  </si>
  <si>
    <t>Bancos</t>
  </si>
  <si>
    <t>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</si>
</sst>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  <numFmt numFmtId="165" formatCode="#,##0.00\ %"/>
  </numFmts>
  <fonts count="3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  <family val="1"/>
    </font>
    <font>
      <b/>
      <sz val="8"/>
      <color rgb="FFFF000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b/>
      <sz val="11"/>
      <name val="Arial"/>
      <family val="1"/>
    </font>
    <font>
      <b/>
      <sz val="8"/>
      <color rgb="FF00B0F0"/>
      <name val="Arial"/>
      <family val="2"/>
    </font>
    <font>
      <b/>
      <sz val="8"/>
      <color rgb="FF00B0F0"/>
      <name val="Arial"/>
      <family val="1"/>
    </font>
    <font>
      <b/>
      <sz val="8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7F3DF"/>
        <bgColor rgb="FFF7F3DF"/>
      </patternFill>
    </fill>
    <fill>
      <patternFill patternType="solid">
        <fgColor rgb="FFDFF0D8"/>
        <bgColor rgb="FFDFF0D8"/>
      </patternFill>
    </fill>
  </fills>
  <borders count="4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3" fillId="0" borderId="0"/>
    <xf numFmtId="164" fontId="23" fillId="0" borderId="0" applyBorder="0" applyProtection="0"/>
    <xf numFmtId="0" fontId="24" fillId="0" borderId="0" applyBorder="0" applyProtection="0"/>
    <xf numFmtId="0" fontId="16" fillId="4" borderId="1" applyProtection="0"/>
    <xf numFmtId="0" fontId="25" fillId="0" borderId="0"/>
  </cellStyleXfs>
  <cellXfs count="203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4" fontId="8" fillId="0" borderId="24" xfId="2" applyNumberFormat="1" applyFont="1" applyBorder="1" applyAlignment="1" applyProtection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horizontal="center"/>
    </xf>
    <xf numFmtId="2" fontId="26" fillId="0" borderId="24" xfId="0" applyNumberFormat="1" applyFont="1" applyBorder="1"/>
    <xf numFmtId="0" fontId="13" fillId="0" borderId="24" xfId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7" fillId="0" borderId="0" xfId="0" applyFont="1"/>
    <xf numFmtId="43" fontId="15" fillId="0" borderId="0" xfId="0" applyNumberFormat="1" applyFont="1"/>
    <xf numFmtId="0" fontId="5" fillId="0" borderId="24" xfId="1" applyFont="1" applyFill="1" applyBorder="1" applyAlignment="1">
      <alignment horizontal="center" vertical="center"/>
    </xf>
    <xf numFmtId="0" fontId="28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/>
    </xf>
    <xf numFmtId="0" fontId="22" fillId="0" borderId="24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top" wrapText="1"/>
    </xf>
    <xf numFmtId="4" fontId="21" fillId="0" borderId="24" xfId="2" applyNumberFormat="1" applyFont="1" applyFill="1" applyBorder="1" applyAlignment="1" applyProtection="1">
      <alignment horizontal="center" vertical="center"/>
    </xf>
    <xf numFmtId="4" fontId="21" fillId="0" borderId="24" xfId="2" applyNumberFormat="1" applyFont="1" applyBorder="1" applyAlignment="1" applyProtection="1">
      <alignment horizontal="center" vertical="center"/>
    </xf>
    <xf numFmtId="0" fontId="29" fillId="0" borderId="24" xfId="0" applyFont="1" applyBorder="1" applyAlignment="1">
      <alignment horizontal="left" vertical="center" wrapText="1"/>
    </xf>
    <xf numFmtId="4" fontId="30" fillId="5" borderId="24" xfId="0" applyNumberFormat="1" applyFont="1" applyFill="1" applyBorder="1" applyAlignment="1">
      <alignment horizontal="center" vertical="center" wrapText="1"/>
    </xf>
    <xf numFmtId="0" fontId="25" fillId="0" borderId="0" xfId="11"/>
    <xf numFmtId="0" fontId="31" fillId="6" borderId="0" xfId="11" applyFont="1" applyFill="1" applyAlignment="1">
      <alignment horizontal="center" vertical="top" wrapText="1"/>
    </xf>
    <xf numFmtId="0" fontId="32" fillId="6" borderId="0" xfId="11" applyFont="1" applyFill="1" applyAlignment="1">
      <alignment horizontal="center" vertical="top" wrapText="1"/>
    </xf>
    <xf numFmtId="0" fontId="32" fillId="6" borderId="0" xfId="11" applyFont="1" applyFill="1" applyAlignment="1">
      <alignment horizontal="right" vertical="top" wrapText="1"/>
    </xf>
    <xf numFmtId="0" fontId="32" fillId="6" borderId="0" xfId="11" applyFont="1" applyFill="1" applyAlignment="1">
      <alignment horizontal="left" vertical="top" wrapText="1"/>
    </xf>
    <xf numFmtId="0" fontId="31" fillId="6" borderId="0" xfId="11" applyFont="1" applyFill="1" applyAlignment="1">
      <alignment horizontal="left" vertical="top" wrapText="1"/>
    </xf>
    <xf numFmtId="165" fontId="33" fillId="7" borderId="45" xfId="11" applyNumberFormat="1" applyFont="1" applyFill="1" applyBorder="1" applyAlignment="1">
      <alignment horizontal="right" vertical="top" wrapText="1"/>
    </xf>
    <xf numFmtId="4" fontId="33" fillId="7" borderId="45" xfId="11" applyNumberFormat="1" applyFont="1" applyFill="1" applyBorder="1" applyAlignment="1">
      <alignment horizontal="right" vertical="top" wrapText="1"/>
    </xf>
    <xf numFmtId="0" fontId="33" fillId="7" borderId="45" xfId="11" applyFont="1" applyFill="1" applyBorder="1" applyAlignment="1">
      <alignment horizontal="right" vertical="top" wrapText="1"/>
    </xf>
    <xf numFmtId="0" fontId="33" fillId="7" borderId="45" xfId="11" applyFont="1" applyFill="1" applyBorder="1" applyAlignment="1">
      <alignment horizontal="center" vertical="top" wrapText="1"/>
    </xf>
    <xf numFmtId="0" fontId="33" fillId="7" borderId="45" xfId="11" applyFont="1" applyFill="1" applyBorder="1" applyAlignment="1">
      <alignment horizontal="left" vertical="top" wrapText="1"/>
    </xf>
    <xf numFmtId="165" fontId="33" fillId="8" borderId="45" xfId="11" applyNumberFormat="1" applyFont="1" applyFill="1" applyBorder="1" applyAlignment="1">
      <alignment horizontal="right" vertical="top" wrapText="1"/>
    </xf>
    <xf numFmtId="4" fontId="33" fillId="8" borderId="45" xfId="11" applyNumberFormat="1" applyFont="1" applyFill="1" applyBorder="1" applyAlignment="1">
      <alignment horizontal="right" vertical="top" wrapText="1"/>
    </xf>
    <xf numFmtId="0" fontId="33" fillId="8" borderId="45" xfId="11" applyFont="1" applyFill="1" applyBorder="1" applyAlignment="1">
      <alignment horizontal="right" vertical="top" wrapText="1"/>
    </xf>
    <xf numFmtId="0" fontId="33" fillId="8" borderId="45" xfId="11" applyFont="1" applyFill="1" applyBorder="1" applyAlignment="1">
      <alignment horizontal="center" vertical="top" wrapText="1"/>
    </xf>
    <xf numFmtId="0" fontId="33" fillId="8" borderId="45" xfId="11" applyFont="1" applyFill="1" applyBorder="1" applyAlignment="1">
      <alignment horizontal="left" vertical="top" wrapText="1"/>
    </xf>
    <xf numFmtId="0" fontId="34" fillId="6" borderId="45" xfId="11" applyFont="1" applyFill="1" applyBorder="1" applyAlignment="1">
      <alignment horizontal="right" vertical="top" wrapText="1"/>
    </xf>
    <xf numFmtId="0" fontId="34" fillId="6" borderId="45" xfId="11" applyFont="1" applyFill="1" applyBorder="1" applyAlignment="1">
      <alignment horizontal="center" vertical="top" wrapText="1"/>
    </xf>
    <xf numFmtId="0" fontId="34" fillId="6" borderId="45" xfId="11" applyFont="1" applyFill="1" applyBorder="1" applyAlignment="1">
      <alignment horizontal="left" vertical="top" wrapText="1"/>
    </xf>
    <xf numFmtId="0" fontId="34" fillId="6" borderId="0" xfId="11" applyFont="1" applyFill="1" applyAlignment="1">
      <alignment horizontal="left" vertical="top" wrapText="1"/>
    </xf>
    <xf numFmtId="4" fontId="35" fillId="0" borderId="24" xfId="2" applyNumberFormat="1" applyFont="1" applyBorder="1" applyAlignment="1" applyProtection="1">
      <alignment horizontal="center" vertical="center"/>
    </xf>
    <xf numFmtId="4" fontId="35" fillId="0" borderId="24" xfId="0" applyNumberFormat="1" applyFont="1" applyBorder="1" applyAlignment="1">
      <alignment horizontal="center" vertical="center" wrapText="1"/>
    </xf>
    <xf numFmtId="4" fontId="36" fillId="5" borderId="24" xfId="0" applyNumberFormat="1" applyFont="1" applyFill="1" applyBorder="1" applyAlignment="1">
      <alignment horizontal="center" vertical="center" wrapText="1"/>
    </xf>
    <xf numFmtId="4" fontId="10" fillId="0" borderId="24" xfId="2" applyNumberFormat="1" applyFont="1" applyBorder="1" applyAlignment="1" applyProtection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2" fontId="35" fillId="0" borderId="24" xfId="1" applyNumberFormat="1" applyFont="1" applyFill="1" applyBorder="1" applyAlignment="1">
      <alignment horizontal="center" vertical="center"/>
    </xf>
    <xf numFmtId="0" fontId="35" fillId="0" borderId="24" xfId="1" applyFont="1" applyFill="1" applyBorder="1" applyAlignment="1">
      <alignment horizontal="center" vertical="center"/>
    </xf>
    <xf numFmtId="4" fontId="35" fillId="0" borderId="24" xfId="1" applyNumberFormat="1" applyFont="1" applyFill="1" applyBorder="1" applyAlignment="1">
      <alignment horizontal="center" vertical="center"/>
    </xf>
    <xf numFmtId="0" fontId="37" fillId="0" borderId="24" xfId="1" applyFont="1" applyFill="1" applyBorder="1" applyAlignment="1">
      <alignment horizontal="center" vertical="center"/>
    </xf>
    <xf numFmtId="2" fontId="37" fillId="0" borderId="24" xfId="1" applyNumberFormat="1" applyFont="1" applyFill="1" applyBorder="1" applyAlignment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7" fillId="0" borderId="7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7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4" fillId="6" borderId="0" xfId="11" applyFont="1" applyFill="1" applyAlignment="1">
      <alignment horizontal="left" vertical="top" wrapText="1"/>
    </xf>
    <xf numFmtId="0" fontId="32" fillId="6" borderId="0" xfId="11" applyFont="1" applyFill="1" applyAlignment="1">
      <alignment horizontal="left" vertical="top" wrapText="1"/>
    </xf>
    <xf numFmtId="0" fontId="32" fillId="6" borderId="0" xfId="11" applyFont="1" applyFill="1" applyAlignment="1">
      <alignment horizontal="right" vertical="top" wrapText="1"/>
    </xf>
    <xf numFmtId="4" fontId="32" fillId="6" borderId="0" xfId="11" applyNumberFormat="1" applyFont="1" applyFill="1" applyAlignment="1">
      <alignment horizontal="right" vertical="top" wrapText="1"/>
    </xf>
    <xf numFmtId="0" fontId="31" fillId="6" borderId="0" xfId="11" applyFont="1" applyFill="1" applyAlignment="1">
      <alignment horizontal="center" vertical="top" wrapText="1"/>
    </xf>
    <xf numFmtId="0" fontId="25" fillId="0" borderId="0" xfId="11"/>
    <xf numFmtId="0" fontId="34" fillId="6" borderId="0" xfId="11" applyFont="1" applyFill="1" applyAlignment="1">
      <alignment horizontal="center" wrapText="1"/>
    </xf>
    <xf numFmtId="0" fontId="0" fillId="0" borderId="24" xfId="0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C:/Users/anivaldo/Downloads/2022/10%20Outubro/Notas%20Fiscais/NF%20516064%20Jabu%20SA.pdf" TargetMode="External"/><Relationship Id="rId1" Type="http://schemas.openxmlformats.org/officeDocument/2006/relationships/hyperlink" Target="file:///C:/Users/anivaldo/AppData/Roaming/2022/10%20Outubro/Notas%20Fiscais/NF%20516064%20Jabu%20SA.pdf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9"/>
  <sheetViews>
    <sheetView tabSelected="1" topLeftCell="I105" zoomScaleNormal="100" workbookViewId="0">
      <selection activeCell="J110" sqref="J110:N110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</cols>
  <sheetData>
    <row r="1" spans="1:15" ht="17.100000000000001" customHeight="1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5"/>
      <c r="J1" s="122" t="s">
        <v>1</v>
      </c>
      <c r="K1" s="122"/>
      <c r="L1" s="122"/>
      <c r="M1" s="122"/>
      <c r="N1" s="122"/>
      <c r="O1" s="123"/>
    </row>
    <row r="2" spans="1:15" ht="17.100000000000001" customHeight="1" x14ac:dyDescent="0.25">
      <c r="A2" s="116"/>
      <c r="B2" s="117"/>
      <c r="C2" s="117"/>
      <c r="D2" s="117"/>
      <c r="E2" s="117"/>
      <c r="F2" s="117"/>
      <c r="G2" s="117"/>
      <c r="H2" s="117"/>
      <c r="I2" s="118"/>
      <c r="J2" s="124" t="s">
        <v>2</v>
      </c>
      <c r="K2" s="124"/>
      <c r="L2" s="124"/>
      <c r="M2" s="124"/>
      <c r="N2" s="124"/>
      <c r="O2" s="125"/>
    </row>
    <row r="3" spans="1:15" ht="17.100000000000001" customHeight="1" x14ac:dyDescent="0.25">
      <c r="A3" s="116"/>
      <c r="B3" s="117"/>
      <c r="C3" s="117"/>
      <c r="D3" s="117"/>
      <c r="E3" s="117"/>
      <c r="F3" s="117"/>
      <c r="G3" s="117"/>
      <c r="H3" s="117"/>
      <c r="I3" s="118"/>
      <c r="J3" s="124" t="s">
        <v>3</v>
      </c>
      <c r="K3" s="124"/>
      <c r="L3" s="124"/>
      <c r="M3" s="124" t="s">
        <v>4</v>
      </c>
      <c r="N3" s="124"/>
      <c r="O3" s="1"/>
    </row>
    <row r="4" spans="1:15" ht="17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8"/>
      <c r="J4" s="124" t="s">
        <v>5</v>
      </c>
      <c r="K4" s="124"/>
      <c r="L4" s="124"/>
      <c r="M4" s="124" t="s">
        <v>6</v>
      </c>
      <c r="N4" s="124"/>
      <c r="O4" s="2"/>
    </row>
    <row r="5" spans="1:15" ht="17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8"/>
      <c r="J5" s="124" t="s">
        <v>7</v>
      </c>
      <c r="K5" s="124"/>
      <c r="L5" s="124"/>
      <c r="M5" s="124" t="s">
        <v>8</v>
      </c>
      <c r="N5" s="124"/>
      <c r="O5" s="1"/>
    </row>
    <row r="6" spans="1:15" ht="17.100000000000001" customHeight="1" x14ac:dyDescent="0.25">
      <c r="A6" s="119"/>
      <c r="B6" s="120"/>
      <c r="C6" s="120"/>
      <c r="D6" s="120"/>
      <c r="E6" s="120"/>
      <c r="F6" s="120"/>
      <c r="G6" s="120"/>
      <c r="H6" s="120"/>
      <c r="I6" s="121"/>
      <c r="J6" s="124" t="s">
        <v>9</v>
      </c>
      <c r="K6" s="124"/>
      <c r="L6" s="124"/>
      <c r="M6" s="124" t="s">
        <v>10</v>
      </c>
      <c r="N6" s="124"/>
      <c r="O6" s="1"/>
    </row>
    <row r="7" spans="1:15" ht="17.100000000000001" customHeight="1" x14ac:dyDescent="0.25">
      <c r="A7" s="126" t="s">
        <v>11</v>
      </c>
      <c r="B7" s="127"/>
      <c r="C7" s="127"/>
      <c r="D7" s="127"/>
      <c r="E7" s="127"/>
      <c r="F7" s="127"/>
      <c r="G7" s="127"/>
      <c r="H7" s="127"/>
      <c r="I7" s="128"/>
      <c r="J7" s="108" t="s">
        <v>51</v>
      </c>
      <c r="K7" s="109"/>
      <c r="L7" s="109"/>
      <c r="M7" s="109"/>
      <c r="N7" s="110"/>
      <c r="O7" s="98" t="s">
        <v>12</v>
      </c>
    </row>
    <row r="8" spans="1:15" ht="17.100000000000001" customHeight="1" x14ac:dyDescent="0.25">
      <c r="A8" s="99" t="s">
        <v>232</v>
      </c>
      <c r="B8" s="100"/>
      <c r="C8" s="100"/>
      <c r="D8" s="100"/>
      <c r="E8" s="100"/>
      <c r="F8" s="100"/>
      <c r="G8" s="100"/>
      <c r="H8" s="100"/>
      <c r="I8" s="101"/>
      <c r="J8" s="108" t="s">
        <v>13</v>
      </c>
      <c r="K8" s="109"/>
      <c r="L8" s="109"/>
      <c r="M8" s="109"/>
      <c r="N8" s="110"/>
      <c r="O8" s="98"/>
    </row>
    <row r="9" spans="1:15" ht="17.100000000000001" customHeight="1" x14ac:dyDescent="0.25">
      <c r="A9" s="102"/>
      <c r="B9" s="103"/>
      <c r="C9" s="103"/>
      <c r="D9" s="103"/>
      <c r="E9" s="103"/>
      <c r="F9" s="103"/>
      <c r="G9" s="103"/>
      <c r="H9" s="103"/>
      <c r="I9" s="104"/>
      <c r="J9" s="108" t="s">
        <v>14</v>
      </c>
      <c r="K9" s="109"/>
      <c r="L9" s="109"/>
      <c r="M9" s="109"/>
      <c r="N9" s="110"/>
      <c r="O9" s="98"/>
    </row>
    <row r="10" spans="1:15" ht="17.100000000000001" customHeight="1" x14ac:dyDescent="0.25">
      <c r="A10" s="102"/>
      <c r="B10" s="103"/>
      <c r="C10" s="103"/>
      <c r="D10" s="103"/>
      <c r="E10" s="103"/>
      <c r="F10" s="103"/>
      <c r="G10" s="103"/>
      <c r="H10" s="103"/>
      <c r="I10" s="104"/>
      <c r="J10" s="108" t="s">
        <v>15</v>
      </c>
      <c r="K10" s="109"/>
      <c r="L10" s="109"/>
      <c r="M10" s="109"/>
      <c r="N10" s="110"/>
      <c r="O10" s="98"/>
    </row>
    <row r="11" spans="1:15" ht="17.100000000000001" customHeight="1" x14ac:dyDescent="0.25">
      <c r="A11" s="102"/>
      <c r="B11" s="103"/>
      <c r="C11" s="103"/>
      <c r="D11" s="103"/>
      <c r="E11" s="103"/>
      <c r="F11" s="103"/>
      <c r="G11" s="103"/>
      <c r="H11" s="103"/>
      <c r="I11" s="104"/>
      <c r="J11" s="108" t="s">
        <v>50</v>
      </c>
      <c r="K11" s="109"/>
      <c r="L11" s="109"/>
      <c r="M11" s="109"/>
      <c r="N11" s="110"/>
      <c r="O11" s="98"/>
    </row>
    <row r="12" spans="1:15" ht="17.100000000000001" customHeight="1" x14ac:dyDescent="0.25">
      <c r="A12" s="102"/>
      <c r="B12" s="103"/>
      <c r="C12" s="103"/>
      <c r="D12" s="103"/>
      <c r="E12" s="103"/>
      <c r="F12" s="103"/>
      <c r="G12" s="103"/>
      <c r="H12" s="103"/>
      <c r="I12" s="104"/>
      <c r="J12" s="108" t="s">
        <v>104</v>
      </c>
      <c r="K12" s="109"/>
      <c r="L12" s="109"/>
      <c r="M12" s="109"/>
      <c r="N12" s="110"/>
      <c r="O12" s="98"/>
    </row>
    <row r="13" spans="1:15" ht="17.100000000000001" customHeight="1" x14ac:dyDescent="0.25">
      <c r="A13" s="105"/>
      <c r="B13" s="106"/>
      <c r="C13" s="106"/>
      <c r="D13" s="106"/>
      <c r="E13" s="106"/>
      <c r="F13" s="106"/>
      <c r="G13" s="106"/>
      <c r="H13" s="106"/>
      <c r="I13" s="107"/>
      <c r="J13" s="108" t="s">
        <v>103</v>
      </c>
      <c r="K13" s="109"/>
      <c r="L13" s="109"/>
      <c r="M13" s="109"/>
      <c r="N13" s="110"/>
      <c r="O13" s="98"/>
    </row>
    <row r="14" spans="1:15" ht="17.100000000000001" customHeight="1" x14ac:dyDescent="0.25">
      <c r="A14" s="176" t="s">
        <v>16</v>
      </c>
      <c r="B14" s="111" t="s">
        <v>17</v>
      </c>
      <c r="C14" s="111" t="s">
        <v>18</v>
      </c>
      <c r="D14" s="111" t="s">
        <v>19</v>
      </c>
      <c r="E14" s="111" t="s">
        <v>20</v>
      </c>
      <c r="F14" s="111" t="s">
        <v>21</v>
      </c>
      <c r="G14" s="111" t="s">
        <v>22</v>
      </c>
      <c r="H14" s="130" t="s">
        <v>23</v>
      </c>
      <c r="I14" s="130"/>
      <c r="J14" s="130"/>
      <c r="K14" s="130"/>
      <c r="L14" s="131"/>
      <c r="M14" s="111" t="s">
        <v>24</v>
      </c>
      <c r="N14" s="111" t="s">
        <v>25</v>
      </c>
      <c r="O14" s="98" t="s">
        <v>26</v>
      </c>
    </row>
    <row r="15" spans="1:15" ht="17.100000000000001" customHeight="1" x14ac:dyDescent="0.25">
      <c r="A15" s="177"/>
      <c r="B15" s="112"/>
      <c r="C15" s="112"/>
      <c r="D15" s="112"/>
      <c r="E15" s="112"/>
      <c r="F15" s="112"/>
      <c r="G15" s="112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12"/>
      <c r="N15" s="112"/>
      <c r="O15" s="98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80120.020780799998</v>
      </c>
      <c r="N16" s="10">
        <f>SUM(N17:N28)</f>
        <v>1.0000000000000002</v>
      </c>
      <c r="O16" s="98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88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10541.065371408</v>
      </c>
      <c r="N17" s="14">
        <f>M17/M$16</f>
        <v>0.13156593406593406</v>
      </c>
      <c r="O17" s="175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180</v>
      </c>
      <c r="H18" s="88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7948.1701933920012</v>
      </c>
      <c r="N18" s="14">
        <f t="shared" ref="N18:N28" si="5">M18/M$16</f>
        <v>9.9203296703296723E-2</v>
      </c>
      <c r="O18" s="175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88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9.9203296703296723E-2</v>
      </c>
      <c r="O19" s="175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180</v>
      </c>
      <c r="H20" s="88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8.1785714285714295E-2</v>
      </c>
      <c r="O20" s="175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180</v>
      </c>
      <c r="H21" s="88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8.1785714285714295E-2</v>
      </c>
      <c r="O21" s="175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180</v>
      </c>
      <c r="H22" s="88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7168.9809803040007</v>
      </c>
      <c r="N22" s="14">
        <f t="shared" si="5"/>
        <v>8.9478021978021988E-2</v>
      </c>
      <c r="O22" s="175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180</v>
      </c>
      <c r="H23" s="88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8.9478021978021988E-2</v>
      </c>
      <c r="O23" s="175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88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8.3461538461538462E-2</v>
      </c>
      <c r="O24" s="175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180</v>
      </c>
      <c r="H25" s="88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8.3461538461538462E-2</v>
      </c>
      <c r="O25" s="175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88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8.3461538461538462E-2</v>
      </c>
      <c r="O26" s="175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180</v>
      </c>
      <c r="H27" s="88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7.7115384615384613E-2</v>
      </c>
      <c r="O27" s="175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7">
        <v>0</v>
      </c>
      <c r="H28" s="88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175"/>
    </row>
    <row r="29" spans="1:15" x14ac:dyDescent="0.25">
      <c r="A29" s="176" t="s">
        <v>16</v>
      </c>
      <c r="B29" s="111" t="s">
        <v>17</v>
      </c>
      <c r="C29" s="111" t="s">
        <v>18</v>
      </c>
      <c r="D29" s="111" t="s">
        <v>19</v>
      </c>
      <c r="E29" s="111" t="s">
        <v>20</v>
      </c>
      <c r="F29" s="111" t="s">
        <v>21</v>
      </c>
      <c r="G29" s="111" t="s">
        <v>22</v>
      </c>
      <c r="H29" s="130" t="s">
        <v>23</v>
      </c>
      <c r="I29" s="130"/>
      <c r="J29" s="130"/>
      <c r="K29" s="130"/>
      <c r="L29" s="131"/>
      <c r="M29" s="111" t="s">
        <v>24</v>
      </c>
      <c r="N29" s="111" t="s">
        <v>25</v>
      </c>
      <c r="O29" s="175"/>
    </row>
    <row r="30" spans="1:15" ht="17.100000000000001" customHeight="1" x14ac:dyDescent="0.25">
      <c r="A30" s="177"/>
      <c r="B30" s="112"/>
      <c r="C30" s="112"/>
      <c r="D30" s="112"/>
      <c r="E30" s="112"/>
      <c r="F30" s="112"/>
      <c r="G30" s="112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112"/>
      <c r="N30" s="112"/>
      <c r="O30" s="98"/>
    </row>
    <row r="31" spans="1:15" ht="17.100000000000001" customHeight="1" x14ac:dyDescent="0.25">
      <c r="A31" s="15">
        <v>2</v>
      </c>
      <c r="B31" s="132" t="s">
        <v>37</v>
      </c>
      <c r="C31" s="132"/>
      <c r="D31" s="133"/>
      <c r="E31" s="133"/>
      <c r="F31" s="133"/>
      <c r="G31" s="16"/>
      <c r="H31" s="16"/>
      <c r="I31" s="16"/>
      <c r="J31" s="16"/>
      <c r="K31" s="16"/>
      <c r="L31" s="16"/>
      <c r="M31" s="22">
        <f>SUM(M32:M74)</f>
        <v>21297.883177661999</v>
      </c>
      <c r="N31" s="16"/>
      <c r="O31" s="175"/>
    </row>
    <row r="32" spans="1:15" s="47" customFormat="1" ht="17.25" customHeight="1" x14ac:dyDescent="0.25">
      <c r="A32" s="18" t="s">
        <v>93</v>
      </c>
      <c r="B32" s="53" t="s">
        <v>86</v>
      </c>
      <c r="C32" s="18">
        <v>10406</v>
      </c>
      <c r="D32" s="18" t="s">
        <v>34</v>
      </c>
      <c r="E32" s="46" t="s">
        <v>162</v>
      </c>
      <c r="F32" s="18" t="s">
        <v>21</v>
      </c>
      <c r="G32" s="18">
        <v>2</v>
      </c>
      <c r="H32" s="88">
        <v>710.55</v>
      </c>
      <c r="I32" s="14">
        <f t="shared" ref="I32:I49" si="6">H32*0.1532</f>
        <v>108.85625999999999</v>
      </c>
      <c r="J32" s="14">
        <f t="shared" ref="J32:J49" si="7">H32+I32</f>
        <v>819.40625999999997</v>
      </c>
      <c r="K32" s="14">
        <f t="shared" ref="K32:K49" si="8">J32*(0.03%)</f>
        <v>0.24582187799999997</v>
      </c>
      <c r="L32" s="14">
        <f t="shared" ref="L32:L49" si="9">J32-K32</f>
        <v>819.16043812199996</v>
      </c>
      <c r="M32" s="14">
        <f t="shared" ref="M32:M49" si="10">L32*G32</f>
        <v>1638.3208762439999</v>
      </c>
      <c r="N32" s="14">
        <f>M32/M$31</f>
        <v>7.6924117884275514E-2</v>
      </c>
      <c r="O32" s="175"/>
    </row>
    <row r="33" spans="1:15" s="47" customFormat="1" ht="17.25" customHeight="1" x14ac:dyDescent="0.25">
      <c r="A33" s="18" t="s">
        <v>117</v>
      </c>
      <c r="B33" s="53" t="s">
        <v>86</v>
      </c>
      <c r="C33" s="18">
        <v>102</v>
      </c>
      <c r="D33" s="18" t="s">
        <v>34</v>
      </c>
      <c r="E33" s="46" t="s">
        <v>163</v>
      </c>
      <c r="F33" s="18" t="s">
        <v>21</v>
      </c>
      <c r="G33" s="18">
        <v>10</v>
      </c>
      <c r="H33" s="88">
        <v>22.26</v>
      </c>
      <c r="I33" s="14">
        <f t="shared" si="6"/>
        <v>3.4102320000000002</v>
      </c>
      <c r="J33" s="14">
        <f t="shared" si="7"/>
        <v>25.670232000000002</v>
      </c>
      <c r="K33" s="14">
        <f t="shared" si="8"/>
        <v>7.7010695999999998E-3</v>
      </c>
      <c r="L33" s="14">
        <f t="shared" si="9"/>
        <v>25.662530930400003</v>
      </c>
      <c r="M33" s="14">
        <f t="shared" si="10"/>
        <v>256.62530930400004</v>
      </c>
      <c r="N33" s="14">
        <f t="shared" ref="N33:N67" si="11">M33/M$31</f>
        <v>1.204933406589243E-2</v>
      </c>
      <c r="O33" s="175"/>
    </row>
    <row r="34" spans="1:15" s="47" customFormat="1" ht="17.25" customHeight="1" x14ac:dyDescent="0.25">
      <c r="A34" s="18" t="s">
        <v>94</v>
      </c>
      <c r="B34" s="53" t="s">
        <v>86</v>
      </c>
      <c r="C34" s="18">
        <v>3866</v>
      </c>
      <c r="D34" s="18" t="s">
        <v>34</v>
      </c>
      <c r="E34" s="46" t="s">
        <v>164</v>
      </c>
      <c r="F34" s="18" t="s">
        <v>21</v>
      </c>
      <c r="G34" s="18">
        <v>2</v>
      </c>
      <c r="H34" s="88">
        <v>36.43</v>
      </c>
      <c r="I34" s="14">
        <f t="shared" si="6"/>
        <v>5.5810760000000004</v>
      </c>
      <c r="J34" s="14">
        <f t="shared" si="7"/>
        <v>42.011076000000003</v>
      </c>
      <c r="K34" s="14">
        <f t="shared" si="8"/>
        <v>1.26033228E-2</v>
      </c>
      <c r="L34" s="14">
        <f t="shared" si="9"/>
        <v>41.998472677200006</v>
      </c>
      <c r="M34" s="14">
        <f t="shared" si="10"/>
        <v>83.996945354400012</v>
      </c>
      <c r="N34" s="14">
        <f t="shared" si="11"/>
        <v>3.9439105123132189E-3</v>
      </c>
      <c r="O34" s="175"/>
    </row>
    <row r="35" spans="1:15" s="44" customFormat="1" ht="17.25" customHeight="1" x14ac:dyDescent="0.25">
      <c r="A35" s="18" t="s">
        <v>115</v>
      </c>
      <c r="B35" s="53" t="s">
        <v>86</v>
      </c>
      <c r="C35" s="18">
        <v>122</v>
      </c>
      <c r="D35" s="18" t="s">
        <v>34</v>
      </c>
      <c r="E35" s="46" t="s">
        <v>165</v>
      </c>
      <c r="F35" s="18" t="s">
        <v>21</v>
      </c>
      <c r="G35" s="18">
        <v>2</v>
      </c>
      <c r="H35" s="93">
        <v>53.39</v>
      </c>
      <c r="I35" s="14">
        <f t="shared" si="6"/>
        <v>8.179348000000001</v>
      </c>
      <c r="J35" s="14">
        <f t="shared" si="7"/>
        <v>61.569348000000005</v>
      </c>
      <c r="K35" s="14">
        <f t="shared" si="8"/>
        <v>1.8470804399999999E-2</v>
      </c>
      <c r="L35" s="14">
        <f t="shared" si="9"/>
        <v>61.550877195600002</v>
      </c>
      <c r="M35" s="14">
        <f t="shared" si="10"/>
        <v>123.1017543912</v>
      </c>
      <c r="N35" s="14">
        <f t="shared" si="11"/>
        <v>5.7799995128301595E-3</v>
      </c>
      <c r="O35" s="175"/>
    </row>
    <row r="36" spans="1:15" s="44" customFormat="1" ht="17.100000000000001" customHeight="1" x14ac:dyDescent="0.25">
      <c r="A36" s="18" t="s">
        <v>87</v>
      </c>
      <c r="B36" s="53" t="s">
        <v>86</v>
      </c>
      <c r="C36" s="18">
        <v>11762</v>
      </c>
      <c r="D36" s="18" t="s">
        <v>34</v>
      </c>
      <c r="E36" s="46" t="s">
        <v>106</v>
      </c>
      <c r="F36" s="18" t="s">
        <v>21</v>
      </c>
      <c r="G36" s="18">
        <v>10</v>
      </c>
      <c r="H36" s="92">
        <v>51.67</v>
      </c>
      <c r="I36" s="14">
        <f t="shared" si="6"/>
        <v>7.9158440000000008</v>
      </c>
      <c r="J36" s="14">
        <f t="shared" si="7"/>
        <v>59.585844000000002</v>
      </c>
      <c r="K36" s="14">
        <f t="shared" si="8"/>
        <v>1.78757532E-2</v>
      </c>
      <c r="L36" s="14">
        <f t="shared" si="9"/>
        <v>59.5679682468</v>
      </c>
      <c r="M36" s="14">
        <f t="shared" si="10"/>
        <v>595.67968246800001</v>
      </c>
      <c r="N36" s="14">
        <f t="shared" si="11"/>
        <v>2.7968961868133951E-2</v>
      </c>
      <c r="O36" s="175"/>
    </row>
    <row r="37" spans="1:15" s="44" customFormat="1" ht="17.25" customHeight="1" x14ac:dyDescent="0.25">
      <c r="A37" s="18" t="s">
        <v>114</v>
      </c>
      <c r="B37" s="18" t="s">
        <v>86</v>
      </c>
      <c r="C37" s="18">
        <v>36791</v>
      </c>
      <c r="D37" s="18" t="s">
        <v>34</v>
      </c>
      <c r="E37" s="46" t="s">
        <v>166</v>
      </c>
      <c r="F37" s="18" t="s">
        <v>21</v>
      </c>
      <c r="G37" s="18">
        <v>15</v>
      </c>
      <c r="H37" s="93">
        <v>122.95</v>
      </c>
      <c r="I37" s="14">
        <f t="shared" si="6"/>
        <v>18.835940000000001</v>
      </c>
      <c r="J37" s="14">
        <f t="shared" si="7"/>
        <v>141.78594000000001</v>
      </c>
      <c r="K37" s="14">
        <f t="shared" si="8"/>
        <v>4.2535782000000001E-2</v>
      </c>
      <c r="L37" s="14">
        <f t="shared" si="9"/>
        <v>141.74340421800002</v>
      </c>
      <c r="M37" s="14">
        <f t="shared" si="10"/>
        <v>2126.1510632700001</v>
      </c>
      <c r="N37" s="14">
        <f t="shared" si="11"/>
        <v>9.9829219905759714E-2</v>
      </c>
      <c r="O37" s="175"/>
    </row>
    <row r="38" spans="1:15" s="44" customFormat="1" ht="17.25" customHeight="1" x14ac:dyDescent="0.25">
      <c r="A38" s="18" t="s">
        <v>95</v>
      </c>
      <c r="B38" s="18" t="s">
        <v>86</v>
      </c>
      <c r="C38" s="18">
        <v>11684</v>
      </c>
      <c r="D38" s="18" t="s">
        <v>34</v>
      </c>
      <c r="E38" s="46" t="s">
        <v>157</v>
      </c>
      <c r="F38" s="18" t="s">
        <v>21</v>
      </c>
      <c r="G38" s="18">
        <v>15</v>
      </c>
      <c r="H38" s="93">
        <v>45.54</v>
      </c>
      <c r="I38" s="14">
        <f t="shared" si="6"/>
        <v>6.9767279999999996</v>
      </c>
      <c r="J38" s="14">
        <f t="shared" si="7"/>
        <v>52.516728000000001</v>
      </c>
      <c r="K38" s="14">
        <f t="shared" si="8"/>
        <v>1.5755018399999998E-2</v>
      </c>
      <c r="L38" s="14">
        <f t="shared" si="9"/>
        <v>52.5009729816</v>
      </c>
      <c r="M38" s="14">
        <f t="shared" si="10"/>
        <v>787.51459472400006</v>
      </c>
      <c r="N38" s="14">
        <f t="shared" si="11"/>
        <v>3.6976190927273667E-2</v>
      </c>
      <c r="O38" s="175"/>
    </row>
    <row r="39" spans="1:15" s="47" customFormat="1" ht="17.25" customHeight="1" x14ac:dyDescent="0.25">
      <c r="A39" s="18" t="s">
        <v>118</v>
      </c>
      <c r="B39" s="18" t="s">
        <v>86</v>
      </c>
      <c r="C39" s="18">
        <v>11950</v>
      </c>
      <c r="D39" s="18" t="s">
        <v>34</v>
      </c>
      <c r="E39" s="46" t="s">
        <v>167</v>
      </c>
      <c r="F39" s="18" t="s">
        <v>21</v>
      </c>
      <c r="G39" s="18">
        <v>100</v>
      </c>
      <c r="H39" s="88">
        <v>0.18</v>
      </c>
      <c r="I39" s="14">
        <f t="shared" si="6"/>
        <v>2.7576E-2</v>
      </c>
      <c r="J39" s="14">
        <f t="shared" si="7"/>
        <v>0.20757599999999998</v>
      </c>
      <c r="K39" s="14">
        <f t="shared" si="8"/>
        <v>6.2272799999999991E-5</v>
      </c>
      <c r="L39" s="14">
        <f t="shared" si="9"/>
        <v>0.20751372719999997</v>
      </c>
      <c r="M39" s="14">
        <f t="shared" si="10"/>
        <v>20.751372719999996</v>
      </c>
      <c r="N39" s="14">
        <f t="shared" si="11"/>
        <v>9.7433968187809366E-4</v>
      </c>
      <c r="O39" s="175"/>
    </row>
    <row r="40" spans="1:15" s="47" customFormat="1" ht="17.25" customHeight="1" x14ac:dyDescent="0.25">
      <c r="A40" s="18" t="s">
        <v>96</v>
      </c>
      <c r="B40" s="18" t="s">
        <v>86</v>
      </c>
      <c r="C40" s="18">
        <v>7583</v>
      </c>
      <c r="D40" s="18" t="s">
        <v>34</v>
      </c>
      <c r="E40" s="46" t="s">
        <v>168</v>
      </c>
      <c r="F40" s="18" t="s">
        <v>21</v>
      </c>
      <c r="G40" s="18">
        <v>100</v>
      </c>
      <c r="H40" s="88">
        <v>0.37</v>
      </c>
      <c r="I40" s="14">
        <f t="shared" si="6"/>
        <v>5.6683999999999998E-2</v>
      </c>
      <c r="J40" s="14">
        <f t="shared" si="7"/>
        <v>0.42668400000000001</v>
      </c>
      <c r="K40" s="14">
        <f t="shared" si="8"/>
        <v>1.2800519999999998E-4</v>
      </c>
      <c r="L40" s="14">
        <f t="shared" si="9"/>
        <v>0.4265559948</v>
      </c>
      <c r="M40" s="14">
        <f t="shared" si="10"/>
        <v>42.655599479999999</v>
      </c>
      <c r="N40" s="14">
        <f t="shared" si="11"/>
        <v>2.0028093460827488E-3</v>
      </c>
      <c r="O40" s="175"/>
    </row>
    <row r="41" spans="1:15" s="47" customFormat="1" ht="17.25" customHeight="1" x14ac:dyDescent="0.25">
      <c r="A41" s="18" t="s">
        <v>92</v>
      </c>
      <c r="B41" s="18" t="s">
        <v>86</v>
      </c>
      <c r="C41" s="18">
        <v>7568</v>
      </c>
      <c r="D41" s="18" t="s">
        <v>34</v>
      </c>
      <c r="E41" s="46" t="s">
        <v>169</v>
      </c>
      <c r="F41" s="18" t="s">
        <v>21</v>
      </c>
      <c r="G41" s="18">
        <v>100</v>
      </c>
      <c r="H41" s="88">
        <v>0.55000000000000004</v>
      </c>
      <c r="I41" s="14">
        <f t="shared" si="6"/>
        <v>8.4260000000000002E-2</v>
      </c>
      <c r="J41" s="14">
        <f t="shared" si="7"/>
        <v>0.63426000000000005</v>
      </c>
      <c r="K41" s="14">
        <f t="shared" si="8"/>
        <v>1.90278E-4</v>
      </c>
      <c r="L41" s="14">
        <f t="shared" si="9"/>
        <v>0.634069722</v>
      </c>
      <c r="M41" s="14">
        <f t="shared" si="10"/>
        <v>63.406972199999998</v>
      </c>
      <c r="N41" s="14">
        <f t="shared" si="11"/>
        <v>2.9771490279608425E-3</v>
      </c>
      <c r="O41" s="175"/>
    </row>
    <row r="42" spans="1:15" s="47" customFormat="1" ht="17.25" customHeight="1" x14ac:dyDescent="0.25">
      <c r="A42" s="18" t="s">
        <v>89</v>
      </c>
      <c r="B42" s="18" t="s">
        <v>86</v>
      </c>
      <c r="C42" s="18">
        <v>11681</v>
      </c>
      <c r="D42" s="18" t="s">
        <v>34</v>
      </c>
      <c r="E42" s="46" t="s">
        <v>170</v>
      </c>
      <c r="F42" s="18" t="s">
        <v>21</v>
      </c>
      <c r="G42" s="18">
        <v>15</v>
      </c>
      <c r="H42" s="93">
        <v>8.34</v>
      </c>
      <c r="I42" s="14">
        <f t="shared" si="6"/>
        <v>1.2776879999999999</v>
      </c>
      <c r="J42" s="14">
        <f t="shared" si="7"/>
        <v>9.6176879999999993</v>
      </c>
      <c r="K42" s="14">
        <f t="shared" si="8"/>
        <v>2.8853063999999995E-3</v>
      </c>
      <c r="L42" s="14">
        <f t="shared" si="9"/>
        <v>9.6148026935999997</v>
      </c>
      <c r="M42" s="14">
        <f t="shared" si="10"/>
        <v>144.22204040399998</v>
      </c>
      <c r="N42" s="14">
        <f t="shared" si="11"/>
        <v>6.7716607890527516E-3</v>
      </c>
      <c r="O42" s="175"/>
    </row>
    <row r="43" spans="1:15" s="44" customFormat="1" ht="17.25" customHeight="1" x14ac:dyDescent="0.25">
      <c r="A43" s="18" t="s">
        <v>97</v>
      </c>
      <c r="B43" s="18" t="s">
        <v>86</v>
      </c>
      <c r="C43" s="18">
        <v>3148</v>
      </c>
      <c r="D43" s="18" t="s">
        <v>34</v>
      </c>
      <c r="E43" s="45" t="s">
        <v>171</v>
      </c>
      <c r="F43" s="18" t="s">
        <v>21</v>
      </c>
      <c r="G43" s="18">
        <v>20</v>
      </c>
      <c r="H43" s="93">
        <v>8.07</v>
      </c>
      <c r="I43" s="14">
        <f t="shared" si="6"/>
        <v>1.236324</v>
      </c>
      <c r="J43" s="14">
        <f t="shared" si="7"/>
        <v>9.306324</v>
      </c>
      <c r="K43" s="14">
        <f t="shared" si="8"/>
        <v>2.7918971999999998E-3</v>
      </c>
      <c r="L43" s="14">
        <f t="shared" si="9"/>
        <v>9.3035321028000002</v>
      </c>
      <c r="M43" s="14">
        <f t="shared" si="10"/>
        <v>186.070642056</v>
      </c>
      <c r="N43" s="14">
        <f t="shared" si="11"/>
        <v>8.736579147506909E-3</v>
      </c>
      <c r="O43" s="175"/>
    </row>
    <row r="44" spans="1:15" s="44" customFormat="1" ht="17.25" customHeight="1" x14ac:dyDescent="0.25">
      <c r="A44" s="18" t="s">
        <v>119</v>
      </c>
      <c r="B44" s="18" t="s">
        <v>86</v>
      </c>
      <c r="C44" s="18">
        <v>75641</v>
      </c>
      <c r="D44" s="18" t="s">
        <v>173</v>
      </c>
      <c r="E44" s="46" t="s">
        <v>174</v>
      </c>
      <c r="F44" s="18" t="s">
        <v>21</v>
      </c>
      <c r="G44" s="18">
        <v>10</v>
      </c>
      <c r="H44" s="92">
        <v>22.17</v>
      </c>
      <c r="I44" s="14">
        <f t="shared" si="6"/>
        <v>3.3964440000000002</v>
      </c>
      <c r="J44" s="14">
        <f t="shared" si="7"/>
        <v>25.566444000000001</v>
      </c>
      <c r="K44" s="14">
        <f t="shared" si="8"/>
        <v>7.6699331999999995E-3</v>
      </c>
      <c r="L44" s="14">
        <f t="shared" si="9"/>
        <v>25.558774066800002</v>
      </c>
      <c r="M44" s="14">
        <f t="shared" si="10"/>
        <v>255.58774066800001</v>
      </c>
      <c r="N44" s="14">
        <f t="shared" si="11"/>
        <v>1.2000617081798524E-2</v>
      </c>
      <c r="O44" s="175"/>
    </row>
    <row r="45" spans="1:15" s="44" customFormat="1" ht="17.100000000000001" customHeight="1" x14ac:dyDescent="0.25">
      <c r="A45" s="18" t="s">
        <v>120</v>
      </c>
      <c r="B45" s="18" t="s">
        <v>86</v>
      </c>
      <c r="C45" s="18">
        <v>7267</v>
      </c>
      <c r="D45" s="18" t="s">
        <v>105</v>
      </c>
      <c r="E45" s="55" t="s">
        <v>175</v>
      </c>
      <c r="F45" s="18" t="s">
        <v>21</v>
      </c>
      <c r="G45" s="18">
        <v>10</v>
      </c>
      <c r="H45" s="93">
        <v>12</v>
      </c>
      <c r="I45" s="42">
        <f t="shared" si="6"/>
        <v>1.8384</v>
      </c>
      <c r="J45" s="42">
        <f t="shared" si="7"/>
        <v>13.8384</v>
      </c>
      <c r="K45" s="42">
        <f t="shared" si="8"/>
        <v>4.1515199999999997E-3</v>
      </c>
      <c r="L45" s="42">
        <f t="shared" si="9"/>
        <v>13.834248479999999</v>
      </c>
      <c r="M45" s="42">
        <f t="shared" si="10"/>
        <v>138.34248479999999</v>
      </c>
      <c r="N45" s="14">
        <f t="shared" si="11"/>
        <v>6.4955978791872921E-3</v>
      </c>
      <c r="O45" s="175"/>
    </row>
    <row r="46" spans="1:15" x14ac:dyDescent="0.25">
      <c r="A46" s="18" t="s">
        <v>90</v>
      </c>
      <c r="B46" s="18" t="s">
        <v>86</v>
      </c>
      <c r="C46" s="23">
        <v>6157</v>
      </c>
      <c r="D46" s="18" t="s">
        <v>34</v>
      </c>
      <c r="E46" s="24" t="s">
        <v>176</v>
      </c>
      <c r="F46" s="18" t="s">
        <v>21</v>
      </c>
      <c r="G46" s="18">
        <v>10</v>
      </c>
      <c r="H46" s="94">
        <v>61.97</v>
      </c>
      <c r="I46" s="14">
        <f t="shared" si="6"/>
        <v>9.4938040000000008</v>
      </c>
      <c r="J46" s="14">
        <f t="shared" si="7"/>
        <v>71.463803999999996</v>
      </c>
      <c r="K46" s="14">
        <f t="shared" si="8"/>
        <v>2.1439141199999998E-2</v>
      </c>
      <c r="L46" s="14">
        <f t="shared" si="9"/>
        <v>71.442364858799991</v>
      </c>
      <c r="M46" s="14">
        <f t="shared" si="10"/>
        <v>714.42364858799988</v>
      </c>
      <c r="N46" s="14">
        <f t="shared" si="11"/>
        <v>3.3544350047769705E-2</v>
      </c>
      <c r="O46" s="175"/>
    </row>
    <row r="47" spans="1:15" s="44" customFormat="1" ht="17.100000000000001" customHeight="1" x14ac:dyDescent="0.25">
      <c r="A47" s="18" t="s">
        <v>121</v>
      </c>
      <c r="B47" s="53" t="s">
        <v>86</v>
      </c>
      <c r="C47" s="11">
        <v>11674</v>
      </c>
      <c r="D47" s="18" t="s">
        <v>34</v>
      </c>
      <c r="E47" s="45" t="s">
        <v>158</v>
      </c>
      <c r="F47" s="18" t="s">
        <v>21</v>
      </c>
      <c r="G47" s="18">
        <v>10</v>
      </c>
      <c r="H47" s="88">
        <v>27.78</v>
      </c>
      <c r="I47" s="14">
        <f t="shared" si="6"/>
        <v>4.2558959999999999</v>
      </c>
      <c r="J47" s="14">
        <f t="shared" si="7"/>
        <v>32.035896000000001</v>
      </c>
      <c r="K47" s="14">
        <f t="shared" si="8"/>
        <v>9.610768799999999E-3</v>
      </c>
      <c r="L47" s="14">
        <f t="shared" si="9"/>
        <v>32.026285231199999</v>
      </c>
      <c r="M47" s="14">
        <f t="shared" si="10"/>
        <v>320.26285231200001</v>
      </c>
      <c r="N47" s="14">
        <f t="shared" si="11"/>
        <v>1.5037309090318583E-2</v>
      </c>
      <c r="O47" s="175"/>
    </row>
    <row r="48" spans="1:15" s="44" customFormat="1" ht="17.25" customHeight="1" x14ac:dyDescent="0.25">
      <c r="A48" s="18" t="s">
        <v>122</v>
      </c>
      <c r="B48" s="18" t="s">
        <v>86</v>
      </c>
      <c r="C48" s="11">
        <v>142</v>
      </c>
      <c r="D48" s="18" t="s">
        <v>34</v>
      </c>
      <c r="E48" s="45" t="s">
        <v>177</v>
      </c>
      <c r="F48" s="18" t="s">
        <v>21</v>
      </c>
      <c r="G48" s="18">
        <v>80</v>
      </c>
      <c r="H48" s="88">
        <v>34.86</v>
      </c>
      <c r="I48" s="14">
        <f t="shared" si="6"/>
        <v>5.3405519999999997</v>
      </c>
      <c r="J48" s="14">
        <f t="shared" si="7"/>
        <v>40.200552000000002</v>
      </c>
      <c r="K48" s="14">
        <f t="shared" si="8"/>
        <v>1.2060165599999999E-2</v>
      </c>
      <c r="L48" s="14">
        <f t="shared" si="9"/>
        <v>40.188491834400004</v>
      </c>
      <c r="M48" s="14">
        <f t="shared" si="10"/>
        <v>3215.0793467520002</v>
      </c>
      <c r="N48" s="14">
        <f t="shared" si="11"/>
        <v>0.15095769471231268</v>
      </c>
      <c r="O48" s="175"/>
    </row>
    <row r="49" spans="1:15" s="47" customFormat="1" ht="17.25" customHeight="1" x14ac:dyDescent="0.25">
      <c r="A49" s="18" t="s">
        <v>98</v>
      </c>
      <c r="B49" s="53" t="s">
        <v>86</v>
      </c>
      <c r="C49" s="18">
        <v>65</v>
      </c>
      <c r="D49" s="18" t="s">
        <v>34</v>
      </c>
      <c r="E49" s="46" t="s">
        <v>142</v>
      </c>
      <c r="F49" s="18" t="s">
        <v>21</v>
      </c>
      <c r="G49" s="18">
        <v>15</v>
      </c>
      <c r="H49" s="93">
        <v>0.74</v>
      </c>
      <c r="I49" s="14">
        <f t="shared" si="6"/>
        <v>0.113368</v>
      </c>
      <c r="J49" s="14">
        <f t="shared" si="7"/>
        <v>0.85336800000000002</v>
      </c>
      <c r="K49" s="14">
        <f t="shared" si="8"/>
        <v>2.5601039999999996E-4</v>
      </c>
      <c r="L49" s="14">
        <f t="shared" si="9"/>
        <v>0.85311198960000001</v>
      </c>
      <c r="M49" s="14">
        <f t="shared" si="10"/>
        <v>12.796679844</v>
      </c>
      <c r="N49" s="14">
        <f t="shared" si="11"/>
        <v>6.0084280382482461E-4</v>
      </c>
      <c r="O49" s="175"/>
    </row>
    <row r="50" spans="1:15" s="44" customFormat="1" ht="17.25" customHeight="1" x14ac:dyDescent="0.25">
      <c r="A50" s="18" t="s">
        <v>123</v>
      </c>
      <c r="B50" s="18" t="s">
        <v>86</v>
      </c>
      <c r="C50" s="18">
        <v>3529</v>
      </c>
      <c r="D50" s="18" t="s">
        <v>34</v>
      </c>
      <c r="E50" s="46" t="s">
        <v>178</v>
      </c>
      <c r="F50" s="18" t="s">
        <v>21</v>
      </c>
      <c r="G50" s="18">
        <v>20</v>
      </c>
      <c r="H50" s="93">
        <v>0.6</v>
      </c>
      <c r="I50" s="14">
        <f>H50*0.1532</f>
        <v>9.1920000000000002E-2</v>
      </c>
      <c r="J50" s="14">
        <f>H50+I50</f>
        <v>0.69191999999999998</v>
      </c>
      <c r="K50" s="14">
        <f>J50*(0.03%)</f>
        <v>2.0757599999999998E-4</v>
      </c>
      <c r="L50" s="14">
        <f>J50-K50</f>
        <v>0.69171242399999999</v>
      </c>
      <c r="M50" s="14">
        <f>L50*G50</f>
        <v>13.834248479999999</v>
      </c>
      <c r="N50" s="14">
        <f t="shared" si="11"/>
        <v>6.4955978791872925E-4</v>
      </c>
      <c r="O50" s="175"/>
    </row>
    <row r="51" spans="1:15" s="47" customFormat="1" ht="11.25" x14ac:dyDescent="0.25">
      <c r="A51" s="18" t="s">
        <v>91</v>
      </c>
      <c r="B51" s="18" t="s">
        <v>86</v>
      </c>
      <c r="C51" s="18">
        <v>3904</v>
      </c>
      <c r="D51" s="18" t="s">
        <v>34</v>
      </c>
      <c r="E51" s="45" t="s">
        <v>143</v>
      </c>
      <c r="F51" s="18" t="s">
        <v>21</v>
      </c>
      <c r="G51" s="18">
        <v>15</v>
      </c>
      <c r="H51" s="94">
        <v>0.68</v>
      </c>
      <c r="I51" s="14">
        <f t="shared" ref="I51:I61" si="12">H51*0.1532</f>
        <v>0.104176</v>
      </c>
      <c r="J51" s="14">
        <f t="shared" ref="J51:J61" si="13">H51+I51</f>
        <v>0.7841760000000001</v>
      </c>
      <c r="K51" s="14">
        <f t="shared" ref="K51:K61" si="14">J51*(0.03%)</f>
        <v>2.3525280000000001E-4</v>
      </c>
      <c r="L51" s="14">
        <f t="shared" ref="L51:L61" si="15">J51-K51</f>
        <v>0.78394074720000007</v>
      </c>
      <c r="M51" s="14">
        <f t="shared" ref="M51:M61" si="16">L51*G51</f>
        <v>11.759111208</v>
      </c>
      <c r="N51" s="14">
        <f t="shared" si="11"/>
        <v>5.5212581973091985E-4</v>
      </c>
      <c r="O51" s="175"/>
    </row>
    <row r="52" spans="1:15" s="19" customFormat="1" ht="17.100000000000001" customHeight="1" x14ac:dyDescent="0.2">
      <c r="A52" s="18" t="s">
        <v>124</v>
      </c>
      <c r="B52" s="18" t="s">
        <v>86</v>
      </c>
      <c r="C52" s="23">
        <v>3873</v>
      </c>
      <c r="D52" s="18" t="s">
        <v>34</v>
      </c>
      <c r="E52" s="24" t="s">
        <v>180</v>
      </c>
      <c r="F52" s="58" t="s">
        <v>21</v>
      </c>
      <c r="G52" s="18">
        <v>10</v>
      </c>
      <c r="H52" s="94">
        <v>10.25</v>
      </c>
      <c r="I52" s="14">
        <f t="shared" si="12"/>
        <v>1.5703</v>
      </c>
      <c r="J52" s="14">
        <f t="shared" si="13"/>
        <v>11.8203</v>
      </c>
      <c r="K52" s="14">
        <f t="shared" si="14"/>
        <v>3.5460899999999996E-3</v>
      </c>
      <c r="L52" s="14">
        <f t="shared" si="15"/>
        <v>11.816753909999999</v>
      </c>
      <c r="M52" s="14">
        <f t="shared" si="16"/>
        <v>118.1675391</v>
      </c>
      <c r="N52" s="14">
        <f t="shared" si="11"/>
        <v>5.5483231884724789E-3</v>
      </c>
      <c r="O52" s="175"/>
    </row>
    <row r="53" spans="1:15" s="44" customFormat="1" ht="17.25" customHeight="1" x14ac:dyDescent="0.25">
      <c r="A53" s="18" t="s">
        <v>116</v>
      </c>
      <c r="B53" s="18" t="s">
        <v>86</v>
      </c>
      <c r="C53" s="18">
        <v>7139</v>
      </c>
      <c r="D53" s="18" t="s">
        <v>34</v>
      </c>
      <c r="E53" s="55" t="s">
        <v>181</v>
      </c>
      <c r="F53" s="18" t="s">
        <v>21</v>
      </c>
      <c r="G53" s="18">
        <v>10</v>
      </c>
      <c r="H53" s="93">
        <v>1</v>
      </c>
      <c r="I53" s="14">
        <f t="shared" si="12"/>
        <v>0.1532</v>
      </c>
      <c r="J53" s="14">
        <f t="shared" si="13"/>
        <v>1.1532</v>
      </c>
      <c r="K53" s="14">
        <f t="shared" si="14"/>
        <v>3.4595999999999997E-4</v>
      </c>
      <c r="L53" s="14">
        <f t="shared" si="15"/>
        <v>1.15285404</v>
      </c>
      <c r="M53" s="14">
        <f t="shared" si="16"/>
        <v>11.528540400000001</v>
      </c>
      <c r="N53" s="14">
        <f t="shared" si="11"/>
        <v>5.4129982326560778E-4</v>
      </c>
      <c r="O53" s="175"/>
    </row>
    <row r="54" spans="1:15" x14ac:dyDescent="0.25">
      <c r="A54" s="18" t="s">
        <v>99</v>
      </c>
      <c r="B54" s="18" t="s">
        <v>86</v>
      </c>
      <c r="C54" s="23">
        <v>9875</v>
      </c>
      <c r="D54" s="18" t="s">
        <v>34</v>
      </c>
      <c r="E54" s="24" t="s">
        <v>182</v>
      </c>
      <c r="F54" s="18" t="s">
        <v>156</v>
      </c>
      <c r="G54" s="18">
        <v>48</v>
      </c>
      <c r="H54" s="94">
        <v>12.82</v>
      </c>
      <c r="I54" s="14">
        <f t="shared" si="12"/>
        <v>1.964024</v>
      </c>
      <c r="J54" s="14">
        <f t="shared" si="13"/>
        <v>14.784024</v>
      </c>
      <c r="K54" s="14">
        <f t="shared" si="14"/>
        <v>4.4352072000000001E-3</v>
      </c>
      <c r="L54" s="14">
        <f t="shared" si="15"/>
        <v>14.7795887928</v>
      </c>
      <c r="M54" s="14">
        <f t="shared" si="16"/>
        <v>709.42026205440004</v>
      </c>
      <c r="N54" s="14">
        <f t="shared" si="11"/>
        <v>3.330942592447244E-2</v>
      </c>
      <c r="O54" s="175"/>
    </row>
    <row r="55" spans="1:15" x14ac:dyDescent="0.25">
      <c r="A55" s="18" t="s">
        <v>88</v>
      </c>
      <c r="B55" s="18" t="s">
        <v>86</v>
      </c>
      <c r="C55" s="23">
        <v>3454</v>
      </c>
      <c r="D55" s="18" t="s">
        <v>34</v>
      </c>
      <c r="E55" s="24" t="s">
        <v>183</v>
      </c>
      <c r="F55" s="18" t="s">
        <v>21</v>
      </c>
      <c r="G55" s="18">
        <v>1</v>
      </c>
      <c r="H55" s="94">
        <v>201.07</v>
      </c>
      <c r="I55" s="14">
        <f t="shared" si="12"/>
        <v>30.803923999999999</v>
      </c>
      <c r="J55" s="14">
        <f t="shared" si="13"/>
        <v>231.87392399999999</v>
      </c>
      <c r="K55" s="14">
        <f t="shared" si="14"/>
        <v>6.9562177199999992E-2</v>
      </c>
      <c r="L55" s="14">
        <f t="shared" si="15"/>
        <v>231.80436182279999</v>
      </c>
      <c r="M55" s="14">
        <f t="shared" si="16"/>
        <v>231.80436182279999</v>
      </c>
      <c r="N55" s="14">
        <f t="shared" si="11"/>
        <v>1.0883915546401574E-2</v>
      </c>
      <c r="O55" s="175"/>
    </row>
    <row r="56" spans="1:15" x14ac:dyDescent="0.25">
      <c r="A56" s="18" t="s">
        <v>100</v>
      </c>
      <c r="B56" s="18" t="s">
        <v>86</v>
      </c>
      <c r="C56" s="23">
        <v>36801</v>
      </c>
      <c r="D56" s="18" t="s">
        <v>34</v>
      </c>
      <c r="E56" s="24" t="s">
        <v>184</v>
      </c>
      <c r="F56" s="18" t="s">
        <v>21</v>
      </c>
      <c r="G56" s="18">
        <v>4</v>
      </c>
      <c r="H56" s="94">
        <v>30.6</v>
      </c>
      <c r="I56" s="14">
        <f t="shared" si="12"/>
        <v>4.6879200000000001</v>
      </c>
      <c r="J56" s="14">
        <f t="shared" si="13"/>
        <v>35.28792</v>
      </c>
      <c r="K56" s="14">
        <f t="shared" si="14"/>
        <v>1.0586376E-2</v>
      </c>
      <c r="L56" s="14">
        <f t="shared" si="15"/>
        <v>35.277333624000001</v>
      </c>
      <c r="M56" s="14">
        <f t="shared" si="16"/>
        <v>141.109334496</v>
      </c>
      <c r="N56" s="14">
        <f t="shared" si="11"/>
        <v>6.6255098367710387E-3</v>
      </c>
      <c r="O56" s="175"/>
    </row>
    <row r="57" spans="1:15" s="47" customFormat="1" ht="16.5" customHeight="1" x14ac:dyDescent="0.25">
      <c r="A57" s="18" t="s">
        <v>125</v>
      </c>
      <c r="B57" s="18" t="s">
        <v>86</v>
      </c>
      <c r="C57" s="18">
        <v>366</v>
      </c>
      <c r="D57" s="18" t="s">
        <v>34</v>
      </c>
      <c r="E57" s="55" t="s">
        <v>185</v>
      </c>
      <c r="F57" s="18" t="s">
        <v>186</v>
      </c>
      <c r="G57" s="18">
        <v>5</v>
      </c>
      <c r="H57" s="94">
        <v>65</v>
      </c>
      <c r="I57" s="14">
        <f t="shared" si="12"/>
        <v>9.9580000000000002</v>
      </c>
      <c r="J57" s="14">
        <f t="shared" si="13"/>
        <v>74.957999999999998</v>
      </c>
      <c r="K57" s="14">
        <f t="shared" si="14"/>
        <v>2.2487399999999998E-2</v>
      </c>
      <c r="L57" s="14">
        <f t="shared" si="15"/>
        <v>74.935512599999996</v>
      </c>
      <c r="M57" s="14">
        <f t="shared" si="16"/>
        <v>374.67756299999996</v>
      </c>
      <c r="N57" s="14">
        <f t="shared" si="11"/>
        <v>1.7592244256132251E-2</v>
      </c>
      <c r="O57" s="175"/>
    </row>
    <row r="58" spans="1:15" s="47" customFormat="1" ht="11.25" x14ac:dyDescent="0.25">
      <c r="A58" s="18" t="s">
        <v>126</v>
      </c>
      <c r="B58" s="18" t="s">
        <v>86</v>
      </c>
      <c r="C58" s="18">
        <v>367</v>
      </c>
      <c r="D58" s="18" t="s">
        <v>34</v>
      </c>
      <c r="E58" s="45" t="s">
        <v>187</v>
      </c>
      <c r="F58" s="18" t="s">
        <v>186</v>
      </c>
      <c r="G58" s="18">
        <v>5</v>
      </c>
      <c r="H58" s="94">
        <v>65.84</v>
      </c>
      <c r="I58" s="14">
        <f t="shared" si="12"/>
        <v>10.086688000000001</v>
      </c>
      <c r="J58" s="14">
        <f t="shared" si="13"/>
        <v>75.926687999999999</v>
      </c>
      <c r="K58" s="14">
        <f t="shared" si="14"/>
        <v>2.2778006399999998E-2</v>
      </c>
      <c r="L58" s="14">
        <f t="shared" si="15"/>
        <v>75.903909993599996</v>
      </c>
      <c r="M58" s="14">
        <f t="shared" si="16"/>
        <v>379.51954996799998</v>
      </c>
      <c r="N58" s="14">
        <f t="shared" si="11"/>
        <v>1.7819590181903804E-2</v>
      </c>
      <c r="O58" s="175"/>
    </row>
    <row r="59" spans="1:15" x14ac:dyDescent="0.25">
      <c r="A59" s="18" t="s">
        <v>101</v>
      </c>
      <c r="B59" s="18" t="s">
        <v>86</v>
      </c>
      <c r="C59" s="23">
        <v>37595</v>
      </c>
      <c r="D59" s="18" t="s">
        <v>34</v>
      </c>
      <c r="E59" s="24" t="s">
        <v>188</v>
      </c>
      <c r="F59" s="18" t="s">
        <v>155</v>
      </c>
      <c r="G59" s="18">
        <v>400</v>
      </c>
      <c r="H59" s="94">
        <v>2.2999999999999998</v>
      </c>
      <c r="I59" s="14">
        <f t="shared" si="12"/>
        <v>0.35236000000000001</v>
      </c>
      <c r="J59" s="14">
        <f t="shared" si="13"/>
        <v>2.6523599999999998</v>
      </c>
      <c r="K59" s="14">
        <f t="shared" si="14"/>
        <v>7.957079999999999E-4</v>
      </c>
      <c r="L59" s="14">
        <f t="shared" si="15"/>
        <v>2.6515642919999998</v>
      </c>
      <c r="M59" s="14">
        <f t="shared" si="16"/>
        <v>1060.6257168</v>
      </c>
      <c r="N59" s="14">
        <f t="shared" si="11"/>
        <v>4.9799583740435908E-2</v>
      </c>
      <c r="O59" s="175"/>
    </row>
    <row r="60" spans="1:15" s="44" customFormat="1" ht="17.100000000000001" customHeight="1" x14ac:dyDescent="0.25">
      <c r="A60" s="18" t="s">
        <v>144</v>
      </c>
      <c r="B60" s="18" t="s">
        <v>86</v>
      </c>
      <c r="C60" s="18">
        <v>1379</v>
      </c>
      <c r="D60" s="18" t="s">
        <v>34</v>
      </c>
      <c r="E60" s="46" t="s">
        <v>189</v>
      </c>
      <c r="F60" s="18" t="s">
        <v>21</v>
      </c>
      <c r="G60" s="18">
        <v>1000</v>
      </c>
      <c r="H60" s="95">
        <v>0.6</v>
      </c>
      <c r="I60" s="14">
        <f t="shared" si="12"/>
        <v>9.1920000000000002E-2</v>
      </c>
      <c r="J60" s="14">
        <f t="shared" si="13"/>
        <v>0.69191999999999998</v>
      </c>
      <c r="K60" s="14">
        <f t="shared" si="14"/>
        <v>2.0757599999999998E-4</v>
      </c>
      <c r="L60" s="14">
        <f t="shared" si="15"/>
        <v>0.69171242399999999</v>
      </c>
      <c r="M60" s="14">
        <f t="shared" si="16"/>
        <v>691.71242399999994</v>
      </c>
      <c r="N60" s="14">
        <f t="shared" si="11"/>
        <v>3.2477989395936463E-2</v>
      </c>
      <c r="O60" s="175"/>
    </row>
    <row r="61" spans="1:15" s="19" customFormat="1" ht="17.100000000000001" customHeight="1" x14ac:dyDescent="0.2">
      <c r="A61" s="18" t="s">
        <v>141</v>
      </c>
      <c r="B61" s="18" t="s">
        <v>86</v>
      </c>
      <c r="C61" s="18">
        <v>11621</v>
      </c>
      <c r="D61" s="18" t="s">
        <v>34</v>
      </c>
      <c r="E61" s="46" t="s">
        <v>190</v>
      </c>
      <c r="F61" s="18" t="s">
        <v>191</v>
      </c>
      <c r="G61" s="18">
        <f>100*0.2</f>
        <v>20</v>
      </c>
      <c r="H61" s="93">
        <v>59.48</v>
      </c>
      <c r="I61" s="14">
        <f t="shared" si="12"/>
        <v>9.1123359999999991</v>
      </c>
      <c r="J61" s="14">
        <f t="shared" si="13"/>
        <v>68.592335999999989</v>
      </c>
      <c r="K61" s="14">
        <f t="shared" si="14"/>
        <v>2.0577700799999994E-2</v>
      </c>
      <c r="L61" s="14">
        <f t="shared" si="15"/>
        <v>68.571758299199985</v>
      </c>
      <c r="M61" s="14">
        <f t="shared" si="16"/>
        <v>1371.4351659839997</v>
      </c>
      <c r="N61" s="14">
        <f t="shared" si="11"/>
        <v>6.4393026975676684E-2</v>
      </c>
      <c r="O61" s="175"/>
    </row>
    <row r="62" spans="1:15" x14ac:dyDescent="0.25">
      <c r="A62" s="18" t="s">
        <v>145</v>
      </c>
      <c r="B62" s="18" t="s">
        <v>86</v>
      </c>
      <c r="C62" s="23">
        <v>10420</v>
      </c>
      <c r="D62" s="18" t="s">
        <v>34</v>
      </c>
      <c r="E62" s="24" t="s">
        <v>192</v>
      </c>
      <c r="F62" s="18" t="s">
        <v>21</v>
      </c>
      <c r="G62" s="18">
        <v>3</v>
      </c>
      <c r="H62" s="94">
        <v>211.26</v>
      </c>
      <c r="I62" s="14">
        <f t="shared" ref="I62:I67" si="17">H62*0.1532</f>
        <v>32.365031999999999</v>
      </c>
      <c r="J62" s="14">
        <f t="shared" ref="J62:J67" si="18">H62+I62</f>
        <v>243.62503199999998</v>
      </c>
      <c r="K62" s="14">
        <f t="shared" ref="K62:K67" si="19">J62*(0.03%)</f>
        <v>7.3087509599999989E-2</v>
      </c>
      <c r="L62" s="14">
        <f t="shared" ref="L62:L67" si="20">J62-K62</f>
        <v>243.55194449039999</v>
      </c>
      <c r="M62" s="14">
        <f t="shared" ref="M62:M67" si="21">L62*G62</f>
        <v>730.65583347119991</v>
      </c>
      <c r="N62" s="14">
        <f t="shared" si="11"/>
        <v>3.4306500198927684E-2</v>
      </c>
      <c r="O62" s="175"/>
    </row>
    <row r="63" spans="1:15" x14ac:dyDescent="0.25">
      <c r="A63" s="18" t="s">
        <v>172</v>
      </c>
      <c r="B63" s="18" t="s">
        <v>86</v>
      </c>
      <c r="C63" s="23">
        <v>10422</v>
      </c>
      <c r="D63" s="18" t="s">
        <v>34</v>
      </c>
      <c r="E63" s="24" t="s">
        <v>193</v>
      </c>
      <c r="F63" s="18" t="s">
        <v>21</v>
      </c>
      <c r="G63" s="18">
        <v>3</v>
      </c>
      <c r="H63" s="94">
        <v>394.89</v>
      </c>
      <c r="I63" s="14">
        <f t="shared" si="17"/>
        <v>60.497147999999996</v>
      </c>
      <c r="J63" s="14">
        <f t="shared" si="18"/>
        <v>455.38714799999997</v>
      </c>
      <c r="K63" s="14">
        <f t="shared" si="19"/>
        <v>0.13661614439999997</v>
      </c>
      <c r="L63" s="14">
        <f t="shared" si="20"/>
        <v>455.25053185559995</v>
      </c>
      <c r="M63" s="14">
        <f t="shared" si="21"/>
        <v>1365.7515955667998</v>
      </c>
      <c r="N63" s="14">
        <f t="shared" si="11"/>
        <v>6.4126166162806739E-2</v>
      </c>
      <c r="O63" s="175"/>
    </row>
    <row r="64" spans="1:15" s="44" customFormat="1" ht="17.25" customHeight="1" x14ac:dyDescent="0.25">
      <c r="A64" s="18" t="s">
        <v>197</v>
      </c>
      <c r="B64" s="18" t="s">
        <v>86</v>
      </c>
      <c r="C64" s="53">
        <v>35692</v>
      </c>
      <c r="D64" s="53" t="s">
        <v>34</v>
      </c>
      <c r="E64" s="54" t="s">
        <v>194</v>
      </c>
      <c r="F64" s="53" t="s">
        <v>107</v>
      </c>
      <c r="G64" s="53">
        <v>36</v>
      </c>
      <c r="H64" s="96">
        <v>20.12</v>
      </c>
      <c r="I64" s="36">
        <f t="shared" si="17"/>
        <v>3.0823840000000002</v>
      </c>
      <c r="J64" s="36">
        <f t="shared" si="18"/>
        <v>23.202384000000002</v>
      </c>
      <c r="K64" s="36">
        <f t="shared" si="19"/>
        <v>6.9607152000000002E-3</v>
      </c>
      <c r="L64" s="36">
        <f t="shared" si="20"/>
        <v>23.1954232848</v>
      </c>
      <c r="M64" s="36">
        <f t="shared" si="21"/>
        <v>835.03523825280001</v>
      </c>
      <c r="N64" s="14">
        <f t="shared" si="11"/>
        <v>3.92074287987745E-2</v>
      </c>
      <c r="O64" s="175"/>
    </row>
    <row r="65" spans="1:15" s="44" customFormat="1" ht="17.25" customHeight="1" x14ac:dyDescent="0.25">
      <c r="A65" s="18" t="s">
        <v>198</v>
      </c>
      <c r="B65" s="53" t="s">
        <v>86</v>
      </c>
      <c r="C65" s="53">
        <v>35692</v>
      </c>
      <c r="D65" s="53" t="s">
        <v>34</v>
      </c>
      <c r="E65" s="54" t="s">
        <v>195</v>
      </c>
      <c r="F65" s="53" t="s">
        <v>107</v>
      </c>
      <c r="G65" s="53">
        <v>36</v>
      </c>
      <c r="H65" s="96">
        <v>20.12</v>
      </c>
      <c r="I65" s="36">
        <f t="shared" si="17"/>
        <v>3.0823840000000002</v>
      </c>
      <c r="J65" s="36">
        <f t="shared" si="18"/>
        <v>23.202384000000002</v>
      </c>
      <c r="K65" s="36">
        <f t="shared" si="19"/>
        <v>6.9607152000000002E-3</v>
      </c>
      <c r="L65" s="36">
        <f t="shared" si="20"/>
        <v>23.1954232848</v>
      </c>
      <c r="M65" s="36">
        <f t="shared" si="21"/>
        <v>835.03523825280001</v>
      </c>
      <c r="N65" s="14">
        <f t="shared" si="11"/>
        <v>3.92074287987745E-2</v>
      </c>
      <c r="O65" s="175"/>
    </row>
    <row r="66" spans="1:15" s="44" customFormat="1" ht="17.25" customHeight="1" x14ac:dyDescent="0.25">
      <c r="A66" s="18" t="s">
        <v>179</v>
      </c>
      <c r="B66" s="18" t="s">
        <v>86</v>
      </c>
      <c r="C66" s="53">
        <v>35692</v>
      </c>
      <c r="D66" s="53" t="s">
        <v>34</v>
      </c>
      <c r="E66" s="54" t="s">
        <v>196</v>
      </c>
      <c r="F66" s="53" t="s">
        <v>107</v>
      </c>
      <c r="G66" s="53">
        <v>36</v>
      </c>
      <c r="H66" s="96">
        <v>20.12</v>
      </c>
      <c r="I66" s="36">
        <f t="shared" si="17"/>
        <v>3.0823840000000002</v>
      </c>
      <c r="J66" s="36">
        <f t="shared" si="18"/>
        <v>23.202384000000002</v>
      </c>
      <c r="K66" s="36">
        <f t="shared" si="19"/>
        <v>6.9607152000000002E-3</v>
      </c>
      <c r="L66" s="36">
        <f t="shared" si="20"/>
        <v>23.1954232848</v>
      </c>
      <c r="M66" s="36">
        <f t="shared" si="21"/>
        <v>835.03523825280001</v>
      </c>
      <c r="N66" s="14">
        <f t="shared" si="11"/>
        <v>3.92074287987745E-2</v>
      </c>
      <c r="O66" s="175"/>
    </row>
    <row r="67" spans="1:15" s="44" customFormat="1" ht="17.25" customHeight="1" x14ac:dyDescent="0.25">
      <c r="A67" s="18" t="s">
        <v>199</v>
      </c>
      <c r="B67" s="53" t="s">
        <v>86</v>
      </c>
      <c r="C67" s="53">
        <v>7348</v>
      </c>
      <c r="D67" s="53" t="s">
        <v>34</v>
      </c>
      <c r="E67" s="54" t="s">
        <v>154</v>
      </c>
      <c r="F67" s="53" t="s">
        <v>107</v>
      </c>
      <c r="G67" s="53">
        <v>36</v>
      </c>
      <c r="H67" s="97">
        <v>20.62</v>
      </c>
      <c r="I67" s="36">
        <f t="shared" si="17"/>
        <v>3.1589840000000002</v>
      </c>
      <c r="J67" s="36">
        <f t="shared" si="18"/>
        <v>23.778984000000001</v>
      </c>
      <c r="K67" s="36">
        <f t="shared" si="19"/>
        <v>7.1336951999999999E-3</v>
      </c>
      <c r="L67" s="36">
        <f t="shared" si="20"/>
        <v>23.771850304800001</v>
      </c>
      <c r="M67" s="36">
        <f t="shared" si="21"/>
        <v>855.78661097280008</v>
      </c>
      <c r="N67" s="14">
        <f t="shared" si="11"/>
        <v>4.0181768480652594E-2</v>
      </c>
      <c r="O67" s="175"/>
    </row>
    <row r="68" spans="1:15" s="47" customFormat="1" ht="17.25" customHeight="1" x14ac:dyDescent="0.25">
      <c r="A68" s="18"/>
      <c r="B68" s="18"/>
      <c r="C68" s="18"/>
      <c r="D68" s="18"/>
      <c r="E68" s="46"/>
      <c r="F68" s="18"/>
      <c r="G68" s="18"/>
      <c r="H68" s="26"/>
      <c r="I68" s="14"/>
      <c r="J68" s="14"/>
      <c r="K68" s="14"/>
      <c r="L68" s="14"/>
      <c r="M68" s="14"/>
      <c r="N68" s="14"/>
      <c r="O68" s="175"/>
    </row>
    <row r="69" spans="1:15" s="47" customFormat="1" ht="17.25" customHeight="1" x14ac:dyDescent="0.25">
      <c r="A69" s="18"/>
      <c r="B69" s="18"/>
      <c r="C69" s="18"/>
      <c r="D69" s="18"/>
      <c r="E69" s="46"/>
      <c r="F69" s="18"/>
      <c r="G69" s="18"/>
      <c r="H69" s="26"/>
      <c r="I69" s="14"/>
      <c r="J69" s="14"/>
      <c r="K69" s="14"/>
      <c r="L69" s="14"/>
      <c r="M69" s="14"/>
      <c r="N69" s="14"/>
      <c r="O69" s="175"/>
    </row>
    <row r="70" spans="1:15" s="47" customFormat="1" ht="17.25" customHeight="1" x14ac:dyDescent="0.25">
      <c r="A70" s="18"/>
      <c r="B70" s="18"/>
      <c r="C70" s="18"/>
      <c r="D70" s="18"/>
      <c r="E70" s="46"/>
      <c r="F70" s="18"/>
      <c r="G70" s="18"/>
      <c r="H70" s="26"/>
      <c r="I70" s="14"/>
      <c r="J70" s="14"/>
      <c r="K70" s="14"/>
      <c r="L70" s="14"/>
      <c r="M70" s="14"/>
      <c r="N70" s="14"/>
      <c r="O70" s="175"/>
    </row>
    <row r="71" spans="1:15" s="44" customFormat="1" ht="17.25" customHeight="1" x14ac:dyDescent="0.25">
      <c r="A71" s="18"/>
      <c r="B71" s="18"/>
      <c r="C71" s="18"/>
      <c r="D71" s="18"/>
      <c r="E71" s="46"/>
      <c r="F71" s="18"/>
      <c r="G71" s="18"/>
      <c r="H71" s="41"/>
      <c r="I71" s="14"/>
      <c r="J71" s="14"/>
      <c r="K71" s="14"/>
      <c r="L71" s="14"/>
      <c r="M71" s="14"/>
      <c r="N71" s="14"/>
      <c r="O71" s="175"/>
    </row>
    <row r="72" spans="1:15" s="44" customFormat="1" ht="17.25" customHeight="1" x14ac:dyDescent="0.25">
      <c r="A72" s="18"/>
      <c r="B72" s="18"/>
      <c r="C72" s="18"/>
      <c r="D72" s="18"/>
      <c r="E72" s="46"/>
      <c r="F72" s="18"/>
      <c r="G72" s="18"/>
      <c r="H72" s="41"/>
      <c r="I72" s="14"/>
      <c r="J72" s="14"/>
      <c r="K72" s="14"/>
      <c r="L72" s="14"/>
      <c r="M72" s="14"/>
      <c r="N72" s="14"/>
      <c r="O72" s="175"/>
    </row>
    <row r="73" spans="1:15" s="44" customFormat="1" ht="17.25" customHeight="1" x14ac:dyDescent="0.25">
      <c r="A73" s="18"/>
      <c r="B73" s="18"/>
      <c r="C73" s="18"/>
      <c r="D73" s="18"/>
      <c r="E73" s="46"/>
      <c r="F73" s="18"/>
      <c r="G73" s="18"/>
      <c r="H73" s="41"/>
      <c r="I73" s="14"/>
      <c r="J73" s="14"/>
      <c r="K73" s="14"/>
      <c r="L73" s="14"/>
      <c r="M73" s="14"/>
      <c r="N73" s="14"/>
      <c r="O73" s="175"/>
    </row>
    <row r="74" spans="1:15" s="19" customFormat="1" ht="17.25" customHeight="1" x14ac:dyDescent="0.2">
      <c r="A74" s="18"/>
      <c r="B74" s="18"/>
      <c r="C74" s="23"/>
      <c r="D74" s="18"/>
      <c r="E74" s="24"/>
      <c r="F74" s="18"/>
      <c r="G74" s="18"/>
      <c r="H74" s="27"/>
      <c r="I74" s="14"/>
      <c r="J74" s="14"/>
      <c r="K74" s="14"/>
      <c r="L74" s="14"/>
      <c r="M74" s="14"/>
      <c r="N74" s="14"/>
      <c r="O74" s="175"/>
    </row>
    <row r="75" spans="1:15" s="28" customFormat="1" ht="17.100000000000001" customHeight="1" x14ac:dyDescent="0.25">
      <c r="A75" s="134" t="s">
        <v>16</v>
      </c>
      <c r="B75" s="136" t="s">
        <v>17</v>
      </c>
      <c r="C75" s="136" t="s">
        <v>18</v>
      </c>
      <c r="D75" s="136" t="s">
        <v>19</v>
      </c>
      <c r="E75" s="136" t="s">
        <v>20</v>
      </c>
      <c r="F75" s="136" t="s">
        <v>21</v>
      </c>
      <c r="G75" s="136" t="s">
        <v>22</v>
      </c>
      <c r="H75" s="190" t="s">
        <v>23</v>
      </c>
      <c r="I75" s="190"/>
      <c r="J75" s="190"/>
      <c r="K75" s="190"/>
      <c r="L75" s="191"/>
      <c r="M75" s="136" t="s">
        <v>24</v>
      </c>
      <c r="N75" s="136" t="s">
        <v>25</v>
      </c>
      <c r="O75" s="98"/>
    </row>
    <row r="76" spans="1:15" s="28" customFormat="1" ht="17.100000000000001" customHeight="1" x14ac:dyDescent="0.25">
      <c r="A76" s="135"/>
      <c r="B76" s="137"/>
      <c r="C76" s="137"/>
      <c r="D76" s="137"/>
      <c r="E76" s="137"/>
      <c r="F76" s="137"/>
      <c r="G76" s="137"/>
      <c r="H76" s="4" t="s">
        <v>27</v>
      </c>
      <c r="I76" s="4" t="s">
        <v>28</v>
      </c>
      <c r="J76" s="4" t="s">
        <v>29</v>
      </c>
      <c r="K76" s="4" t="s">
        <v>53</v>
      </c>
      <c r="L76" s="4" t="s">
        <v>30</v>
      </c>
      <c r="M76" s="137"/>
      <c r="N76" s="137"/>
      <c r="O76" s="98"/>
    </row>
    <row r="77" spans="1:15" s="29" customFormat="1" ht="17.100000000000001" customHeight="1" x14ac:dyDescent="0.2">
      <c r="A77" s="30">
        <v>3</v>
      </c>
      <c r="B77" s="178" t="s">
        <v>38</v>
      </c>
      <c r="C77" s="179"/>
      <c r="D77" s="179"/>
      <c r="E77" s="179"/>
      <c r="F77" s="180"/>
      <c r="G77" s="31"/>
      <c r="H77" s="31"/>
      <c r="I77" s="31"/>
      <c r="J77" s="31"/>
      <c r="K77" s="31"/>
      <c r="L77" s="31"/>
      <c r="M77" s="32">
        <f>SUM(M78:M108)</f>
        <v>50735.669203738369</v>
      </c>
      <c r="N77" s="31"/>
      <c r="O77" s="98"/>
    </row>
    <row r="78" spans="1:15" s="29" customFormat="1" ht="26.25" customHeight="1" x14ac:dyDescent="0.2">
      <c r="A78" s="33" t="s">
        <v>76</v>
      </c>
      <c r="B78" s="33" t="s">
        <v>33</v>
      </c>
      <c r="C78" s="33" t="s">
        <v>58</v>
      </c>
      <c r="D78" s="33" t="s">
        <v>34</v>
      </c>
      <c r="E78" s="34" t="s">
        <v>59</v>
      </c>
      <c r="F78" s="35" t="s">
        <v>35</v>
      </c>
      <c r="G78" s="33">
        <v>0</v>
      </c>
      <c r="H78" s="88">
        <v>32.57</v>
      </c>
      <c r="I78" s="36">
        <f>H78*0.2232</f>
        <v>7.2696240000000003</v>
      </c>
      <c r="J78" s="36">
        <f>H78+I78</f>
        <v>39.839624000000001</v>
      </c>
      <c r="K78" s="36">
        <f>J78*(0.03%)</f>
        <v>1.1951887199999999E-2</v>
      </c>
      <c r="L78" s="36">
        <f>J78-K78</f>
        <v>39.827672112800002</v>
      </c>
      <c r="M78" s="36">
        <f>L78*G78</f>
        <v>0</v>
      </c>
      <c r="N78" s="14">
        <f>M78/M$77</f>
        <v>0</v>
      </c>
      <c r="O78" s="175"/>
    </row>
    <row r="79" spans="1:15" s="29" customFormat="1" ht="23.25" customHeight="1" x14ac:dyDescent="0.2">
      <c r="A79" s="33" t="s">
        <v>78</v>
      </c>
      <c r="B79" s="33" t="s">
        <v>33</v>
      </c>
      <c r="C79" s="33" t="s">
        <v>60</v>
      </c>
      <c r="D79" s="33" t="s">
        <v>34</v>
      </c>
      <c r="E79" s="34" t="s">
        <v>61</v>
      </c>
      <c r="F79" s="35" t="s">
        <v>35</v>
      </c>
      <c r="G79" s="33">
        <v>0</v>
      </c>
      <c r="H79" s="88">
        <v>30.38</v>
      </c>
      <c r="I79" s="36">
        <f>H79*0.2232</f>
        <v>6.7808159999999997</v>
      </c>
      <c r="J79" s="36">
        <f>H79+I79</f>
        <v>37.160815999999997</v>
      </c>
      <c r="K79" s="36">
        <f>J79*(0.03%)</f>
        <v>1.1148244799999998E-2</v>
      </c>
      <c r="L79" s="36">
        <f>J79-K79</f>
        <v>37.149667755199999</v>
      </c>
      <c r="M79" s="36">
        <f>L79*G79</f>
        <v>0</v>
      </c>
      <c r="N79" s="14">
        <f t="shared" ref="N79:N81" si="22">M79/M$77</f>
        <v>0</v>
      </c>
      <c r="O79" s="175"/>
    </row>
    <row r="80" spans="1:15" s="29" customFormat="1" ht="23.25" customHeight="1" x14ac:dyDescent="0.2">
      <c r="A80" s="11" t="s">
        <v>77</v>
      </c>
      <c r="B80" s="11" t="s">
        <v>33</v>
      </c>
      <c r="C80" s="11">
        <v>88310</v>
      </c>
      <c r="D80" s="11" t="s">
        <v>34</v>
      </c>
      <c r="E80" s="20" t="s">
        <v>79</v>
      </c>
      <c r="F80" s="13" t="s">
        <v>35</v>
      </c>
      <c r="G80" s="11">
        <v>180</v>
      </c>
      <c r="H80" s="88">
        <v>35.880000000000003</v>
      </c>
      <c r="I80" s="14">
        <f>H80*0.2232</f>
        <v>8.0084160000000004</v>
      </c>
      <c r="J80" s="14">
        <f>H80+I80</f>
        <v>43.888416000000007</v>
      </c>
      <c r="K80" s="14">
        <f>J80*(0.03%)</f>
        <v>1.3166524800000001E-2</v>
      </c>
      <c r="L80" s="14">
        <f>J80-K80</f>
        <v>43.875249475200008</v>
      </c>
      <c r="M80" s="14">
        <f>L80*G80</f>
        <v>7897.5449055360014</v>
      </c>
      <c r="N80" s="14">
        <f t="shared" si="22"/>
        <v>0.15566060386080577</v>
      </c>
      <c r="O80" s="175"/>
    </row>
    <row r="81" spans="1:26" s="29" customFormat="1" ht="23.25" customHeight="1" x14ac:dyDescent="0.2">
      <c r="A81" s="11" t="s">
        <v>82</v>
      </c>
      <c r="B81" s="17" t="s">
        <v>33</v>
      </c>
      <c r="C81" s="59">
        <v>93588</v>
      </c>
      <c r="D81" s="59" t="s">
        <v>34</v>
      </c>
      <c r="E81" s="60" t="s">
        <v>202</v>
      </c>
      <c r="F81" s="61" t="s">
        <v>203</v>
      </c>
      <c r="G81" s="59">
        <f>10*17</f>
        <v>170</v>
      </c>
      <c r="H81" s="89">
        <v>3.19</v>
      </c>
      <c r="I81" s="42">
        <f>H81*0.2232</f>
        <v>0.71200799999999997</v>
      </c>
      <c r="J81" s="42">
        <f>H81+I81</f>
        <v>3.9020079999999999</v>
      </c>
      <c r="K81" s="42">
        <f>J81*(0.03%)</f>
        <v>1.1706023999999999E-3</v>
      </c>
      <c r="L81" s="42">
        <f>J81-K81</f>
        <v>3.9008373975999997</v>
      </c>
      <c r="M81" s="42">
        <f>L81*G81</f>
        <v>663.14235759199994</v>
      </c>
      <c r="N81" s="14">
        <f t="shared" si="22"/>
        <v>1.3070535345242622E-2</v>
      </c>
      <c r="O81" s="175"/>
    </row>
    <row r="82" spans="1:26" s="29" customFormat="1" ht="23.25" customHeight="1" x14ac:dyDescent="0.2">
      <c r="A82" s="129" t="s">
        <v>220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75"/>
      <c r="P82" s="56"/>
    </row>
    <row r="83" spans="1:26" s="29" customFormat="1" ht="23.25" customHeight="1" x14ac:dyDescent="0.2">
      <c r="A83" s="11" t="s">
        <v>83</v>
      </c>
      <c r="B83" s="11" t="s">
        <v>33</v>
      </c>
      <c r="C83" s="62">
        <v>100701</v>
      </c>
      <c r="D83" s="62" t="s">
        <v>34</v>
      </c>
      <c r="E83" s="63" t="s">
        <v>217</v>
      </c>
      <c r="F83" s="62" t="s">
        <v>80</v>
      </c>
      <c r="G83" s="62">
        <f>1*2.1*1.6</f>
        <v>3.3600000000000003</v>
      </c>
      <c r="H83" s="90">
        <v>566.45000000000005</v>
      </c>
      <c r="I83" s="64">
        <f>H83*0.2232</f>
        <v>126.43164000000002</v>
      </c>
      <c r="J83" s="64">
        <f>H83+I83</f>
        <v>692.88164000000006</v>
      </c>
      <c r="K83" s="65">
        <f>J83*(0.03%)</f>
        <v>0.20786449200000001</v>
      </c>
      <c r="L83" s="64">
        <f>J83-K83</f>
        <v>692.67377550800006</v>
      </c>
      <c r="M83" s="64">
        <f>L83*G83</f>
        <v>2327.3838857068804</v>
      </c>
      <c r="N83" s="14">
        <f>M83/M$77</f>
        <v>4.5872734552112521E-2</v>
      </c>
      <c r="O83" s="175"/>
      <c r="P83" s="56"/>
    </row>
    <row r="84" spans="1:26" s="29" customFormat="1" ht="23.25" customHeight="1" x14ac:dyDescent="0.2">
      <c r="A84" s="11" t="s">
        <v>84</v>
      </c>
      <c r="B84" s="11" t="s">
        <v>33</v>
      </c>
      <c r="C84" s="62" t="s">
        <v>218</v>
      </c>
      <c r="D84" s="62" t="s">
        <v>81</v>
      </c>
      <c r="E84" s="66" t="s">
        <v>219</v>
      </c>
      <c r="F84" s="62" t="s">
        <v>80</v>
      </c>
      <c r="G84" s="62">
        <v>1</v>
      </c>
      <c r="H84" s="90">
        <v>1549.26</v>
      </c>
      <c r="I84" s="64">
        <f>H84*0.2232</f>
        <v>345.79483199999999</v>
      </c>
      <c r="J84" s="64">
        <f>H84+I84</f>
        <v>1895.054832</v>
      </c>
      <c r="K84" s="65">
        <f>J84*(0.03%)</f>
        <v>0.56851644959999992</v>
      </c>
      <c r="L84" s="64">
        <f>J84-K84</f>
        <v>1894.4863155503999</v>
      </c>
      <c r="M84" s="64">
        <f>L84*G84</f>
        <v>1894.4863155503999</v>
      </c>
      <c r="N84" s="14">
        <f t="shared" ref="N84:N85" si="23">M84/M$77</f>
        <v>3.7340323785673216E-2</v>
      </c>
      <c r="O84" s="175"/>
      <c r="P84" s="56"/>
    </row>
    <row r="85" spans="1:26" s="29" customFormat="1" ht="23.25" customHeight="1" x14ac:dyDescent="0.2">
      <c r="A85" s="11" t="s">
        <v>85</v>
      </c>
      <c r="B85" s="11" t="s">
        <v>33</v>
      </c>
      <c r="C85" s="62">
        <v>100746</v>
      </c>
      <c r="D85" s="62" t="s">
        <v>34</v>
      </c>
      <c r="E85" s="63" t="s">
        <v>205</v>
      </c>
      <c r="F85" s="62" t="s">
        <v>80</v>
      </c>
      <c r="G85" s="62">
        <f>G83*2</f>
        <v>6.7200000000000006</v>
      </c>
      <c r="H85" s="90">
        <v>29.83</v>
      </c>
      <c r="I85" s="64">
        <f>H85*0.2232</f>
        <v>6.6580560000000002</v>
      </c>
      <c r="J85" s="64">
        <f>H85+I85</f>
        <v>36.488056</v>
      </c>
      <c r="K85" s="65">
        <f>J85*(0.03%)</f>
        <v>1.0946416799999999E-2</v>
      </c>
      <c r="L85" s="64">
        <f>J85-K85</f>
        <v>36.477109583199997</v>
      </c>
      <c r="M85" s="64">
        <f>L85*G85</f>
        <v>245.126176399104</v>
      </c>
      <c r="N85" s="14">
        <f t="shared" si="23"/>
        <v>4.8314367435414122E-3</v>
      </c>
      <c r="O85" s="175"/>
      <c r="P85" s="56"/>
    </row>
    <row r="86" spans="1:26" s="29" customFormat="1" ht="23.25" customHeight="1" x14ac:dyDescent="0.2">
      <c r="A86" s="129" t="s">
        <v>213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75"/>
      <c r="P86" s="56"/>
    </row>
    <row r="87" spans="1:26" s="29" customFormat="1" ht="23.25" customHeight="1" x14ac:dyDescent="0.2">
      <c r="A87" s="11" t="s">
        <v>151</v>
      </c>
      <c r="B87" s="11" t="s">
        <v>33</v>
      </c>
      <c r="C87" s="11">
        <v>94231</v>
      </c>
      <c r="D87" s="11" t="s">
        <v>34</v>
      </c>
      <c r="E87" s="20" t="s">
        <v>159</v>
      </c>
      <c r="F87" s="13" t="s">
        <v>156</v>
      </c>
      <c r="G87" s="11">
        <v>36</v>
      </c>
      <c r="H87" s="88">
        <v>54.99</v>
      </c>
      <c r="I87" s="14">
        <f>H87*0.2232</f>
        <v>12.273768</v>
      </c>
      <c r="J87" s="14">
        <f>H87+I87</f>
        <v>67.263767999999999</v>
      </c>
      <c r="K87" s="14">
        <f>J87*(0.03%)</f>
        <v>2.0179130399999998E-2</v>
      </c>
      <c r="L87" s="14">
        <f>J87-K87</f>
        <v>67.243588869600003</v>
      </c>
      <c r="M87" s="14">
        <f>L87*G87</f>
        <v>2420.7691993056001</v>
      </c>
      <c r="N87" s="14">
        <f>M87/M$77</f>
        <v>4.771335900950785E-2</v>
      </c>
      <c r="O87" s="175"/>
      <c r="P87" s="188" t="s">
        <v>216</v>
      </c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 spans="1:26" s="29" customFormat="1" ht="23.25" customHeight="1" x14ac:dyDescent="0.2">
      <c r="A88" s="129" t="s">
        <v>214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75"/>
      <c r="P88" s="56"/>
    </row>
    <row r="89" spans="1:26" s="29" customFormat="1" ht="23.25" customHeight="1" x14ac:dyDescent="0.2">
      <c r="A89" s="11" t="s">
        <v>152</v>
      </c>
      <c r="B89" s="11" t="s">
        <v>33</v>
      </c>
      <c r="C89" s="11">
        <v>88323</v>
      </c>
      <c r="D89" s="11" t="s">
        <v>34</v>
      </c>
      <c r="E89" s="20" t="s">
        <v>160</v>
      </c>
      <c r="F89" s="13" t="s">
        <v>150</v>
      </c>
      <c r="G89" s="11">
        <v>24</v>
      </c>
      <c r="H89" s="88">
        <v>32.17</v>
      </c>
      <c r="I89" s="14">
        <f t="shared" ref="I89:I90" si="24">H89*0.2232</f>
        <v>7.1803440000000007</v>
      </c>
      <c r="J89" s="14">
        <f t="shared" ref="J89:J90" si="25">H89+I89</f>
        <v>39.350344</v>
      </c>
      <c r="K89" s="14">
        <f t="shared" ref="K89:K90" si="26">J89*(0.03%)</f>
        <v>1.1805103199999998E-2</v>
      </c>
      <c r="L89" s="14">
        <f t="shared" ref="L89:L90" si="27">J89-K89</f>
        <v>39.338538896800003</v>
      </c>
      <c r="M89" s="14">
        <f t="shared" ref="M89:M90" si="28">L89*G89</f>
        <v>944.12493352320007</v>
      </c>
      <c r="N89" s="14">
        <f>M89/M$77</f>
        <v>1.8608701695288447E-2</v>
      </c>
      <c r="O89" s="175"/>
      <c r="P89" s="188" t="s">
        <v>215</v>
      </c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 spans="1:26" s="29" customFormat="1" ht="23.25" customHeight="1" x14ac:dyDescent="0.2">
      <c r="A90" s="11" t="s">
        <v>146</v>
      </c>
      <c r="B90" s="11" t="s">
        <v>33</v>
      </c>
      <c r="C90" s="11">
        <v>88316</v>
      </c>
      <c r="D90" s="11" t="s">
        <v>34</v>
      </c>
      <c r="E90" s="20" t="s">
        <v>161</v>
      </c>
      <c r="F90" s="13" t="s">
        <v>150</v>
      </c>
      <c r="G90" s="11">
        <v>24</v>
      </c>
      <c r="H90" s="91">
        <v>28.17</v>
      </c>
      <c r="I90" s="14">
        <f t="shared" si="24"/>
        <v>6.2875440000000005</v>
      </c>
      <c r="J90" s="14">
        <f t="shared" si="25"/>
        <v>34.457543999999999</v>
      </c>
      <c r="K90" s="14">
        <f t="shared" si="26"/>
        <v>1.0337263199999999E-2</v>
      </c>
      <c r="L90" s="14">
        <f t="shared" si="27"/>
        <v>34.447206736799998</v>
      </c>
      <c r="M90" s="14">
        <f t="shared" si="28"/>
        <v>826.73296168319996</v>
      </c>
      <c r="N90" s="14">
        <f>M90/M$77</f>
        <v>1.6294906022887024E-2</v>
      </c>
      <c r="O90" s="175"/>
      <c r="P90" s="188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 spans="1:26" s="29" customFormat="1" ht="23.25" customHeight="1" x14ac:dyDescent="0.2">
      <c r="A91" s="129" t="s">
        <v>200</v>
      </c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75"/>
      <c r="P91" s="56"/>
    </row>
    <row r="92" spans="1:26" s="29" customFormat="1" ht="23.25" customHeight="1" x14ac:dyDescent="0.2">
      <c r="A92" s="11" t="s">
        <v>208</v>
      </c>
      <c r="B92" s="11" t="s">
        <v>33</v>
      </c>
      <c r="C92" s="11">
        <v>94231</v>
      </c>
      <c r="D92" s="11" t="s">
        <v>34</v>
      </c>
      <c r="E92" s="20" t="s">
        <v>159</v>
      </c>
      <c r="F92" s="13" t="s">
        <v>156</v>
      </c>
      <c r="G92" s="11">
        <v>189.5</v>
      </c>
      <c r="H92" s="88">
        <v>54.99</v>
      </c>
      <c r="I92" s="14">
        <f>H92*0.2232</f>
        <v>12.273768</v>
      </c>
      <c r="J92" s="14">
        <f>H92+I92</f>
        <v>67.263767999999999</v>
      </c>
      <c r="K92" s="14">
        <f>J92*(0.03%)</f>
        <v>2.0179130399999998E-2</v>
      </c>
      <c r="L92" s="14">
        <f>J92-K92</f>
        <v>67.243588869600003</v>
      </c>
      <c r="M92" s="14">
        <f>L92*G92</f>
        <v>12742.660090789201</v>
      </c>
      <c r="N92" s="14">
        <f>M92/M$77</f>
        <v>0.25115782034171497</v>
      </c>
      <c r="O92" s="175"/>
      <c r="P92" s="186" t="s">
        <v>211</v>
      </c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spans="1:26" s="29" customFormat="1" ht="23.25" customHeight="1" x14ac:dyDescent="0.2">
      <c r="A93" s="11" t="s">
        <v>153</v>
      </c>
      <c r="B93" s="11" t="s">
        <v>33</v>
      </c>
      <c r="C93" s="11">
        <v>88323</v>
      </c>
      <c r="D93" s="11" t="s">
        <v>34</v>
      </c>
      <c r="E93" s="20" t="s">
        <v>160</v>
      </c>
      <c r="F93" s="13" t="s">
        <v>150</v>
      </c>
      <c r="G93" s="11">
        <v>16</v>
      </c>
      <c r="H93" s="88">
        <v>32.17</v>
      </c>
      <c r="I93" s="14">
        <f t="shared" ref="I93:I94" si="29">H93*0.2232</f>
        <v>7.1803440000000007</v>
      </c>
      <c r="J93" s="14">
        <f t="shared" ref="J93:J94" si="30">H93+I93</f>
        <v>39.350344</v>
      </c>
      <c r="K93" s="14">
        <f t="shared" ref="K93:K94" si="31">J93*(0.03%)</f>
        <v>1.1805103199999998E-2</v>
      </c>
      <c r="L93" s="14">
        <f t="shared" ref="L93:L94" si="32">J93-K93</f>
        <v>39.338538896800003</v>
      </c>
      <c r="M93" s="14">
        <f t="shared" ref="M93:M94" si="33">L93*G93</f>
        <v>629.41662234880005</v>
      </c>
      <c r="N93" s="14">
        <f>M93/M$77</f>
        <v>1.2405801130192299E-2</v>
      </c>
      <c r="O93" s="175"/>
      <c r="P93" s="186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spans="1:26" s="29" customFormat="1" ht="23.25" customHeight="1" x14ac:dyDescent="0.2">
      <c r="A94" s="11" t="s">
        <v>209</v>
      </c>
      <c r="B94" s="11" t="s">
        <v>33</v>
      </c>
      <c r="C94" s="11">
        <v>88316</v>
      </c>
      <c r="D94" s="11" t="s">
        <v>34</v>
      </c>
      <c r="E94" s="20" t="s">
        <v>161</v>
      </c>
      <c r="F94" s="13" t="s">
        <v>150</v>
      </c>
      <c r="G94" s="11">
        <v>16</v>
      </c>
      <c r="H94" s="91">
        <v>28.17</v>
      </c>
      <c r="I94" s="14">
        <f t="shared" si="29"/>
        <v>6.2875440000000005</v>
      </c>
      <c r="J94" s="14">
        <f t="shared" si="30"/>
        <v>34.457543999999999</v>
      </c>
      <c r="K94" s="14">
        <f t="shared" si="31"/>
        <v>1.0337263199999999E-2</v>
      </c>
      <c r="L94" s="14">
        <f t="shared" si="32"/>
        <v>34.447206736799998</v>
      </c>
      <c r="M94" s="14">
        <f t="shared" si="33"/>
        <v>551.15530778879997</v>
      </c>
      <c r="N94" s="14">
        <f>M94/M$77</f>
        <v>1.0863270681924681E-2</v>
      </c>
      <c r="O94" s="175"/>
      <c r="P94" s="186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spans="1:26" s="29" customFormat="1" ht="23.25" customHeight="1" x14ac:dyDescent="0.2">
      <c r="A95" s="129" t="s">
        <v>201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75"/>
      <c r="P95" s="56"/>
    </row>
    <row r="96" spans="1:26" s="29" customFormat="1" ht="23.25" customHeight="1" x14ac:dyDescent="0.2">
      <c r="A96" s="11" t="s">
        <v>210</v>
      </c>
      <c r="B96" s="11" t="s">
        <v>33</v>
      </c>
      <c r="C96" s="11">
        <v>94231</v>
      </c>
      <c r="D96" s="11" t="s">
        <v>34</v>
      </c>
      <c r="E96" s="20" t="s">
        <v>159</v>
      </c>
      <c r="F96" s="13" t="s">
        <v>156</v>
      </c>
      <c r="G96" s="11">
        <v>52</v>
      </c>
      <c r="H96" s="88">
        <v>54.99</v>
      </c>
      <c r="I96" s="14">
        <f>H96*0.2232</f>
        <v>12.273768</v>
      </c>
      <c r="J96" s="14">
        <f>H96+I96</f>
        <v>67.263767999999999</v>
      </c>
      <c r="K96" s="14">
        <f>J96*(0.03%)</f>
        <v>2.0179130399999998E-2</v>
      </c>
      <c r="L96" s="14">
        <f>J96-K96</f>
        <v>67.243588869600003</v>
      </c>
      <c r="M96" s="14">
        <f>L96*G96</f>
        <v>3496.6666212192004</v>
      </c>
      <c r="N96" s="14">
        <f t="shared" ref="N96:N98" si="34">M96/M$77</f>
        <v>6.8919296347066894E-2</v>
      </c>
      <c r="O96" s="175"/>
      <c r="P96" s="188" t="s">
        <v>212</v>
      </c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 spans="1:26" s="29" customFormat="1" ht="23.25" customHeight="1" x14ac:dyDescent="0.2">
      <c r="A97" s="11" t="s">
        <v>221</v>
      </c>
      <c r="B97" s="11" t="s">
        <v>33</v>
      </c>
      <c r="C97" s="11">
        <v>88323</v>
      </c>
      <c r="D97" s="11" t="s">
        <v>34</v>
      </c>
      <c r="E97" s="20" t="s">
        <v>160</v>
      </c>
      <c r="F97" s="13" t="s">
        <v>150</v>
      </c>
      <c r="G97" s="11">
        <v>8</v>
      </c>
      <c r="H97" s="88">
        <v>32.17</v>
      </c>
      <c r="I97" s="14">
        <f t="shared" ref="I97:I98" si="35">H97*0.2232</f>
        <v>7.1803440000000007</v>
      </c>
      <c r="J97" s="14">
        <f t="shared" ref="J97:J98" si="36">H97+I97</f>
        <v>39.350344</v>
      </c>
      <c r="K97" s="14">
        <f t="shared" ref="K97:K98" si="37">J97*(0.03%)</f>
        <v>1.1805103199999998E-2</v>
      </c>
      <c r="L97" s="14">
        <f t="shared" ref="L97:L98" si="38">J97-K97</f>
        <v>39.338538896800003</v>
      </c>
      <c r="M97" s="14">
        <f t="shared" ref="M97:M98" si="39">L97*G97</f>
        <v>314.70831117440002</v>
      </c>
      <c r="N97" s="14">
        <f t="shared" si="34"/>
        <v>6.2029005650961495E-3</v>
      </c>
      <c r="O97" s="175"/>
      <c r="P97" s="188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 spans="1:26" s="29" customFormat="1" ht="23.25" customHeight="1" x14ac:dyDescent="0.2">
      <c r="A98" s="11" t="s">
        <v>222</v>
      </c>
      <c r="B98" s="11" t="s">
        <v>33</v>
      </c>
      <c r="C98" s="11">
        <v>88316</v>
      </c>
      <c r="D98" s="11" t="s">
        <v>34</v>
      </c>
      <c r="E98" s="20" t="s">
        <v>161</v>
      </c>
      <c r="F98" s="13" t="s">
        <v>150</v>
      </c>
      <c r="G98" s="11">
        <v>8</v>
      </c>
      <c r="H98" s="91">
        <v>28.17</v>
      </c>
      <c r="I98" s="14">
        <f t="shared" si="35"/>
        <v>6.2875440000000005</v>
      </c>
      <c r="J98" s="14">
        <f t="shared" si="36"/>
        <v>34.457543999999999</v>
      </c>
      <c r="K98" s="14">
        <f t="shared" si="37"/>
        <v>1.0337263199999999E-2</v>
      </c>
      <c r="L98" s="14">
        <f t="shared" si="38"/>
        <v>34.447206736799998</v>
      </c>
      <c r="M98" s="14">
        <f t="shared" si="39"/>
        <v>275.57765389439999</v>
      </c>
      <c r="N98" s="14">
        <f t="shared" si="34"/>
        <v>5.4316353409623406E-3</v>
      </c>
      <c r="O98" s="175"/>
      <c r="P98" s="188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 spans="1:26" s="29" customFormat="1" ht="23.25" customHeight="1" x14ac:dyDescent="0.2">
      <c r="A99" s="129" t="s">
        <v>204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75"/>
    </row>
    <row r="100" spans="1:26" s="29" customFormat="1" ht="23.25" customHeight="1" x14ac:dyDescent="0.2">
      <c r="A100" s="43" t="s">
        <v>223</v>
      </c>
      <c r="B100" s="33" t="s">
        <v>33</v>
      </c>
      <c r="C100" s="48">
        <v>88488</v>
      </c>
      <c r="D100" s="48" t="s">
        <v>34</v>
      </c>
      <c r="E100" s="49" t="s">
        <v>147</v>
      </c>
      <c r="F100" s="48" t="s">
        <v>80</v>
      </c>
      <c r="G100" s="48">
        <f>37.74+22.1+3.6</f>
        <v>63.440000000000005</v>
      </c>
      <c r="H100" s="67">
        <v>17.29</v>
      </c>
      <c r="I100" s="43">
        <f t="shared" ref="I100:I105" si="40">H100*0.2232</f>
        <v>3.8591280000000001</v>
      </c>
      <c r="J100" s="43">
        <f t="shared" ref="J100:J105" si="41">H100+I100</f>
        <v>21.149127999999997</v>
      </c>
      <c r="K100" s="43">
        <f t="shared" ref="K100:K105" si="42">J100*(0.03%)</f>
        <v>6.3447383999999983E-3</v>
      </c>
      <c r="L100" s="43">
        <f t="shared" ref="L100:L105" si="43">J100-K100</f>
        <v>21.142783261599998</v>
      </c>
      <c r="M100" s="43">
        <f t="shared" ref="M100:M105" si="44">L100*G100</f>
        <v>1341.298170115904</v>
      </c>
      <c r="N100" s="14">
        <f t="shared" ref="N100:N105" si="45">M100/M$77</f>
        <v>2.6436985875354785E-2</v>
      </c>
      <c r="O100" s="175"/>
    </row>
    <row r="101" spans="1:26" s="29" customFormat="1" ht="23.25" customHeight="1" x14ac:dyDescent="0.2">
      <c r="A101" s="43" t="s">
        <v>224</v>
      </c>
      <c r="B101" s="33" t="s">
        <v>33</v>
      </c>
      <c r="C101" s="48">
        <v>88489</v>
      </c>
      <c r="D101" s="48" t="s">
        <v>34</v>
      </c>
      <c r="E101" s="49" t="s">
        <v>148</v>
      </c>
      <c r="F101" s="48" t="s">
        <v>80</v>
      </c>
      <c r="G101" s="48">
        <f>433.79-31.43-63.44</f>
        <v>338.92</v>
      </c>
      <c r="H101" s="67">
        <v>14.4</v>
      </c>
      <c r="I101" s="43">
        <f t="shared" si="40"/>
        <v>3.21408</v>
      </c>
      <c r="J101" s="43">
        <f t="shared" si="41"/>
        <v>17.614080000000001</v>
      </c>
      <c r="K101" s="43">
        <f t="shared" si="42"/>
        <v>5.2842239999999997E-3</v>
      </c>
      <c r="L101" s="43">
        <f t="shared" si="43"/>
        <v>17.608795776000001</v>
      </c>
      <c r="M101" s="43">
        <f t="shared" si="44"/>
        <v>5967.973064401921</v>
      </c>
      <c r="N101" s="14">
        <f t="shared" si="45"/>
        <v>0.11762874439354357</v>
      </c>
      <c r="O101" s="175"/>
    </row>
    <row r="102" spans="1:26" s="29" customFormat="1" ht="23.25" customHeight="1" x14ac:dyDescent="0.2">
      <c r="A102" s="43" t="s">
        <v>225</v>
      </c>
      <c r="B102" s="11" t="s">
        <v>33</v>
      </c>
      <c r="C102" s="62">
        <v>100746</v>
      </c>
      <c r="D102" s="62" t="s">
        <v>34</v>
      </c>
      <c r="E102" s="66" t="s">
        <v>205</v>
      </c>
      <c r="F102" s="62" t="s">
        <v>80</v>
      </c>
      <c r="G102" s="62">
        <v>4.2</v>
      </c>
      <c r="H102" s="90">
        <v>29.83</v>
      </c>
      <c r="I102" s="64">
        <f t="shared" si="40"/>
        <v>6.6580560000000002</v>
      </c>
      <c r="J102" s="64">
        <f t="shared" si="41"/>
        <v>36.488056</v>
      </c>
      <c r="K102" s="65">
        <f t="shared" si="42"/>
        <v>1.0946416799999999E-2</v>
      </c>
      <c r="L102" s="64">
        <f t="shared" si="43"/>
        <v>36.477109583199997</v>
      </c>
      <c r="M102" s="64">
        <f t="shared" si="44"/>
        <v>153.20386024944</v>
      </c>
      <c r="N102" s="14">
        <f t="shared" si="45"/>
        <v>3.0196479647133824E-3</v>
      </c>
      <c r="O102" s="175"/>
    </row>
    <row r="103" spans="1:26" s="29" customFormat="1" ht="23.25" customHeight="1" x14ac:dyDescent="0.2">
      <c r="A103" s="43" t="s">
        <v>226</v>
      </c>
      <c r="B103" s="11" t="s">
        <v>33</v>
      </c>
      <c r="C103" s="62">
        <v>88485</v>
      </c>
      <c r="D103" s="62" t="s">
        <v>34</v>
      </c>
      <c r="E103" s="66" t="s">
        <v>206</v>
      </c>
      <c r="F103" s="62" t="s">
        <v>80</v>
      </c>
      <c r="G103" s="62">
        <v>128</v>
      </c>
      <c r="H103" s="90">
        <v>4.91</v>
      </c>
      <c r="I103" s="64">
        <f t="shared" si="40"/>
        <v>1.095912</v>
      </c>
      <c r="J103" s="64">
        <f t="shared" si="41"/>
        <v>6.0059120000000004</v>
      </c>
      <c r="K103" s="65">
        <f t="shared" si="42"/>
        <v>1.8017736E-3</v>
      </c>
      <c r="L103" s="64">
        <f t="shared" si="43"/>
        <v>6.0041102264000008</v>
      </c>
      <c r="M103" s="64">
        <f t="shared" si="44"/>
        <v>768.5261089792001</v>
      </c>
      <c r="N103" s="14">
        <f t="shared" si="45"/>
        <v>1.5147649001987985E-2</v>
      </c>
      <c r="O103" s="175"/>
    </row>
    <row r="104" spans="1:26" s="29" customFormat="1" ht="23.25" customHeight="1" x14ac:dyDescent="0.2">
      <c r="A104" s="43" t="s">
        <v>227</v>
      </c>
      <c r="B104" s="11" t="s">
        <v>33</v>
      </c>
      <c r="C104" s="62">
        <v>95305</v>
      </c>
      <c r="D104" s="62" t="s">
        <v>34</v>
      </c>
      <c r="E104" s="66" t="s">
        <v>207</v>
      </c>
      <c r="F104" s="62" t="s">
        <v>80</v>
      </c>
      <c r="G104" s="62">
        <v>31.43</v>
      </c>
      <c r="H104" s="90">
        <v>15.07</v>
      </c>
      <c r="I104" s="64">
        <f t="shared" si="40"/>
        <v>3.3636240000000002</v>
      </c>
      <c r="J104" s="64">
        <f t="shared" si="41"/>
        <v>18.433624000000002</v>
      </c>
      <c r="K104" s="65">
        <f t="shared" si="42"/>
        <v>5.5300872000000004E-3</v>
      </c>
      <c r="L104" s="64">
        <f t="shared" si="43"/>
        <v>18.428093912800001</v>
      </c>
      <c r="M104" s="64">
        <f t="shared" si="44"/>
        <v>579.19499167930405</v>
      </c>
      <c r="N104" s="14">
        <f t="shared" si="45"/>
        <v>1.141593282929689E-2</v>
      </c>
      <c r="O104" s="175"/>
    </row>
    <row r="105" spans="1:26" s="29" customFormat="1" ht="23.25" customHeight="1" x14ac:dyDescent="0.2">
      <c r="A105" s="43" t="s">
        <v>228</v>
      </c>
      <c r="B105" s="33" t="s">
        <v>33</v>
      </c>
      <c r="C105" s="48">
        <v>96135</v>
      </c>
      <c r="D105" s="48" t="s">
        <v>34</v>
      </c>
      <c r="E105" s="49" t="s">
        <v>149</v>
      </c>
      <c r="F105" s="48" t="s">
        <v>80</v>
      </c>
      <c r="G105" s="48">
        <v>52</v>
      </c>
      <c r="H105" s="67">
        <v>34.950000000000003</v>
      </c>
      <c r="I105" s="43">
        <f t="shared" si="40"/>
        <v>7.8008400000000009</v>
      </c>
      <c r="J105" s="43">
        <f t="shared" si="41"/>
        <v>42.750840000000004</v>
      </c>
      <c r="K105" s="43">
        <f t="shared" si="42"/>
        <v>1.2825252000000001E-2</v>
      </c>
      <c r="L105" s="43">
        <f t="shared" si="43"/>
        <v>42.738014748000005</v>
      </c>
      <c r="M105" s="43">
        <f t="shared" si="44"/>
        <v>2222.3767668960004</v>
      </c>
      <c r="N105" s="14">
        <f t="shared" si="45"/>
        <v>4.3803044323149451E-2</v>
      </c>
      <c r="O105" s="175"/>
    </row>
    <row r="106" spans="1:26" s="29" customFormat="1" ht="23.25" customHeight="1" x14ac:dyDescent="0.2">
      <c r="A106" s="129" t="s">
        <v>229</v>
      </c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75"/>
    </row>
    <row r="107" spans="1:26" s="29" customFormat="1" ht="23.25" customHeight="1" x14ac:dyDescent="0.2">
      <c r="A107" s="43" t="s">
        <v>230</v>
      </c>
      <c r="B107" s="33" t="s">
        <v>33</v>
      </c>
      <c r="C107" s="48"/>
      <c r="D107" s="48" t="s">
        <v>235</v>
      </c>
      <c r="E107" s="49" t="s">
        <v>233</v>
      </c>
      <c r="F107" s="48" t="s">
        <v>80</v>
      </c>
      <c r="G107" s="48">
        <f>3.6*2.9</f>
        <v>10.44</v>
      </c>
      <c r="H107" s="67">
        <v>203.47</v>
      </c>
      <c r="I107" s="43">
        <f>H107*0.2232</f>
        <v>45.414504000000001</v>
      </c>
      <c r="J107" s="43">
        <f>H107+I107</f>
        <v>248.88450399999999</v>
      </c>
      <c r="K107" s="43">
        <f>J107*(0.03%)</f>
        <v>7.4665351199999994E-2</v>
      </c>
      <c r="L107" s="43">
        <f>J107-K107</f>
        <v>248.8098386488</v>
      </c>
      <c r="M107" s="43">
        <f>L107*G107</f>
        <v>2597.574715493472</v>
      </c>
      <c r="N107" s="14">
        <f>M107/M$77</f>
        <v>5.1198195594157538E-2</v>
      </c>
      <c r="O107" s="175"/>
    </row>
    <row r="108" spans="1:26" s="29" customFormat="1" ht="23.25" customHeight="1" x14ac:dyDescent="0.2">
      <c r="A108" s="43" t="s">
        <v>231</v>
      </c>
      <c r="B108" s="33" t="s">
        <v>33</v>
      </c>
      <c r="C108" s="48"/>
      <c r="D108" s="48" t="s">
        <v>235</v>
      </c>
      <c r="E108" s="49" t="s">
        <v>234</v>
      </c>
      <c r="F108" s="48" t="s">
        <v>80</v>
      </c>
      <c r="G108" s="48">
        <f>2.6*2.9</f>
        <v>7.54</v>
      </c>
      <c r="H108" s="67">
        <v>203.47</v>
      </c>
      <c r="I108" s="43">
        <f>H108*0.2232</f>
        <v>45.414504000000001</v>
      </c>
      <c r="J108" s="43">
        <f>H108+I108</f>
        <v>248.88450399999999</v>
      </c>
      <c r="K108" s="43">
        <f>J108*(0.03%)</f>
        <v>7.4665351199999994E-2</v>
      </c>
      <c r="L108" s="43">
        <f>J108-K108</f>
        <v>248.8098386488</v>
      </c>
      <c r="M108" s="43">
        <f>L108*G108</f>
        <v>1876.0261834119519</v>
      </c>
      <c r="N108" s="14">
        <f>M108/M$77</f>
        <v>3.6976474595780441E-2</v>
      </c>
      <c r="O108" s="175"/>
    </row>
    <row r="109" spans="1:26" s="40" customFormat="1" ht="17.100000000000001" customHeight="1" x14ac:dyDescent="0.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175"/>
    </row>
    <row r="110" spans="1:26" s="40" customFormat="1" ht="17.100000000000001" customHeight="1" x14ac:dyDescent="0.2">
      <c r="A110" s="181"/>
      <c r="B110" s="182"/>
      <c r="C110" s="182"/>
      <c r="D110" s="182"/>
      <c r="E110" s="182"/>
      <c r="F110" s="182"/>
      <c r="G110" s="182"/>
      <c r="H110" s="38" t="s">
        <v>39</v>
      </c>
      <c r="I110" s="39"/>
      <c r="J110" s="183">
        <f>M16+M31+M77</f>
        <v>152153.57316220037</v>
      </c>
      <c r="K110" s="184"/>
      <c r="L110" s="184"/>
      <c r="M110" s="184"/>
      <c r="N110" s="185"/>
      <c r="O110" s="98"/>
      <c r="P110" s="57"/>
    </row>
    <row r="111" spans="1:26" ht="17.100000000000001" customHeight="1" x14ac:dyDescent="0.25">
      <c r="A111" s="142" t="s">
        <v>102</v>
      </c>
      <c r="B111" s="103"/>
      <c r="C111" s="103"/>
      <c r="D111" s="103"/>
      <c r="E111" s="103"/>
      <c r="F111" s="103"/>
      <c r="G111" s="103"/>
      <c r="H111" s="100"/>
      <c r="I111" s="100"/>
      <c r="J111" s="100"/>
      <c r="K111" s="100"/>
      <c r="L111" s="100"/>
      <c r="M111" s="100"/>
      <c r="N111" s="101"/>
      <c r="O111" s="98"/>
    </row>
    <row r="112" spans="1:26" ht="17.100000000000001" customHeight="1" x14ac:dyDescent="0.25">
      <c r="A112" s="102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4"/>
      <c r="O112" s="98"/>
    </row>
    <row r="113" spans="1:15" ht="17.100000000000001" customHeight="1" x14ac:dyDescent="0.25">
      <c r="A113" s="102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4"/>
      <c r="O113" s="98"/>
    </row>
    <row r="114" spans="1:15" ht="17.100000000000001" customHeight="1" x14ac:dyDescent="0.25">
      <c r="A114" s="102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4"/>
      <c r="O114" s="98"/>
    </row>
    <row r="115" spans="1:15" ht="17.100000000000001" customHeight="1" x14ac:dyDescent="0.25">
      <c r="A115" s="102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4"/>
      <c r="O115" s="98"/>
    </row>
    <row r="116" spans="1:15" ht="17.100000000000001" customHeight="1" x14ac:dyDescent="0.25">
      <c r="A116" s="102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4"/>
      <c r="O116" s="98"/>
    </row>
    <row r="117" spans="1:15" ht="17.100000000000001" customHeight="1" x14ac:dyDescent="0.25">
      <c r="A117" s="105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7"/>
      <c r="O117" s="98"/>
    </row>
    <row r="118" spans="1:15" ht="17.100000000000001" customHeight="1" x14ac:dyDescent="0.25">
      <c r="A118" s="155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56"/>
    </row>
    <row r="119" spans="1:15" ht="17.100000000000001" customHeight="1" x14ac:dyDescent="0.25">
      <c r="A119" s="157" t="s">
        <v>40</v>
      </c>
      <c r="B119" s="158"/>
      <c r="C119" s="158"/>
      <c r="D119" s="158"/>
      <c r="E119" s="158"/>
      <c r="F119" s="158"/>
      <c r="G119" s="159" t="s">
        <v>41</v>
      </c>
      <c r="H119" s="159"/>
      <c r="I119" s="159"/>
      <c r="J119" s="159"/>
      <c r="K119" s="160"/>
      <c r="L119" s="161"/>
      <c r="M119" s="161"/>
      <c r="N119" s="162"/>
      <c r="O119" s="98" t="s">
        <v>42</v>
      </c>
    </row>
    <row r="120" spans="1:15" ht="17.100000000000001" customHeight="1" x14ac:dyDescent="0.25">
      <c r="A120" s="167" t="s">
        <v>43</v>
      </c>
      <c r="B120" s="168"/>
      <c r="C120" s="168"/>
      <c r="D120" s="168"/>
      <c r="E120" s="168"/>
      <c r="F120" s="169"/>
      <c r="G120" s="173" t="s">
        <v>44</v>
      </c>
      <c r="H120" s="168"/>
      <c r="I120" s="168"/>
      <c r="J120" s="169"/>
      <c r="K120" s="163"/>
      <c r="L120" s="164"/>
      <c r="M120" s="164"/>
      <c r="N120" s="165"/>
      <c r="O120" s="98"/>
    </row>
    <row r="121" spans="1:15" ht="17.100000000000001" customHeight="1" x14ac:dyDescent="0.25">
      <c r="A121" s="170"/>
      <c r="B121" s="171"/>
      <c r="C121" s="171"/>
      <c r="D121" s="171"/>
      <c r="E121" s="171"/>
      <c r="F121" s="172"/>
      <c r="G121" s="174"/>
      <c r="H121" s="171"/>
      <c r="I121" s="171"/>
      <c r="J121" s="172"/>
      <c r="K121" s="163"/>
      <c r="L121" s="164"/>
      <c r="M121" s="164"/>
      <c r="N121" s="165"/>
      <c r="O121" s="98"/>
    </row>
    <row r="122" spans="1:15" ht="17.100000000000001" customHeight="1" x14ac:dyDescent="0.25">
      <c r="A122" s="170"/>
      <c r="B122" s="171"/>
      <c r="C122" s="171"/>
      <c r="D122" s="171"/>
      <c r="E122" s="171"/>
      <c r="F122" s="172"/>
      <c r="G122" s="174"/>
      <c r="H122" s="171"/>
      <c r="I122" s="171"/>
      <c r="J122" s="172"/>
      <c r="K122" s="163"/>
      <c r="L122" s="164"/>
      <c r="M122" s="164"/>
      <c r="N122" s="165"/>
      <c r="O122" s="98"/>
    </row>
    <row r="123" spans="1:15" ht="17.100000000000001" customHeight="1" x14ac:dyDescent="0.25">
      <c r="A123" s="170"/>
      <c r="B123" s="171"/>
      <c r="C123" s="171"/>
      <c r="D123" s="171"/>
      <c r="E123" s="171"/>
      <c r="F123" s="172"/>
      <c r="G123" s="174"/>
      <c r="H123" s="171"/>
      <c r="I123" s="171"/>
      <c r="J123" s="172"/>
      <c r="K123" s="163"/>
      <c r="L123" s="164"/>
      <c r="M123" s="164"/>
      <c r="N123" s="165"/>
      <c r="O123" s="98"/>
    </row>
    <row r="124" spans="1:15" ht="17.100000000000001" customHeight="1" x14ac:dyDescent="0.25">
      <c r="A124" s="170"/>
      <c r="B124" s="171"/>
      <c r="C124" s="171"/>
      <c r="D124" s="171"/>
      <c r="E124" s="171"/>
      <c r="F124" s="172"/>
      <c r="G124" s="174"/>
      <c r="H124" s="171"/>
      <c r="I124" s="171"/>
      <c r="J124" s="172"/>
      <c r="K124" s="163"/>
      <c r="L124" s="164"/>
      <c r="M124" s="164"/>
      <c r="N124" s="165"/>
      <c r="O124" s="98"/>
    </row>
    <row r="125" spans="1:15" ht="17.100000000000001" customHeight="1" x14ac:dyDescent="0.25">
      <c r="A125" s="170"/>
      <c r="B125" s="171"/>
      <c r="C125" s="171"/>
      <c r="D125" s="171"/>
      <c r="E125" s="171"/>
      <c r="F125" s="172"/>
      <c r="G125" s="174"/>
      <c r="H125" s="171"/>
      <c r="I125" s="171"/>
      <c r="J125" s="172"/>
      <c r="K125" s="163"/>
      <c r="L125" s="164"/>
      <c r="M125" s="164"/>
      <c r="N125" s="165"/>
      <c r="O125" s="98"/>
    </row>
    <row r="126" spans="1:15" ht="17.100000000000001" customHeight="1" x14ac:dyDescent="0.25">
      <c r="A126" s="170"/>
      <c r="B126" s="171"/>
      <c r="C126" s="171"/>
      <c r="D126" s="171"/>
      <c r="E126" s="171"/>
      <c r="F126" s="172"/>
      <c r="G126" s="174"/>
      <c r="H126" s="171"/>
      <c r="I126" s="171"/>
      <c r="J126" s="172"/>
      <c r="K126" s="163"/>
      <c r="L126" s="164"/>
      <c r="M126" s="164"/>
      <c r="N126" s="165"/>
      <c r="O126" s="98"/>
    </row>
    <row r="127" spans="1:15" ht="17.100000000000001" customHeight="1" thickBot="1" x14ac:dyDescent="0.3">
      <c r="A127" s="170"/>
      <c r="B127" s="171"/>
      <c r="C127" s="171"/>
      <c r="D127" s="171"/>
      <c r="E127" s="171"/>
      <c r="F127" s="172"/>
      <c r="G127" s="174"/>
      <c r="H127" s="171"/>
      <c r="I127" s="171"/>
      <c r="J127" s="172"/>
      <c r="K127" s="163"/>
      <c r="L127" s="164"/>
      <c r="M127" s="164"/>
      <c r="N127" s="165"/>
      <c r="O127" s="166"/>
    </row>
    <row r="128" spans="1:15" ht="17.100000000000001" customHeight="1" thickBot="1" x14ac:dyDescent="0.3">
      <c r="A128" s="139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1"/>
    </row>
    <row r="129" spans="1:19" ht="17.100000000000001" customHeight="1" x14ac:dyDescent="0.25">
      <c r="A129" s="142" t="s">
        <v>45</v>
      </c>
      <c r="B129" s="103"/>
      <c r="C129" s="103"/>
      <c r="D129" s="104"/>
      <c r="E129" s="143" t="s">
        <v>46</v>
      </c>
      <c r="F129" s="103"/>
      <c r="G129" s="103"/>
      <c r="H129" s="103"/>
      <c r="I129" s="103"/>
      <c r="J129" s="103"/>
      <c r="K129" s="145" t="s">
        <v>47</v>
      </c>
      <c r="L129" s="146"/>
      <c r="M129" s="146"/>
      <c r="N129" s="146"/>
      <c r="O129" s="150" t="s">
        <v>48</v>
      </c>
    </row>
    <row r="130" spans="1:19" ht="17.100000000000001" customHeight="1" x14ac:dyDescent="0.25">
      <c r="A130" s="105"/>
      <c r="B130" s="106"/>
      <c r="C130" s="106"/>
      <c r="D130" s="107"/>
      <c r="E130" s="144"/>
      <c r="F130" s="106"/>
      <c r="G130" s="106"/>
      <c r="H130" s="106"/>
      <c r="I130" s="106"/>
      <c r="J130" s="106"/>
      <c r="K130" s="147"/>
      <c r="L130" s="146"/>
      <c r="M130" s="146"/>
      <c r="N130" s="146"/>
      <c r="O130" s="151"/>
    </row>
    <row r="131" spans="1:19" ht="17.100000000000001" customHeight="1" x14ac:dyDescent="0.25">
      <c r="A131" s="99" t="s">
        <v>49</v>
      </c>
      <c r="B131" s="100"/>
      <c r="C131" s="100"/>
      <c r="D131" s="100"/>
      <c r="E131" s="100"/>
      <c r="F131" s="100"/>
      <c r="G131" s="100"/>
      <c r="H131" s="100"/>
      <c r="I131" s="100"/>
      <c r="J131" s="100"/>
      <c r="K131" s="147"/>
      <c r="L131" s="146"/>
      <c r="M131" s="146"/>
      <c r="N131" s="146"/>
      <c r="O131" s="151"/>
    </row>
    <row r="132" spans="1:19" ht="17.100000000000001" customHeight="1" x14ac:dyDescent="0.25">
      <c r="A132" s="102"/>
      <c r="B132" s="103"/>
      <c r="C132" s="103"/>
      <c r="D132" s="103"/>
      <c r="E132" s="103"/>
      <c r="F132" s="103"/>
      <c r="G132" s="103"/>
      <c r="H132" s="103"/>
      <c r="I132" s="103"/>
      <c r="J132" s="103"/>
      <c r="K132" s="147"/>
      <c r="L132" s="146"/>
      <c r="M132" s="146"/>
      <c r="N132" s="146"/>
      <c r="O132" s="151"/>
    </row>
    <row r="133" spans="1:19" ht="17.100000000000001" customHeight="1" x14ac:dyDescent="0.25">
      <c r="A133" s="102"/>
      <c r="B133" s="103"/>
      <c r="C133" s="103"/>
      <c r="D133" s="103"/>
      <c r="E133" s="103"/>
      <c r="F133" s="103"/>
      <c r="G133" s="103"/>
      <c r="H133" s="103"/>
      <c r="I133" s="103"/>
      <c r="J133" s="103"/>
      <c r="K133" s="147"/>
      <c r="L133" s="146"/>
      <c r="M133" s="146"/>
      <c r="N133" s="146"/>
      <c r="O133" s="151"/>
    </row>
    <row r="134" spans="1:19" ht="17.100000000000001" customHeight="1" x14ac:dyDescent="0.25">
      <c r="A134" s="102"/>
      <c r="B134" s="103"/>
      <c r="C134" s="103"/>
      <c r="D134" s="103"/>
      <c r="E134" s="103"/>
      <c r="F134" s="103"/>
      <c r="G134" s="103"/>
      <c r="H134" s="103"/>
      <c r="I134" s="103"/>
      <c r="J134" s="103"/>
      <c r="K134" s="147"/>
      <c r="L134" s="146"/>
      <c r="M134" s="146"/>
      <c r="N134" s="146"/>
      <c r="O134" s="151"/>
    </row>
    <row r="135" spans="1:19" ht="17.100000000000001" customHeight="1" thickBot="1" x14ac:dyDescent="0.3">
      <c r="A135" s="153"/>
      <c r="B135" s="154"/>
      <c r="C135" s="154"/>
      <c r="D135" s="154"/>
      <c r="E135" s="154"/>
      <c r="F135" s="154"/>
      <c r="G135" s="154"/>
      <c r="H135" s="154"/>
      <c r="I135" s="154"/>
      <c r="J135" s="154"/>
      <c r="K135" s="148"/>
      <c r="L135" s="149"/>
      <c r="M135" s="149"/>
      <c r="N135" s="149"/>
      <c r="O135" s="152"/>
    </row>
    <row r="136" spans="1:19" ht="14.1" customHeight="1" x14ac:dyDescent="0.25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</row>
    <row r="137" spans="1:19" ht="14.1" customHeight="1" x14ac:dyDescent="0.25"/>
    <row r="138" spans="1:19" ht="14.1" customHeight="1" x14ac:dyDescent="0.25"/>
    <row r="139" spans="1:19" ht="14.1" customHeight="1" x14ac:dyDescent="0.25"/>
  </sheetData>
  <sortState xmlns:xlrd2="http://schemas.microsoft.com/office/spreadsheetml/2017/richdata2" ref="A32:N76">
    <sortCondition ref="E32:E76"/>
  </sortState>
  <mergeCells count="83">
    <mergeCell ref="P92:Z94"/>
    <mergeCell ref="E14:E15"/>
    <mergeCell ref="P96:Z98"/>
    <mergeCell ref="A86:N86"/>
    <mergeCell ref="A88:N88"/>
    <mergeCell ref="P89:Z90"/>
    <mergeCell ref="P87:Z87"/>
    <mergeCell ref="A82:N82"/>
    <mergeCell ref="H75:L75"/>
    <mergeCell ref="M75:M76"/>
    <mergeCell ref="F14:F15"/>
    <mergeCell ref="G14:G15"/>
    <mergeCell ref="H14:L14"/>
    <mergeCell ref="M14:M15"/>
    <mergeCell ref="N14:N15"/>
    <mergeCell ref="A14:A15"/>
    <mergeCell ref="A106:N106"/>
    <mergeCell ref="O14:O117"/>
    <mergeCell ref="A29:A30"/>
    <mergeCell ref="B29:B30"/>
    <mergeCell ref="C29:C30"/>
    <mergeCell ref="D29:D30"/>
    <mergeCell ref="E29:E30"/>
    <mergeCell ref="F29:F30"/>
    <mergeCell ref="G29:G30"/>
    <mergeCell ref="B77:F77"/>
    <mergeCell ref="A110:G110"/>
    <mergeCell ref="J110:N110"/>
    <mergeCell ref="A111:N117"/>
    <mergeCell ref="E75:E76"/>
    <mergeCell ref="F75:F76"/>
    <mergeCell ref="G75:G76"/>
    <mergeCell ref="A118:O118"/>
    <mergeCell ref="A119:F119"/>
    <mergeCell ref="G119:J119"/>
    <mergeCell ref="K119:N127"/>
    <mergeCell ref="O119:O127"/>
    <mergeCell ref="A120:F127"/>
    <mergeCell ref="G120:J127"/>
    <mergeCell ref="A136:J136"/>
    <mergeCell ref="K136:S136"/>
    <mergeCell ref="A128:O128"/>
    <mergeCell ref="A129:D130"/>
    <mergeCell ref="E129:J130"/>
    <mergeCell ref="K129:N135"/>
    <mergeCell ref="O129:O135"/>
    <mergeCell ref="A131:J135"/>
    <mergeCell ref="A99:N99"/>
    <mergeCell ref="H29:L29"/>
    <mergeCell ref="M29:M30"/>
    <mergeCell ref="N29:N30"/>
    <mergeCell ref="B31:F31"/>
    <mergeCell ref="A75:A76"/>
    <mergeCell ref="B75:B76"/>
    <mergeCell ref="C75:C76"/>
    <mergeCell ref="D75:D76"/>
    <mergeCell ref="N75:N76"/>
    <mergeCell ref="A91:N91"/>
    <mergeCell ref="A95:N95"/>
    <mergeCell ref="B14:B15"/>
    <mergeCell ref="C14:C15"/>
    <mergeCell ref="D14:D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52" r:id="rId1" display="VALVULA DE DESCARGA EM METAL CROMADO PARA MICTORIO COM ACIONAMENTO POR PRESSAO E FECHAMENTO AUTOMATICO" xr:uid="{00000000-0004-0000-0000-000000000000}"/>
    <hyperlink ref="E43" r:id="rId2" display="VALVULA DE DESCARGA EM METAL CROMADO PARA MICTORIO COM ACIONAMENTO POR PRESSAO E FECHAMENTO AUTOMATICO" xr:uid="{00000000-0004-0000-0000-000001000000}"/>
  </hyperlinks>
  <pageMargins left="0.25" right="0.25" top="0.75" bottom="0.75" header="0.3" footer="0.3"/>
  <pageSetup paperSize="9" scale="53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E61B-1EA2-45A1-B035-87EF00A89F13}">
  <sheetPr>
    <pageSetUpPr fitToPage="1"/>
  </sheetPr>
  <dimension ref="A1:J14"/>
  <sheetViews>
    <sheetView showWhiteSpace="0" topLeftCell="B1" workbookViewId="0">
      <selection activeCell="D30" sqref="D30"/>
    </sheetView>
  </sheetViews>
  <sheetFormatPr defaultRowHeight="14.25" x14ac:dyDescent="0.2"/>
  <cols>
    <col min="1" max="2" width="11.42578125" style="68" bestFit="1" customWidth="1"/>
    <col min="3" max="3" width="15.140625" style="68" bestFit="1" customWidth="1"/>
    <col min="4" max="4" width="68.5703125" style="68" bestFit="1" customWidth="1"/>
    <col min="5" max="5" width="9.140625" style="68" bestFit="1" customWidth="1"/>
    <col min="6" max="10" width="14.85546875" style="68" bestFit="1" customWidth="1"/>
    <col min="11" max="16384" width="9.140625" style="68"/>
  </cols>
  <sheetData>
    <row r="1" spans="1:10" ht="15" x14ac:dyDescent="0.2">
      <c r="A1" s="87"/>
      <c r="B1" s="87"/>
      <c r="C1" s="87"/>
      <c r="D1" s="87" t="s">
        <v>264</v>
      </c>
      <c r="E1" s="192" t="s">
        <v>263</v>
      </c>
      <c r="F1" s="192"/>
      <c r="G1" s="192" t="s">
        <v>262</v>
      </c>
      <c r="H1" s="192"/>
      <c r="I1" s="192" t="s">
        <v>261</v>
      </c>
      <c r="J1" s="192"/>
    </row>
    <row r="2" spans="1:10" ht="80.099999999999994" customHeight="1" x14ac:dyDescent="0.2">
      <c r="A2" s="72"/>
      <c r="B2" s="72"/>
      <c r="C2" s="72"/>
      <c r="D2" s="72" t="s">
        <v>260</v>
      </c>
      <c r="E2" s="193" t="s">
        <v>259</v>
      </c>
      <c r="F2" s="193"/>
      <c r="G2" s="193" t="s">
        <v>258</v>
      </c>
      <c r="H2" s="193"/>
      <c r="I2" s="193" t="s">
        <v>257</v>
      </c>
      <c r="J2" s="193"/>
    </row>
    <row r="3" spans="1:10" ht="15" x14ac:dyDescent="0.25">
      <c r="A3" s="198" t="s">
        <v>256</v>
      </c>
      <c r="B3" s="197"/>
      <c r="C3" s="197"/>
      <c r="D3" s="197"/>
      <c r="E3" s="197"/>
      <c r="F3" s="197"/>
      <c r="G3" s="197"/>
      <c r="H3" s="197"/>
      <c r="I3" s="197"/>
      <c r="J3" s="197"/>
    </row>
    <row r="4" spans="1:10" ht="30" customHeight="1" x14ac:dyDescent="0.2">
      <c r="A4" s="86" t="s">
        <v>255</v>
      </c>
      <c r="B4" s="84" t="s">
        <v>254</v>
      </c>
      <c r="C4" s="86" t="s">
        <v>253</v>
      </c>
      <c r="D4" s="86" t="s">
        <v>252</v>
      </c>
      <c r="E4" s="85" t="s">
        <v>251</v>
      </c>
      <c r="F4" s="84" t="s">
        <v>109</v>
      </c>
      <c r="G4" s="84" t="s">
        <v>250</v>
      </c>
      <c r="H4" s="84" t="s">
        <v>249</v>
      </c>
      <c r="I4" s="84" t="s">
        <v>248</v>
      </c>
      <c r="J4" s="84" t="s">
        <v>247</v>
      </c>
    </row>
    <row r="5" spans="1:10" ht="24" customHeight="1" x14ac:dyDescent="0.2">
      <c r="A5" s="83" t="s">
        <v>246</v>
      </c>
      <c r="B5" s="83" t="s">
        <v>58</v>
      </c>
      <c r="C5" s="83" t="s">
        <v>34</v>
      </c>
      <c r="D5" s="83" t="s">
        <v>59</v>
      </c>
      <c r="E5" s="82" t="s">
        <v>150</v>
      </c>
      <c r="F5" s="81">
        <v>0.16</v>
      </c>
      <c r="G5" s="80">
        <v>32.57</v>
      </c>
      <c r="H5" s="80"/>
      <c r="I5" s="80">
        <v>5.21</v>
      </c>
      <c r="J5" s="79">
        <v>2.5605740403990759E-2</v>
      </c>
    </row>
    <row r="6" spans="1:10" ht="24" customHeight="1" x14ac:dyDescent="0.2">
      <c r="A6" s="83" t="s">
        <v>245</v>
      </c>
      <c r="B6" s="83" t="s">
        <v>244</v>
      </c>
      <c r="C6" s="83" t="s">
        <v>34</v>
      </c>
      <c r="D6" s="83" t="s">
        <v>161</v>
      </c>
      <c r="E6" s="82" t="s">
        <v>150</v>
      </c>
      <c r="F6" s="81">
        <v>0.13500000000000001</v>
      </c>
      <c r="G6" s="80">
        <v>28.17</v>
      </c>
      <c r="H6" s="80"/>
      <c r="I6" s="80">
        <v>3.8</v>
      </c>
      <c r="J6" s="79">
        <v>1.867597188774758E-2</v>
      </c>
    </row>
    <row r="7" spans="1:10" ht="24" customHeight="1" x14ac:dyDescent="0.2">
      <c r="A7" s="83" t="s">
        <v>243</v>
      </c>
      <c r="B7" s="83" t="s">
        <v>242</v>
      </c>
      <c r="C7" s="83" t="s">
        <v>34</v>
      </c>
      <c r="D7" s="83" t="s">
        <v>241</v>
      </c>
      <c r="E7" s="82" t="s">
        <v>150</v>
      </c>
      <c r="F7" s="81">
        <v>0.8</v>
      </c>
      <c r="G7" s="80">
        <v>36.83</v>
      </c>
      <c r="H7" s="80"/>
      <c r="I7" s="80">
        <v>29.46</v>
      </c>
      <c r="J7" s="79">
        <v>0.14478792942448518</v>
      </c>
    </row>
    <row r="8" spans="1:10" ht="78" customHeight="1" x14ac:dyDescent="0.2">
      <c r="A8" s="78" t="s">
        <v>240</v>
      </c>
      <c r="B8" s="78" t="s">
        <v>239</v>
      </c>
      <c r="C8" s="78" t="s">
        <v>105</v>
      </c>
      <c r="D8" s="78" t="s">
        <v>238</v>
      </c>
      <c r="E8" s="77" t="s">
        <v>80</v>
      </c>
      <c r="F8" s="76">
        <v>1</v>
      </c>
      <c r="G8" s="75">
        <v>165</v>
      </c>
      <c r="H8" s="75"/>
      <c r="I8" s="75">
        <v>165</v>
      </c>
      <c r="J8" s="74">
        <v>0.81093035828377646</v>
      </c>
    </row>
    <row r="9" spans="1:10" x14ac:dyDescent="0.2">
      <c r="A9" s="69"/>
      <c r="B9" s="69"/>
      <c r="C9" s="69"/>
      <c r="D9" s="69"/>
      <c r="E9" s="69"/>
      <c r="F9" s="69"/>
      <c r="G9" s="69"/>
      <c r="H9" s="69"/>
      <c r="I9" s="69"/>
      <c r="J9" s="69"/>
    </row>
    <row r="10" spans="1:10" x14ac:dyDescent="0.2">
      <c r="A10" s="194"/>
      <c r="B10" s="194"/>
      <c r="C10" s="194"/>
      <c r="D10" s="73"/>
      <c r="E10" s="71"/>
      <c r="F10" s="193" t="s">
        <v>237</v>
      </c>
      <c r="G10" s="194"/>
      <c r="H10" s="195">
        <v>203.47</v>
      </c>
      <c r="I10" s="194"/>
      <c r="J10" s="194"/>
    </row>
    <row r="11" spans="1:10" x14ac:dyDescent="0.2">
      <c r="A11" s="194"/>
      <c r="B11" s="194"/>
      <c r="C11" s="194"/>
      <c r="D11" s="73"/>
      <c r="E11" s="71"/>
      <c r="F11" s="193"/>
      <c r="G11" s="194"/>
      <c r="H11" s="195"/>
      <c r="I11" s="194"/>
      <c r="J11" s="194"/>
    </row>
    <row r="12" spans="1:10" x14ac:dyDescent="0.2">
      <c r="A12" s="194"/>
      <c r="B12" s="194"/>
      <c r="C12" s="194"/>
      <c r="D12" s="73"/>
      <c r="E12" s="71"/>
      <c r="F12" s="193"/>
      <c r="G12" s="194"/>
      <c r="H12" s="195"/>
      <c r="I12" s="194"/>
      <c r="J12" s="194"/>
    </row>
    <row r="13" spans="1:10" ht="60" customHeight="1" x14ac:dyDescent="0.2">
      <c r="A13" s="70"/>
      <c r="B13" s="70"/>
      <c r="C13" s="70"/>
      <c r="D13" s="70"/>
      <c r="E13" s="70"/>
      <c r="F13" s="70"/>
      <c r="G13" s="70"/>
      <c r="H13" s="70"/>
      <c r="I13" s="70"/>
      <c r="J13" s="70"/>
    </row>
    <row r="14" spans="1:10" ht="69.95" customHeight="1" x14ac:dyDescent="0.2">
      <c r="A14" s="196" t="s">
        <v>236</v>
      </c>
      <c r="B14" s="197"/>
      <c r="C14" s="197"/>
      <c r="D14" s="197"/>
      <c r="E14" s="197"/>
      <c r="F14" s="197"/>
      <c r="G14" s="197"/>
      <c r="H14" s="197"/>
      <c r="I14" s="197"/>
      <c r="J14" s="197"/>
    </row>
  </sheetData>
  <mergeCells count="17">
    <mergeCell ref="A12:C12"/>
    <mergeCell ref="F12:G12"/>
    <mergeCell ref="H12:J12"/>
    <mergeCell ref="A14:J14"/>
    <mergeCell ref="A3:J3"/>
    <mergeCell ref="A10:C10"/>
    <mergeCell ref="F10:G10"/>
    <mergeCell ref="H10:J10"/>
    <mergeCell ref="A11:C11"/>
    <mergeCell ref="F11:G11"/>
    <mergeCell ref="H11:J11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&amp;CFundação Universidade Federal de São Carlos
CNPJ: 45.358.058/0001-40 &amp;R</oddHeader>
    <oddFooter>&amp;L &amp;CRodovia Washington Luiz - SP 310 - km 235  - Jardim Guanabara - São Carlos / SP
 /  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J50"/>
  <sheetViews>
    <sheetView topLeftCell="A29" workbookViewId="0">
      <selection activeCell="G51" sqref="G51"/>
    </sheetView>
  </sheetViews>
  <sheetFormatPr defaultRowHeight="15" x14ac:dyDescent="0.25"/>
  <cols>
    <col min="4" max="8" width="18.7109375" customWidth="1"/>
    <col min="9" max="9" width="26.42578125" bestFit="1" customWidth="1"/>
  </cols>
  <sheetData>
    <row r="2" spans="4:9" x14ac:dyDescent="0.25">
      <c r="D2" s="50"/>
      <c r="E2" s="199" t="s">
        <v>113</v>
      </c>
      <c r="F2" s="199"/>
      <c r="G2" s="199"/>
      <c r="H2" s="199"/>
    </row>
    <row r="3" spans="4:9" x14ac:dyDescent="0.25">
      <c r="D3" s="51" t="s">
        <v>108</v>
      </c>
      <c r="E3" s="51" t="s">
        <v>109</v>
      </c>
      <c r="F3" s="51" t="s">
        <v>110</v>
      </c>
      <c r="G3" s="51" t="s">
        <v>111</v>
      </c>
      <c r="H3" s="51" t="s">
        <v>80</v>
      </c>
      <c r="I3" s="51" t="s">
        <v>137</v>
      </c>
    </row>
    <row r="4" spans="4:9" x14ac:dyDescent="0.25">
      <c r="D4" s="50" t="s">
        <v>127</v>
      </c>
      <c r="E4" s="50">
        <v>1</v>
      </c>
      <c r="F4" s="50">
        <v>50</v>
      </c>
      <c r="G4" s="50">
        <v>21</v>
      </c>
      <c r="H4" s="50">
        <f>E4*F4*G4/10000</f>
        <v>0.105</v>
      </c>
      <c r="I4" s="50"/>
    </row>
    <row r="5" spans="4:9" x14ac:dyDescent="0.25">
      <c r="D5" s="50" t="s">
        <v>128</v>
      </c>
      <c r="E5" s="50">
        <v>3</v>
      </c>
      <c r="F5" s="50">
        <v>75</v>
      </c>
      <c r="G5" s="50">
        <v>18</v>
      </c>
      <c r="H5" s="50">
        <f t="shared" ref="H5:H22" si="0">E5*F5*G5/10000</f>
        <v>0.40500000000000003</v>
      </c>
      <c r="I5" s="50"/>
    </row>
    <row r="6" spans="4:9" x14ac:dyDescent="0.25">
      <c r="D6" s="50" t="s">
        <v>129</v>
      </c>
      <c r="E6" s="50">
        <v>2</v>
      </c>
      <c r="F6" s="50">
        <v>86</v>
      </c>
      <c r="G6" s="50">
        <v>25</v>
      </c>
      <c r="H6" s="50">
        <f t="shared" si="0"/>
        <v>0.43</v>
      </c>
      <c r="I6" s="50" t="s">
        <v>130</v>
      </c>
    </row>
    <row r="7" spans="4:9" x14ac:dyDescent="0.25">
      <c r="D7" s="50" t="s">
        <v>131</v>
      </c>
      <c r="E7" s="50">
        <v>1</v>
      </c>
      <c r="F7" s="50">
        <v>66</v>
      </c>
      <c r="G7" s="50">
        <v>20</v>
      </c>
      <c r="H7" s="50">
        <f t="shared" si="0"/>
        <v>0.13200000000000001</v>
      </c>
      <c r="I7" s="50"/>
    </row>
    <row r="8" spans="4:9" x14ac:dyDescent="0.25">
      <c r="D8" s="50" t="s">
        <v>132</v>
      </c>
      <c r="E8" s="50">
        <v>1</v>
      </c>
      <c r="F8" s="50">
        <v>69</v>
      </c>
      <c r="G8" s="50">
        <v>71</v>
      </c>
      <c r="H8" s="50">
        <f t="shared" si="0"/>
        <v>0.4899</v>
      </c>
      <c r="I8" s="50"/>
    </row>
    <row r="9" spans="4:9" x14ac:dyDescent="0.25">
      <c r="D9" s="50" t="s">
        <v>133</v>
      </c>
      <c r="E9" s="50">
        <v>3</v>
      </c>
      <c r="F9" s="50">
        <v>115</v>
      </c>
      <c r="G9" s="50">
        <v>80</v>
      </c>
      <c r="H9" s="50">
        <f t="shared" si="0"/>
        <v>2.76</v>
      </c>
      <c r="I9" s="50" t="s">
        <v>134</v>
      </c>
    </row>
    <row r="10" spans="4:9" x14ac:dyDescent="0.25">
      <c r="D10" s="50" t="s">
        <v>133</v>
      </c>
      <c r="E10" s="50">
        <v>2</v>
      </c>
      <c r="F10" s="50">
        <v>78</v>
      </c>
      <c r="G10" s="50">
        <v>87</v>
      </c>
      <c r="H10" s="50">
        <f t="shared" si="0"/>
        <v>1.3572</v>
      </c>
      <c r="I10" s="50" t="s">
        <v>134</v>
      </c>
    </row>
    <row r="11" spans="4:9" x14ac:dyDescent="0.25">
      <c r="D11" s="50" t="s">
        <v>135</v>
      </c>
      <c r="E11" s="50">
        <v>1</v>
      </c>
      <c r="F11" s="50">
        <v>40</v>
      </c>
      <c r="G11" s="50">
        <v>88</v>
      </c>
      <c r="H11" s="50">
        <f t="shared" si="0"/>
        <v>0.35199999999999998</v>
      </c>
      <c r="I11" s="50" t="s">
        <v>136</v>
      </c>
    </row>
    <row r="12" spans="4:9" x14ac:dyDescent="0.25">
      <c r="D12" s="50" t="s">
        <v>138</v>
      </c>
      <c r="E12" s="50">
        <v>6</v>
      </c>
      <c r="F12" s="50">
        <v>60.5</v>
      </c>
      <c r="G12" s="50">
        <v>18</v>
      </c>
      <c r="H12" s="50">
        <f t="shared" si="0"/>
        <v>0.65339999999999998</v>
      </c>
      <c r="I12" s="50" t="s">
        <v>139</v>
      </c>
    </row>
    <row r="13" spans="4:9" x14ac:dyDescent="0.25">
      <c r="D13" s="50" t="s">
        <v>138</v>
      </c>
      <c r="E13" s="50">
        <v>3</v>
      </c>
      <c r="F13" s="50">
        <v>19</v>
      </c>
      <c r="G13" s="50">
        <v>19</v>
      </c>
      <c r="H13" s="50">
        <f t="shared" si="0"/>
        <v>0.10829999999999999</v>
      </c>
      <c r="I13" s="50"/>
    </row>
    <row r="14" spans="4:9" x14ac:dyDescent="0.25">
      <c r="D14" s="50" t="s">
        <v>138</v>
      </c>
      <c r="E14" s="50">
        <v>2</v>
      </c>
      <c r="F14" s="50">
        <v>63</v>
      </c>
      <c r="G14" s="50">
        <v>18.5</v>
      </c>
      <c r="H14" s="50">
        <f t="shared" si="0"/>
        <v>0.2331</v>
      </c>
      <c r="I14" s="50"/>
    </row>
    <row r="15" spans="4:9" x14ac:dyDescent="0.25">
      <c r="D15" s="50" t="s">
        <v>138</v>
      </c>
      <c r="E15" s="50">
        <v>2</v>
      </c>
      <c r="F15" s="50">
        <v>67</v>
      </c>
      <c r="G15" s="50">
        <v>17.5</v>
      </c>
      <c r="H15" s="50">
        <f t="shared" si="0"/>
        <v>0.23449999999999999</v>
      </c>
      <c r="I15" s="50"/>
    </row>
    <row r="16" spans="4:9" x14ac:dyDescent="0.25">
      <c r="D16" s="50" t="s">
        <v>138</v>
      </c>
      <c r="E16" s="50">
        <v>1</v>
      </c>
      <c r="F16" s="50">
        <v>86.5</v>
      </c>
      <c r="G16" s="50">
        <v>17.5</v>
      </c>
      <c r="H16" s="50">
        <f t="shared" si="0"/>
        <v>0.15137500000000001</v>
      </c>
      <c r="I16" s="50"/>
    </row>
    <row r="17" spans="4:10" x14ac:dyDescent="0.25">
      <c r="D17" s="50" t="s">
        <v>138</v>
      </c>
      <c r="E17" s="50">
        <v>1</v>
      </c>
      <c r="F17" s="50">
        <v>62.5</v>
      </c>
      <c r="G17" s="50">
        <v>18</v>
      </c>
      <c r="H17" s="50">
        <f t="shared" si="0"/>
        <v>0.1125</v>
      </c>
      <c r="I17" s="50"/>
    </row>
    <row r="18" spans="4:10" x14ac:dyDescent="0.25">
      <c r="D18" s="50" t="s">
        <v>138</v>
      </c>
      <c r="E18" s="50">
        <v>1</v>
      </c>
      <c r="F18" s="50">
        <v>57</v>
      </c>
      <c r="G18" s="50">
        <v>18</v>
      </c>
      <c r="H18" s="50">
        <f t="shared" si="0"/>
        <v>0.1026</v>
      </c>
      <c r="I18" s="50"/>
    </row>
    <row r="19" spans="4:10" x14ac:dyDescent="0.25">
      <c r="D19" s="50" t="s">
        <v>138</v>
      </c>
      <c r="E19" s="50">
        <v>1</v>
      </c>
      <c r="F19" s="50">
        <v>87</v>
      </c>
      <c r="G19" s="50">
        <v>22.5</v>
      </c>
      <c r="H19" s="50">
        <f t="shared" si="0"/>
        <v>0.19575000000000001</v>
      </c>
      <c r="I19" s="50"/>
    </row>
    <row r="20" spans="4:10" x14ac:dyDescent="0.25">
      <c r="D20" s="50" t="s">
        <v>138</v>
      </c>
      <c r="E20" s="50">
        <v>1</v>
      </c>
      <c r="F20" s="50">
        <v>49</v>
      </c>
      <c r="G20" s="50">
        <v>21</v>
      </c>
      <c r="H20" s="50">
        <f t="shared" si="0"/>
        <v>0.10290000000000001</v>
      </c>
      <c r="I20" s="50"/>
    </row>
    <row r="21" spans="4:10" x14ac:dyDescent="0.25">
      <c r="D21" s="50" t="s">
        <v>138</v>
      </c>
      <c r="E21" s="50">
        <v>1</v>
      </c>
      <c r="F21" s="50">
        <v>49</v>
      </c>
      <c r="G21" s="50">
        <v>19</v>
      </c>
      <c r="H21" s="50">
        <f t="shared" si="0"/>
        <v>9.3100000000000002E-2</v>
      </c>
      <c r="I21" s="50"/>
    </row>
    <row r="22" spans="4:10" x14ac:dyDescent="0.25">
      <c r="D22" s="50" t="s">
        <v>140</v>
      </c>
      <c r="E22" s="50">
        <v>2</v>
      </c>
      <c r="F22" s="50">
        <v>75</v>
      </c>
      <c r="G22" s="50">
        <v>15.5</v>
      </c>
      <c r="H22" s="50">
        <f t="shared" si="0"/>
        <v>0.23250000000000001</v>
      </c>
      <c r="I22" s="50"/>
    </row>
    <row r="23" spans="4:10" x14ac:dyDescent="0.25">
      <c r="D23" s="200" t="s">
        <v>112</v>
      </c>
      <c r="E23" s="201"/>
      <c r="F23" s="201"/>
      <c r="G23" s="202"/>
      <c r="H23" s="52">
        <f>SUM(H4:H22)</f>
        <v>8.251125</v>
      </c>
    </row>
    <row r="26" spans="4:10" x14ac:dyDescent="0.25">
      <c r="F26">
        <v>3.7</v>
      </c>
      <c r="G26">
        <v>2</v>
      </c>
      <c r="H26">
        <f>G26*F26</f>
        <v>7.4</v>
      </c>
      <c r="I26">
        <v>9.15</v>
      </c>
      <c r="J26">
        <v>41.14</v>
      </c>
    </row>
    <row r="27" spans="4:10" x14ac:dyDescent="0.25">
      <c r="H27">
        <f>G27*F27</f>
        <v>0</v>
      </c>
      <c r="I27">
        <v>9.15</v>
      </c>
      <c r="J27">
        <v>41.14</v>
      </c>
    </row>
    <row r="28" spans="4:10" x14ac:dyDescent="0.25">
      <c r="E28">
        <v>2</v>
      </c>
      <c r="F28">
        <v>3.4</v>
      </c>
      <c r="G28">
        <v>3.7</v>
      </c>
      <c r="H28">
        <f>G28*F28*E28</f>
        <v>25.16</v>
      </c>
      <c r="I28">
        <v>9.15</v>
      </c>
      <c r="J28">
        <v>41.14</v>
      </c>
    </row>
    <row r="29" spans="4:10" x14ac:dyDescent="0.25">
      <c r="E29">
        <v>1</v>
      </c>
      <c r="F29">
        <v>3.4</v>
      </c>
      <c r="G29">
        <v>2</v>
      </c>
      <c r="H29">
        <f>G29*F29*E29</f>
        <v>6.8</v>
      </c>
      <c r="I29">
        <v>11.59</v>
      </c>
      <c r="J29">
        <v>41.14</v>
      </c>
    </row>
    <row r="30" spans="4:10" x14ac:dyDescent="0.25">
      <c r="I30">
        <v>9.15</v>
      </c>
      <c r="J30">
        <v>41.14</v>
      </c>
    </row>
    <row r="31" spans="4:10" x14ac:dyDescent="0.25">
      <c r="H31">
        <f>SUM(H28:H29)</f>
        <v>31.96</v>
      </c>
      <c r="I31">
        <v>9.15</v>
      </c>
      <c r="J31">
        <v>41.14</v>
      </c>
    </row>
    <row r="32" spans="4:10" x14ac:dyDescent="0.25">
      <c r="I32">
        <v>25.85</v>
      </c>
      <c r="J32">
        <v>69.36</v>
      </c>
    </row>
    <row r="33" spans="6:10" x14ac:dyDescent="0.25">
      <c r="I33">
        <v>36.520000000000003</v>
      </c>
      <c r="J33">
        <v>95.04</v>
      </c>
    </row>
    <row r="34" spans="6:10" x14ac:dyDescent="0.25">
      <c r="I34">
        <v>18</v>
      </c>
      <c r="J34">
        <v>39.78</v>
      </c>
    </row>
    <row r="35" spans="6:10" x14ac:dyDescent="0.25">
      <c r="I35">
        <v>20</v>
      </c>
      <c r="J35">
        <v>74.8</v>
      </c>
    </row>
    <row r="36" spans="6:10" x14ac:dyDescent="0.25">
      <c r="I36">
        <v>7.4</v>
      </c>
      <c r="J36">
        <v>31.96</v>
      </c>
    </row>
    <row r="37" spans="6:10" x14ac:dyDescent="0.25">
      <c r="I37">
        <f>SUM(I26:I36)</f>
        <v>165.11</v>
      </c>
      <c r="J37">
        <f>SUM(J26:J36)</f>
        <v>557.78</v>
      </c>
    </row>
    <row r="39" spans="6:10" x14ac:dyDescent="0.25">
      <c r="F39">
        <v>180</v>
      </c>
    </row>
    <row r="40" spans="6:10" x14ac:dyDescent="0.25">
      <c r="F40">
        <v>6505.95</v>
      </c>
    </row>
    <row r="41" spans="6:10" x14ac:dyDescent="0.25">
      <c r="F41">
        <v>1357.66</v>
      </c>
    </row>
    <row r="42" spans="6:10" x14ac:dyDescent="0.25">
      <c r="F42">
        <v>3042.83</v>
      </c>
    </row>
    <row r="43" spans="6:10" x14ac:dyDescent="0.25">
      <c r="F43">
        <v>4923.3599999999997</v>
      </c>
    </row>
    <row r="44" spans="6:10" x14ac:dyDescent="0.25">
      <c r="F44">
        <v>1352</v>
      </c>
    </row>
    <row r="49" spans="6:7" x14ac:dyDescent="0.25">
      <c r="F49">
        <f>SUM(F39:F48)</f>
        <v>17361.8</v>
      </c>
    </row>
    <row r="50" spans="6:7" x14ac:dyDescent="0.25">
      <c r="G50">
        <f>F49/22951</f>
        <v>0.7564724848590475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E24BBA4-7BB4-4210-8FA1-C7EAB5AF550C}"/>
</file>

<file path=customXml/itemProps2.xml><?xml version="1.0" encoding="utf-8"?>
<ds:datastoreItem xmlns:ds="http://schemas.openxmlformats.org/officeDocument/2006/customXml" ds:itemID="{8D3CFAB5-FEA7-4CF6-9F6C-151828FF32B1}"/>
</file>

<file path=customXml/itemProps3.xml><?xml version="1.0" encoding="utf-8"?>
<ds:datastoreItem xmlns:ds="http://schemas.openxmlformats.org/officeDocument/2006/customXml" ds:itemID="{2A07E3C1-4D7F-41A3-B6ED-7543AAB641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São Carlos</vt:lpstr>
      <vt:lpstr>Toldos</vt:lpstr>
      <vt:lpstr>Vidros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2025-03-21T13:35:25Z</cp:lastPrinted>
  <dcterms:created xsi:type="dcterms:W3CDTF">2022-01-02T19:12:46Z</dcterms:created>
  <dcterms:modified xsi:type="dcterms:W3CDTF">2025-03-21T13:38:22Z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