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42-Novembro-25\"/>
    </mc:Choice>
  </mc:AlternateContent>
  <bookViews>
    <workbookView xWindow="0" yWindow="0" windowWidth="28776" windowHeight="12060"/>
  </bookViews>
  <sheets>
    <sheet name="São Carlos" sheetId="1" r:id="rId1"/>
    <sheet name="GRADES" sheetId="2" r:id="rId2"/>
  </sheets>
  <definedNames>
    <definedName name="_xlnm.Print_Area" localSheetId="0">'São Carlos'!$A$1:$O$131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1" l="1"/>
  <c r="J25" i="1" s="1"/>
  <c r="K25" i="1" l="1"/>
  <c r="L25" i="1"/>
  <c r="M25" i="1" s="1"/>
  <c r="M84" i="1"/>
  <c r="I92" i="1" l="1"/>
  <c r="J92" i="1" s="1"/>
  <c r="I91" i="1"/>
  <c r="J91" i="1" s="1"/>
  <c r="I90" i="1"/>
  <c r="J90" i="1" s="1"/>
  <c r="I103" i="1"/>
  <c r="J103" i="1" s="1"/>
  <c r="K103" i="1" s="1"/>
  <c r="I102" i="1"/>
  <c r="J102" i="1" s="1"/>
  <c r="I100" i="1"/>
  <c r="J100" i="1" s="1"/>
  <c r="I99" i="1"/>
  <c r="J99" i="1" s="1"/>
  <c r="I98" i="1"/>
  <c r="J98" i="1" s="1"/>
  <c r="I97" i="1"/>
  <c r="J97" i="1" s="1"/>
  <c r="G88" i="1"/>
  <c r="G75" i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56" i="1"/>
  <c r="J56" i="1" s="1"/>
  <c r="I57" i="1"/>
  <c r="J57" i="1" s="1"/>
  <c r="K57" i="1" s="1"/>
  <c r="I58" i="1"/>
  <c r="J58" i="1" s="1"/>
  <c r="K58" i="1" s="1"/>
  <c r="I59" i="1"/>
  <c r="J59" i="1" s="1"/>
  <c r="K59" i="1" s="1"/>
  <c r="I60" i="1"/>
  <c r="J60" i="1" s="1"/>
  <c r="I61" i="1"/>
  <c r="J61" i="1" s="1"/>
  <c r="K61" i="1" s="1"/>
  <c r="I62" i="1"/>
  <c r="J62" i="1" s="1"/>
  <c r="K62" i="1" s="1"/>
  <c r="I63" i="1"/>
  <c r="J63" i="1" s="1"/>
  <c r="K63" i="1" s="1"/>
  <c r="K90" i="1" l="1"/>
  <c r="L90" i="1" s="1"/>
  <c r="M90" i="1" s="1"/>
  <c r="K91" i="1"/>
  <c r="L91" i="1" s="1"/>
  <c r="M91" i="1" s="1"/>
  <c r="K92" i="1"/>
  <c r="L92" i="1" s="1"/>
  <c r="M92" i="1" s="1"/>
  <c r="K102" i="1"/>
  <c r="L102" i="1" s="1"/>
  <c r="M102" i="1" s="1"/>
  <c r="L103" i="1"/>
  <c r="M103" i="1" s="1"/>
  <c r="K98" i="1"/>
  <c r="L98" i="1" s="1"/>
  <c r="M98" i="1" s="1"/>
  <c r="K99" i="1"/>
  <c r="L99" i="1" s="1"/>
  <c r="M99" i="1" s="1"/>
  <c r="K100" i="1"/>
  <c r="L100" i="1" s="1"/>
  <c r="M100" i="1" s="1"/>
  <c r="K97" i="1"/>
  <c r="L97" i="1" s="1"/>
  <c r="M97" i="1" s="1"/>
  <c r="K75" i="1"/>
  <c r="L75" i="1" s="1"/>
  <c r="M75" i="1" s="1"/>
  <c r="K74" i="1"/>
  <c r="L74" i="1" s="1"/>
  <c r="M74" i="1" s="1"/>
  <c r="K73" i="1"/>
  <c r="L73" i="1" s="1"/>
  <c r="M73" i="1" s="1"/>
  <c r="K72" i="1"/>
  <c r="L72" i="1" s="1"/>
  <c r="M72" i="1" s="1"/>
  <c r="K71" i="1"/>
  <c r="L71" i="1" s="1"/>
  <c r="M71" i="1" s="1"/>
  <c r="K70" i="1"/>
  <c r="L70" i="1" s="1"/>
  <c r="M70" i="1" s="1"/>
  <c r="K69" i="1"/>
  <c r="L69" i="1" s="1"/>
  <c r="M69" i="1" s="1"/>
  <c r="K68" i="1"/>
  <c r="L68" i="1" s="1"/>
  <c r="M68" i="1" s="1"/>
  <c r="K67" i="1"/>
  <c r="L67" i="1" s="1"/>
  <c r="M67" i="1" s="1"/>
  <c r="K66" i="1"/>
  <c r="L66" i="1" s="1"/>
  <c r="M66" i="1" s="1"/>
  <c r="K65" i="1"/>
  <c r="L65" i="1" s="1"/>
  <c r="M65" i="1" s="1"/>
  <c r="K64" i="1"/>
  <c r="L64" i="1" s="1"/>
  <c r="M64" i="1" s="1"/>
  <c r="K60" i="1"/>
  <c r="L60" i="1" s="1"/>
  <c r="M60" i="1" s="1"/>
  <c r="K56" i="1"/>
  <c r="L56" i="1" s="1"/>
  <c r="M56" i="1" s="1"/>
  <c r="L58" i="1"/>
  <c r="M58" i="1" s="1"/>
  <c r="L62" i="1"/>
  <c r="M62" i="1" s="1"/>
  <c r="L63" i="1"/>
  <c r="M63" i="1" s="1"/>
  <c r="L61" i="1"/>
  <c r="M61" i="1" s="1"/>
  <c r="L59" i="1"/>
  <c r="M59" i="1" s="1"/>
  <c r="L57" i="1"/>
  <c r="M57" i="1" s="1"/>
  <c r="I55" i="1"/>
  <c r="J55" i="1" s="1"/>
  <c r="I54" i="1"/>
  <c r="J54" i="1" s="1"/>
  <c r="I53" i="1"/>
  <c r="J53" i="1" s="1"/>
  <c r="G85" i="1"/>
  <c r="G52" i="1"/>
  <c r="I52" i="1"/>
  <c r="J52" i="1" s="1"/>
  <c r="I51" i="1"/>
  <c r="J51" i="1" s="1"/>
  <c r="I49" i="1"/>
  <c r="J49" i="1" s="1"/>
  <c r="K49" i="1" s="1"/>
  <c r="I50" i="1"/>
  <c r="J50" i="1" s="1"/>
  <c r="K50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G42" i="1"/>
  <c r="I42" i="1"/>
  <c r="J42" i="1" s="1"/>
  <c r="I41" i="1"/>
  <c r="J41" i="1" s="1"/>
  <c r="I40" i="1"/>
  <c r="J40" i="1" s="1"/>
  <c r="G39" i="1"/>
  <c r="I39" i="1"/>
  <c r="J39" i="1" s="1"/>
  <c r="I38" i="1"/>
  <c r="J38" i="1" s="1"/>
  <c r="G38" i="1"/>
  <c r="I37" i="1"/>
  <c r="J37" i="1" s="1"/>
  <c r="G37" i="1"/>
  <c r="N69" i="1" l="1"/>
  <c r="N67" i="1"/>
  <c r="N65" i="1"/>
  <c r="N68" i="1"/>
  <c r="K46" i="1"/>
  <c r="L46" i="1" s="1"/>
  <c r="M46" i="1" s="1"/>
  <c r="L49" i="1"/>
  <c r="M49" i="1" s="1"/>
  <c r="K55" i="1"/>
  <c r="L55" i="1" s="1"/>
  <c r="M55" i="1" s="1"/>
  <c r="K54" i="1"/>
  <c r="L54" i="1" s="1"/>
  <c r="M54" i="1" s="1"/>
  <c r="K53" i="1"/>
  <c r="L53" i="1" s="1"/>
  <c r="M53" i="1" s="1"/>
  <c r="K52" i="1"/>
  <c r="L52" i="1" s="1"/>
  <c r="M52" i="1" s="1"/>
  <c r="K51" i="1"/>
  <c r="L51" i="1" s="1"/>
  <c r="M51" i="1" s="1"/>
  <c r="L50" i="1"/>
  <c r="M50" i="1" s="1"/>
  <c r="K47" i="1"/>
  <c r="L47" i="1" s="1"/>
  <c r="M47" i="1" s="1"/>
  <c r="K48" i="1"/>
  <c r="L48" i="1" s="1"/>
  <c r="M48" i="1" s="1"/>
  <c r="K45" i="1"/>
  <c r="L45" i="1" s="1"/>
  <c r="M45" i="1" s="1"/>
  <c r="K44" i="1"/>
  <c r="L44" i="1" s="1"/>
  <c r="M44" i="1" s="1"/>
  <c r="K43" i="1"/>
  <c r="L43" i="1" s="1"/>
  <c r="M43" i="1" s="1"/>
  <c r="K42" i="1"/>
  <c r="L42" i="1" s="1"/>
  <c r="M42" i="1" s="1"/>
  <c r="K41" i="1"/>
  <c r="L41" i="1" s="1"/>
  <c r="M41" i="1" s="1"/>
  <c r="K40" i="1"/>
  <c r="L40" i="1" s="1"/>
  <c r="M40" i="1" s="1"/>
  <c r="K39" i="1"/>
  <c r="L39" i="1" s="1"/>
  <c r="M39" i="1" s="1"/>
  <c r="K38" i="1"/>
  <c r="L38" i="1" s="1"/>
  <c r="M38" i="1" s="1"/>
  <c r="K37" i="1"/>
  <c r="L37" i="1" s="1"/>
  <c r="M37" i="1" s="1"/>
  <c r="N48" i="1" l="1"/>
  <c r="N45" i="1"/>
  <c r="N46" i="1"/>
  <c r="N39" i="1"/>
  <c r="N47" i="1"/>
  <c r="N38" i="1"/>
  <c r="N52" i="1"/>
  <c r="N49" i="1"/>
  <c r="N53" i="1"/>
  <c r="N40" i="1"/>
  <c r="N44" i="1"/>
  <c r="N50" i="1"/>
  <c r="N54" i="1"/>
  <c r="N51" i="1"/>
  <c r="N42" i="1"/>
  <c r="I95" i="1" l="1"/>
  <c r="J95" i="1" s="1"/>
  <c r="I94" i="1"/>
  <c r="J94" i="1" s="1"/>
  <c r="K94" i="1" s="1"/>
  <c r="I88" i="1"/>
  <c r="J88" i="1" s="1"/>
  <c r="I87" i="1"/>
  <c r="J87" i="1" s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4" i="2"/>
  <c r="I85" i="1"/>
  <c r="J85" i="1" s="1"/>
  <c r="K95" i="1" l="1"/>
  <c r="L95" i="1" s="1"/>
  <c r="M95" i="1" s="1"/>
  <c r="L94" i="1"/>
  <c r="M94" i="1" s="1"/>
  <c r="K88" i="1"/>
  <c r="L88" i="1" s="1"/>
  <c r="M88" i="1" s="1"/>
  <c r="K87" i="1"/>
  <c r="L87" i="1" s="1"/>
  <c r="M87" i="1" s="1"/>
  <c r="K85" i="1"/>
  <c r="L85" i="1" s="1"/>
  <c r="M85" i="1" s="1"/>
  <c r="I33" i="1" l="1"/>
  <c r="J33" i="1" s="1"/>
  <c r="I32" i="1"/>
  <c r="J32" i="1" s="1"/>
  <c r="I31" i="1"/>
  <c r="J31" i="1" s="1"/>
  <c r="I30" i="1"/>
  <c r="J30" i="1" s="1"/>
  <c r="K33" i="1" l="1"/>
  <c r="L33" i="1" s="1"/>
  <c r="M33" i="1" s="1"/>
  <c r="K30" i="1"/>
  <c r="L30" i="1" s="1"/>
  <c r="M30" i="1" s="1"/>
  <c r="K31" i="1"/>
  <c r="L31" i="1" s="1"/>
  <c r="M31" i="1" s="1"/>
  <c r="K32" i="1"/>
  <c r="L32" i="1" s="1"/>
  <c r="M32" i="1" s="1"/>
  <c r="N71" i="1" l="1"/>
  <c r="N72" i="1"/>
  <c r="N73" i="1"/>
  <c r="N75" i="1"/>
  <c r="N74" i="1"/>
  <c r="N66" i="1"/>
  <c r="N70" i="1"/>
  <c r="N62" i="1"/>
  <c r="N58" i="1"/>
  <c r="N57" i="1"/>
  <c r="N61" i="1"/>
  <c r="N63" i="1"/>
  <c r="N64" i="1"/>
  <c r="N56" i="1"/>
  <c r="N59" i="1"/>
  <c r="N60" i="1"/>
  <c r="N41" i="1"/>
  <c r="N55" i="1"/>
  <c r="N43" i="1"/>
  <c r="H22" i="2"/>
  <c r="H21" i="2"/>
  <c r="H23" i="2" l="1"/>
  <c r="N85" i="1" l="1"/>
  <c r="M36" i="1"/>
  <c r="N37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6" i="1"/>
  <c r="J26" i="1" s="1"/>
  <c r="I27" i="1"/>
  <c r="J27" i="1" s="1"/>
  <c r="K27" i="1" s="1"/>
  <c r="I28" i="1"/>
  <c r="J28" i="1" s="1"/>
  <c r="I29" i="1"/>
  <c r="J29" i="1" s="1"/>
  <c r="K29" i="1" s="1"/>
  <c r="K23" i="1" l="1"/>
  <c r="L23" i="1" s="1"/>
  <c r="M23" i="1" s="1"/>
  <c r="K26" i="1"/>
  <c r="L26" i="1" s="1"/>
  <c r="M26" i="1" s="1"/>
  <c r="K28" i="1"/>
  <c r="L28" i="1" s="1"/>
  <c r="M28" i="1" s="1"/>
  <c r="K19" i="1"/>
  <c r="L19" i="1" s="1"/>
  <c r="M19" i="1" s="1"/>
  <c r="K21" i="1"/>
  <c r="L21" i="1" s="1"/>
  <c r="M21" i="1" s="1"/>
  <c r="L29" i="1"/>
  <c r="M29" i="1" s="1"/>
  <c r="L27" i="1"/>
  <c r="M27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M16" i="1" l="1"/>
  <c r="N25" i="1" s="1"/>
  <c r="L17" i="1"/>
  <c r="M17" i="1" s="1"/>
  <c r="N92" i="1" l="1"/>
  <c r="N91" i="1"/>
  <c r="N90" i="1"/>
  <c r="N97" i="1"/>
  <c r="N100" i="1"/>
  <c r="N99" i="1"/>
  <c r="N98" i="1"/>
  <c r="N94" i="1"/>
  <c r="N95" i="1"/>
  <c r="N87" i="1"/>
  <c r="N88" i="1"/>
  <c r="N32" i="1"/>
  <c r="N30" i="1"/>
  <c r="N31" i="1"/>
  <c r="N33" i="1"/>
  <c r="N19" i="1"/>
  <c r="N18" i="1"/>
  <c r="N23" i="1"/>
  <c r="N21" i="1"/>
  <c r="N27" i="1"/>
  <c r="N20" i="1"/>
  <c r="N28" i="1"/>
  <c r="N26" i="1"/>
  <c r="N24" i="1"/>
  <c r="N29" i="1"/>
  <c r="N22" i="1"/>
  <c r="N17" i="1"/>
  <c r="J106" i="1"/>
  <c r="N16" i="1" l="1"/>
</calcChain>
</file>

<file path=xl/sharedStrings.xml><?xml version="1.0" encoding="utf-8"?>
<sst xmlns="http://schemas.openxmlformats.org/spreadsheetml/2006/main" count="452" uniqueCount="213">
  <si>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</si>
  <si>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</si>
  <si>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</si>
  <si>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</si>
  <si>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</si>
  <si>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</si>
  <si>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</si>
  <si>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</si>
  <si>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</si>
  <si>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</si>
  <si>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</si>
  <si>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</si>
  <si>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</si>
  <si>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</si>
  <si>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</si>
  <si>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</si>
  <si>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</si>
  <si>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</si>
  <si>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</si>
  <si>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</si>
  <si>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</si>
  <si>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</si>
  <si>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</si>
  <si>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</si>
  <si>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</si>
  <si>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</si>
  <si>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</si>
  <si>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</si>
  <si>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</si>
  <si>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</si>
  <si>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</si>
  <si>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</si>
  <si>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</si>
  <si>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</si>
  <si>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</si>
  <si>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</si>
  <si>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</si>
  <si>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</si>
  <si>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</si>
  <si>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</si>
  <si>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</si>
  <si>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</si>
  <si>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</si>
  <si>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</si>
  <si>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</si>
  <si>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</si>
  <si>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</si>
  <si>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</si>
  <si>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</si>
  <si>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</si>
  <si>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</si>
  <si>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</si>
  <si>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</si>
  <si>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</si>
  <si>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</si>
  <si>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</si>
  <si>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</si>
  <si>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</si>
  <si>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</si>
  <si>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</si>
  <si>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</si>
  <si>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</si>
  <si>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</si>
  <si>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</si>
  <si>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</si>
  <si>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</si>
  <si>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</si>
  <si>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</si>
  <si>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</si>
  <si>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</si>
  <si>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</si>
  <si>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</si>
  <si>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</si>
  <si>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</si>
  <si>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</si>
  <si>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</si>
  <si>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</si>
  <si>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</si>
  <si>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</si>
  <si>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</si>
  <si>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3.4</t>
  </si>
  <si>
    <t>Insumos</t>
  </si>
  <si>
    <t>2.9</t>
  </si>
  <si>
    <r>
      <t xml:space="preserve">Data Orçamento: </t>
    </r>
    <r>
      <rPr>
        <sz val="8"/>
        <color rgb="FFFF0000"/>
        <rFont val="Arial"/>
        <family val="2"/>
      </rPr>
      <t>Jun/22</t>
    </r>
  </si>
  <si>
    <r>
      <t xml:space="preserve">Mês de referência: </t>
    </r>
    <r>
      <rPr>
        <sz val="8"/>
        <color rgb="FFFF0000"/>
        <rFont val="Arial"/>
        <family val="2"/>
      </rPr>
      <t>Maio/2025 (data da proposta)</t>
    </r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</si>
  <si>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05/2025)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</si>
  <si>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>2.32</t>
  </si>
  <si>
    <t>3.5</t>
  </si>
  <si>
    <t>3.6</t>
  </si>
  <si>
    <t>Local</t>
  </si>
  <si>
    <t>Quant.</t>
  </si>
  <si>
    <t>m²</t>
  </si>
  <si>
    <t>OBS</t>
  </si>
  <si>
    <t>total m²</t>
  </si>
  <si>
    <t xml:space="preserve"> 88489 </t>
  </si>
  <si>
    <t>PINTURA LÁTEX ACRÍLICA PREMIUM, APLICAÇÃO MANUAL EM PAREDES, DUAS DEMÃOS. AF_04/2023</t>
  </si>
  <si>
    <t>1.13</t>
  </si>
  <si>
    <t>1.14</t>
  </si>
  <si>
    <t>1.15</t>
  </si>
  <si>
    <t>1.16</t>
  </si>
  <si>
    <t xml:space="preserve"> AJUDANTE ESPECIALIZADO COM ENCARGOS COMPLEMENTARES</t>
  </si>
  <si>
    <t>m3</t>
  </si>
  <si>
    <t>TRANSPORTE COM CAMINHÃO BASCULANTE DE 10 M³, EM VIA URBANA EM LEITO NATURAL (UNIDADE: M3XKM). AF_07/2020</t>
  </si>
  <si>
    <t>M3XKM</t>
  </si>
  <si>
    <t>2.1</t>
  </si>
  <si>
    <t>2.2</t>
  </si>
  <si>
    <t>2.3</t>
  </si>
  <si>
    <t>largura (mm)</t>
  </si>
  <si>
    <t>Comprimento (mm)</t>
  </si>
  <si>
    <t>ORSE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</si>
  <si>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</t>
    </r>
    <r>
      <rPr>
        <b/>
        <sz val="8"/>
        <rFont val="Arial"/>
        <family val="2"/>
      </rPr>
      <t xml:space="preserve">PERIODO DE </t>
    </r>
    <r>
      <rPr>
        <b/>
        <sz val="8"/>
        <color rgb="FFFF0000"/>
        <rFont val="Arial"/>
        <family val="2"/>
      </rPr>
      <t>OUTUBRO/2025</t>
    </r>
  </si>
  <si>
    <t>GRADE METALON</t>
  </si>
  <si>
    <t>2.5</t>
  </si>
  <si>
    <t>TINTA LATEX ACRILICA STANDARD, COR BRANCO NEVE</t>
  </si>
  <si>
    <t>L</t>
  </si>
  <si>
    <t>2.6</t>
  </si>
  <si>
    <t>TINTA LATEX ACRILICA STANDARD, COR BRANCO GELO</t>
  </si>
  <si>
    <t>2.7</t>
  </si>
  <si>
    <t>ADESIVO ACRILICO DE BASE AQUOSA / COLA DE CONTATO</t>
  </si>
  <si>
    <t>KG</t>
  </si>
  <si>
    <t>2.25</t>
  </si>
  <si>
    <t>MASSA PLASTICA PARA MARMORE/GRANITO</t>
  </si>
  <si>
    <t>2.21</t>
  </si>
  <si>
    <t>FITA ADESIVA ASFALTICA ALUMINIZADA MULTIUSO, L = 10 CM, ROLO DE 10 M</t>
  </si>
  <si>
    <t>2.10</t>
  </si>
  <si>
    <t>MASSA ACRILICA PARA SUPERFICIES INTERNAS E EXTERNAS</t>
  </si>
  <si>
    <t>2.24</t>
  </si>
  <si>
    <t>AREIA FINA - POSTO JAZIDA/FORNECEDOR (RETIRADO NA JAZIDA, SEM TRANSPORTE)</t>
  </si>
  <si>
    <t>2.4</t>
  </si>
  <si>
    <t>REJUNTE CIMENTICIO, QUALQUER COR</t>
  </si>
  <si>
    <t>CAL HIDRATADA CH-I PARA ARGAMASSAS</t>
  </si>
  <si>
    <t>2.8</t>
  </si>
  <si>
    <t>LAVATORIO / CUBA DE SOBREPOR, OVAL PEQUENA, DE LOUCA BRANCA, SEM LADRAO, DIMENSOES *44 X 31* CM (L X C)</t>
  </si>
  <si>
    <t>2.11</t>
  </si>
  <si>
    <t>2.12</t>
  </si>
  <si>
    <t>2.13</t>
  </si>
  <si>
    <t>2.14</t>
  </si>
  <si>
    <t>2.27</t>
  </si>
  <si>
    <t>BUCHA DE NYLON SEM ABA S6, COM PARAFUSO DE 4,20 X 40 MM EM ACO ZINCADO COM ROSCA SOBERBA, CABECA CHATA E FENDA PHILLIPS</t>
  </si>
  <si>
    <t>2.28</t>
  </si>
  <si>
    <t>BUCHA DE NYLON SEM ABA S8, COM PARAFUSO DE 4,80 X 50 MM EM ACO ZINCADO COM ROSCA SOBERBA, CABECA CHATA E FENDA PHILLIPS</t>
  </si>
  <si>
    <t>SILICONE ACETICO USO GERAL INCOLOR 280 G</t>
  </si>
  <si>
    <t>SELANTE ELASTICO MONOCOMPONENTE A BASE DE POLIURETANO (PU) PARA JUNTAS DIVERSAS</t>
  </si>
  <si>
    <t>VALVULA EM METAL CROMADO PARA PIA AMERICANA 3.1/2 X 1.1/2 "</t>
  </si>
  <si>
    <t>ADITIVO ADESIVO LIQUIDO PARA ARGAMASSAS DE REVESTIMENTOS CIMENTICIOS</t>
  </si>
  <si>
    <t>2.15</t>
  </si>
  <si>
    <t>2.16</t>
  </si>
  <si>
    <t>ASSENTO SANITARIO DE PLASTICO, TIPO CONVENCIONAL</t>
  </si>
  <si>
    <t>2.20</t>
  </si>
  <si>
    <t>Tubo de ligação em PVC para vaso sanitário, acabamento cromado, CIPLA ou similar</t>
  </si>
  <si>
    <t>2.38</t>
  </si>
  <si>
    <t>TORNEIRA METALICA CROMADA, DE MESA/BANCADA, PARA COZINHA, BICA MOVEL, COM AREJADOR, 1/2 " OU 3/4 " (REF 1167 / 1168)</t>
  </si>
  <si>
    <t>TORNEIRA METALICA CROMADA DE MESA PARA LAVATORIO, BICA ALTA, COM AREJADOR (REF 1195)</t>
  </si>
  <si>
    <t>2.22</t>
  </si>
  <si>
    <t>TORNEIRA METALICA CROMADA PARA JARDIM / TANQUE, COM BICO PLASTICO, CANO LONGO, DE PAREDE, PADRAO POPULAR / USO GERAL , 1/2 " OU 3/4 " (REF 1153 / 1130)</t>
  </si>
  <si>
    <t>SIFAO / TUBO SINFONADO EXTENSIVEL/SANFONADO, UNIVERSAL/ SIMPLES, ENTRE *50 A 70* CM, DE PLASTICO BRANCO</t>
  </si>
  <si>
    <t>VALVULA DE DESCARGA METALICA, BASE 1 1/2 " E ACABAMENTO METALICO CROMADO</t>
  </si>
  <si>
    <t>BUCHA DE REDUCAO DE FERRO GALVANIZADO, COM ROSCA BSP, DE 3/4" X 1/2"</t>
  </si>
  <si>
    <t>TORNEIRA METALICA CROMADA, RETA, DE PAREDE, PARA COZINHA, COM AREJADOR, PADRAO POPULAR, 1/2" OU 3/4"</t>
  </si>
  <si>
    <t>JOELHO PVC, SOLDAVEL, BB, 45 GRAUS, DN 40 MM, PARA ESGOTO PREDIAL</t>
  </si>
  <si>
    <t>JOELHO PVC, SOLDAVEL, PB, 90 GRAUS, DN 40 MM, PARA ESGOTO PREDIAL</t>
  </si>
  <si>
    <t>LUVA SIMPLES, PVC SERIE R, 40 MM, PARA ESGOTO PREDIAL</t>
  </si>
  <si>
    <t>FITA VEDA ROSCA EM ROLOS DE 18 MM X 50 M (L X C)</t>
  </si>
  <si>
    <t>FITA ISOLANTE ADESIVA ANTICHAMA, USO ATE 750 V, EM ROLO DE 19 MM X 20 M</t>
  </si>
  <si>
    <t>2.23</t>
  </si>
  <si>
    <t>ENGATE / RABICHO FLEXIVEL INOX 1/2 " X 40 CM</t>
  </si>
  <si>
    <t>2.35</t>
  </si>
  <si>
    <t>CHUVEIRO COMUM EM PLASTICO BRANCO, COM CANO, 3 TEMPERATURAS, 5500 W (110/220 V)</t>
  </si>
  <si>
    <t>ADAPTADOR PVC SOLDAVEL CURTO COM BOLSA E ROSCA, 25 MM X 3/4", PARA AGUA FRIA</t>
  </si>
  <si>
    <t>2.18</t>
  </si>
  <si>
    <t>JOELHO PVC, SOLDAVEL, 90 GRAUS, 25 MM, PARA AGUA FRIA PREDIAL</t>
  </si>
  <si>
    <t>JOELHO PVC, SOLDAVEL, 90 GRAUS, 50 MM, COR MARROM, PARA AGUA FRIA PREDIAL</t>
  </si>
  <si>
    <t>LUVA PVC SOLDAVEL, 50 MM, PARA AGUA FRIA PREDIAL</t>
  </si>
  <si>
    <t>TE SOLDAVEL, PVC, 90 GRAUS, 50 MM, PARA AGUA FRIA PREDIAL (NBR 5648)</t>
  </si>
  <si>
    <t>2.33</t>
  </si>
  <si>
    <t>UNIAO PVC, SOLDAVEL, 50 MM, PARA AGUA FRIA PREDIAL</t>
  </si>
  <si>
    <t>2.17</t>
  </si>
  <si>
    <t>2.19</t>
  </si>
  <si>
    <t>2.26</t>
  </si>
  <si>
    <t>2.29</t>
  </si>
  <si>
    <t>2.30</t>
  </si>
  <si>
    <t>2.31</t>
  </si>
  <si>
    <t>2.34</t>
  </si>
  <si>
    <t>2.36</t>
  </si>
  <si>
    <t>2.37</t>
  </si>
  <si>
    <t>CHAPA DE ACO GALVANIZADA BITOLA GSG 26, E = 0,50 MM (4,00 KG/M2)</t>
  </si>
  <si>
    <t>2.39</t>
  </si>
  <si>
    <t>KIT DE PORTA DE MADEIRA PARA PINTURA, SEMI-OCA (PESADA OU SUPERPESADA), PADRÃO MÉDIO, 80X210CM, ESPESSURA DE 3,5CM, ITENS INCLUSOS: DOBRADIÇAS, MONTAGEM E INSTALAÇÃO DO BATENTE, FECHADURA COM EXECUÇÃO DO FURO - FORNECIMENTO E INSTALAÇÃO. AF_12/2019</t>
  </si>
  <si>
    <t>PINTURA VERNIZ (INCOLOR) ALQUÍDICO EM MADEIRA, USO INTERNO, 3 DEMÃOS. AF_01/2021</t>
  </si>
  <si>
    <t>INSTALAÇÃO DE PORTA DEE</t>
  </si>
  <si>
    <t xml:space="preserve"> MANUTENÇÃO TELHADO E CALHAS BIOTROP</t>
  </si>
  <si>
    <t>TUBO PVC, SÉRIE R, ÁGUA PLUVIAL, DN 100 MM, FORNECIDO E INSTALADO EM CONDUTORES VERTICAIS DE ÁGUAS PLUVIAIS. AF_06/2022</t>
  </si>
  <si>
    <t>M</t>
  </si>
  <si>
    <t>TELHADISTA COM ENCARGOS COMPLEMENTARES</t>
  </si>
  <si>
    <t>H</t>
  </si>
  <si>
    <t xml:space="preserve"> MANUTENÇÃO TELHADO E CALHAS DEPARTAENTO ANTIGO DCAM- DGE</t>
  </si>
  <si>
    <t>REMOÇÃO CALHAS E RUFOS, DE FORMA MANUAL, SEM REAPROVEITAMENTO. AF_09/2023</t>
  </si>
  <si>
    <t>3.7</t>
  </si>
  <si>
    <t>RUFO EM CHAPA DE AÇO GALVANIZADO NÚMERO 24, CORTE DE 25 CM, INCLUSO TRANSPORTE VERTICAL. AF_07/2019</t>
  </si>
  <si>
    <t>3.8</t>
  </si>
  <si>
    <t>RUFO EXTERNO/INTERNO EM CHAPA DE AÇO GALVANIZADO NÚMERO 26, CORTE DE 33 CM, INCLUSO IÇAMENTO. AF_07/201</t>
  </si>
  <si>
    <t>REVISÃO TELHADO, APLICAÇÃO DE PU E CORREÇÃO TRINCA NA LAJE</t>
  </si>
  <si>
    <t xml:space="preserve"> MANUTENÇÃO TELHADO E CALHAS DEPARTAMENTO ENGENHARIA ELETRICA / D.E.E</t>
  </si>
  <si>
    <t>PAREDE COM PLACAS DE GESSO ACARTONADO (DRYWALL), PARA USO INTERNO COM DUAS FACES DUPLAS E ESTRUTURA METÁLICA COM GUIAS DUPLAS, SEM VÃOS. AF_06/2017</t>
  </si>
  <si>
    <t>EMASSAMENTO COM MASSA LÁTEX, APLICAÇÃO EM PAREDE, DUAS DEMÃOS, LIXAMENTO MECANIZADO. AF_04/202</t>
  </si>
  <si>
    <t>3.9</t>
  </si>
  <si>
    <t>3.10</t>
  </si>
  <si>
    <t>3.11</t>
  </si>
  <si>
    <t>3.12</t>
  </si>
  <si>
    <t>3.13</t>
  </si>
  <si>
    <t>3.14</t>
  </si>
  <si>
    <t>DIVISORIA DRYWALL BIOTROP</t>
  </si>
  <si>
    <t>AJUSTE AJUDANTES 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</si>
</sst>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3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b/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1"/>
    </font>
    <font>
      <u/>
      <sz val="11"/>
      <color theme="1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4"/>
      <name val="Arial"/>
      <family val="2"/>
    </font>
    <font>
      <b/>
      <sz val="8"/>
      <color theme="4"/>
      <name val="Arial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5" fillId="4" borderId="1" applyProtection="0"/>
    <xf numFmtId="0" fontId="16" fillId="0" borderId="0" applyBorder="0" applyProtection="0"/>
    <xf numFmtId="0" fontId="21" fillId="0" borderId="0"/>
    <xf numFmtId="164" fontId="21" fillId="0" borderId="0" applyBorder="0" applyProtection="0"/>
    <xf numFmtId="0" fontId="22" fillId="0" borderId="0" applyBorder="0" applyProtection="0"/>
    <xf numFmtId="0" fontId="15" fillId="4" borderId="1" applyProtection="0"/>
    <xf numFmtId="0" fontId="23" fillId="0" borderId="0"/>
    <xf numFmtId="0" fontId="28" fillId="0" borderId="0" applyNumberFormat="0" applyFill="0" applyBorder="0" applyAlignment="0" applyProtection="0"/>
  </cellStyleXfs>
  <cellXfs count="196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4" fontId="8" fillId="0" borderId="24" xfId="2" applyNumberFormat="1" applyFont="1" applyBorder="1" applyAlignment="1" applyProtection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3" fillId="0" borderId="0" xfId="0" applyFont="1"/>
    <xf numFmtId="0" fontId="12" fillId="0" borderId="0" xfId="0" applyFont="1"/>
    <xf numFmtId="0" fontId="12" fillId="2" borderId="25" xfId="1" applyFont="1" applyBorder="1" applyAlignment="1">
      <alignment horizontal="center" vertical="center"/>
    </xf>
    <xf numFmtId="0" fontId="17" fillId="2" borderId="27" xfId="1" applyFont="1" applyBorder="1" applyAlignment="1">
      <alignment horizontal="center" vertical="center"/>
    </xf>
    <xf numFmtId="44" fontId="17" fillId="2" borderId="27" xfId="3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4" xfId="2" applyFont="1" applyFill="1" applyBorder="1" applyAlignment="1" applyProtection="1">
      <alignment horizontal="left" vertical="center" wrapText="1"/>
    </xf>
    <xf numFmtId="0" fontId="12" fillId="0" borderId="24" xfId="2" applyFont="1" applyBorder="1" applyAlignment="1" applyProtection="1">
      <alignment horizontal="center" vertical="center"/>
    </xf>
    <xf numFmtId="4" fontId="12" fillId="0" borderId="24" xfId="2" applyNumberFormat="1" applyFont="1" applyBorder="1" applyAlignment="1" applyProtection="1">
      <alignment horizontal="center" vertical="center"/>
    </xf>
    <xf numFmtId="0" fontId="18" fillId="2" borderId="24" xfId="1" applyFont="1" applyBorder="1"/>
    <xf numFmtId="0" fontId="17" fillId="0" borderId="39" xfId="0" applyFont="1" applyBorder="1" applyAlignment="1">
      <alignment vertical="top"/>
    </xf>
    <xf numFmtId="0" fontId="19" fillId="0" borderId="11" xfId="0" applyFont="1" applyBorder="1" applyAlignment="1">
      <alignment vertical="top"/>
    </xf>
    <xf numFmtId="0" fontId="14" fillId="0" borderId="0" xfId="0" applyFont="1"/>
    <xf numFmtId="4" fontId="12" fillId="0" borderId="24" xfId="2" applyNumberFormat="1" applyFont="1" applyFill="1" applyBorder="1" applyAlignment="1" applyProtection="1">
      <alignment horizontal="center" vertical="center"/>
    </xf>
    <xf numFmtId="2" fontId="8" fillId="0" borderId="2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43" fontId="14" fillId="0" borderId="0" xfId="0" applyNumberFormat="1" applyFont="1"/>
    <xf numFmtId="0" fontId="9" fillId="0" borderId="0" xfId="0" applyFont="1" applyFill="1" applyAlignment="1">
      <alignment vertical="center"/>
    </xf>
    <xf numFmtId="4" fontId="12" fillId="0" borderId="16" xfId="2" applyNumberFormat="1" applyFont="1" applyFill="1" applyBorder="1" applyAlignment="1" applyProtection="1">
      <alignment horizontal="center" vertical="center"/>
    </xf>
    <xf numFmtId="0" fontId="8" fillId="2" borderId="27" xfId="1" applyFont="1" applyBorder="1" applyAlignment="1">
      <alignment horizontal="center" vertical="center"/>
    </xf>
    <xf numFmtId="0" fontId="8" fillId="2" borderId="24" xfId="1" applyFont="1" applyBorder="1" applyAlignment="1">
      <alignment horizontal="center" vertical="center"/>
    </xf>
    <xf numFmtId="0" fontId="17" fillId="2" borderId="24" xfId="1" applyFont="1" applyBorder="1"/>
    <xf numFmtId="0" fontId="20" fillId="0" borderId="24" xfId="0" applyFont="1" applyFill="1" applyBorder="1" applyAlignment="1">
      <alignment horizontal="center" vertical="center" wrapText="1"/>
    </xf>
    <xf numFmtId="0" fontId="20" fillId="0" borderId="24" xfId="0" applyFont="1" applyFill="1" applyBorder="1" applyAlignment="1">
      <alignment vertical="center" wrapText="1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3" fillId="0" borderId="24" xfId="0" applyFont="1" applyBorder="1" applyAlignment="1">
      <alignment vertic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4" xfId="0" applyFill="1" applyBorder="1" applyAlignment="1">
      <alignment horizontal="center"/>
    </xf>
    <xf numFmtId="2" fontId="24" fillId="0" borderId="24" xfId="0" applyNumberFormat="1" applyFont="1" applyBorder="1"/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1" xfId="2" applyFont="1" applyBorder="1" applyAlignment="1" applyProtection="1">
      <alignment horizontal="left" vertical="center" wrapText="1"/>
    </xf>
    <xf numFmtId="0" fontId="9" fillId="0" borderId="24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26" fillId="0" borderId="24" xfId="0" applyFont="1" applyFill="1" applyBorder="1" applyAlignment="1">
      <alignment horizontal="center" vertical="center" wrapText="1"/>
    </xf>
    <xf numFmtId="0" fontId="25" fillId="0" borderId="24" xfId="0" applyFont="1" applyFill="1" applyBorder="1" applyAlignment="1">
      <alignment horizontal="left" vertical="center"/>
    </xf>
    <xf numFmtId="0" fontId="25" fillId="0" borderId="24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left" vertical="top" wrapText="1"/>
    </xf>
    <xf numFmtId="0" fontId="9" fillId="0" borderId="24" xfId="0" applyFont="1" applyFill="1" applyBorder="1" applyAlignment="1">
      <alignment vertical="center"/>
    </xf>
    <xf numFmtId="0" fontId="25" fillId="0" borderId="24" xfId="0" applyFont="1" applyBorder="1"/>
    <xf numFmtId="0" fontId="9" fillId="0" borderId="24" xfId="11" applyFont="1" applyFill="1" applyBorder="1" applyAlignment="1">
      <alignment vertical="center"/>
    </xf>
    <xf numFmtId="0" fontId="14" fillId="0" borderId="0" xfId="0" applyFont="1" applyFill="1"/>
    <xf numFmtId="0" fontId="3" fillId="0" borderId="0" xfId="0" applyFont="1" applyAlignment="1">
      <alignment vertical="center"/>
    </xf>
    <xf numFmtId="0" fontId="9" fillId="0" borderId="0" xfId="0" applyFont="1" applyFill="1"/>
    <xf numFmtId="0" fontId="12" fillId="0" borderId="0" xfId="0" applyFont="1" applyAlignment="1">
      <alignment vertical="center"/>
    </xf>
    <xf numFmtId="0" fontId="3" fillId="0" borderId="24" xfId="0" applyFont="1" applyBorder="1"/>
    <xf numFmtId="0" fontId="29" fillId="0" borderId="0" xfId="0" applyFont="1"/>
    <xf numFmtId="4" fontId="30" fillId="0" borderId="24" xfId="2" applyNumberFormat="1" applyFont="1" applyBorder="1" applyAlignment="1" applyProtection="1">
      <alignment horizontal="center" vertical="center"/>
    </xf>
    <xf numFmtId="4" fontId="10" fillId="0" borderId="24" xfId="0" applyNumberFormat="1" applyFont="1" applyFill="1" applyBorder="1" applyAlignment="1">
      <alignment horizontal="center" vertical="center" wrapText="1"/>
    </xf>
    <xf numFmtId="4" fontId="31" fillId="5" borderId="15" xfId="0" applyNumberFormat="1" applyFont="1" applyFill="1" applyBorder="1" applyAlignment="1">
      <alignment horizontal="center" vertical="center" wrapText="1"/>
    </xf>
    <xf numFmtId="4" fontId="31" fillId="5" borderId="24" xfId="0" applyNumberFormat="1" applyFont="1" applyFill="1" applyBorder="1" applyAlignment="1">
      <alignment horizontal="center" vertical="center" wrapText="1"/>
    </xf>
    <xf numFmtId="0" fontId="30" fillId="0" borderId="24" xfId="1" applyFont="1" applyFill="1" applyBorder="1" applyAlignment="1">
      <alignment horizontal="center" vertical="center"/>
    </xf>
    <xf numFmtId="2" fontId="30" fillId="0" borderId="24" xfId="1" applyNumberFormat="1" applyFont="1" applyFill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2" fontId="30" fillId="0" borderId="24" xfId="2" applyNumberFormat="1" applyFont="1" applyBorder="1" applyAlignment="1" applyProtection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4" fontId="30" fillId="0" borderId="24" xfId="2" applyNumberFormat="1" applyFont="1" applyFill="1" applyBorder="1" applyAlignment="1" applyProtection="1">
      <alignment horizontal="center" vertical="center"/>
    </xf>
    <xf numFmtId="0" fontId="7" fillId="0" borderId="24" xfId="2" applyFont="1" applyBorder="1" applyAlignment="1" applyProtection="1">
      <alignment horizontal="center" vertical="center"/>
    </xf>
    <xf numFmtId="0" fontId="7" fillId="0" borderId="24" xfId="0" applyFont="1" applyBorder="1" applyAlignment="1">
      <alignment horizontal="center" vertical="center"/>
    </xf>
    <xf numFmtId="4" fontId="10" fillId="0" borderId="24" xfId="2" applyNumberFormat="1" applyFont="1" applyBorder="1" applyAlignment="1" applyProtection="1">
      <alignment horizontal="center" vertical="center"/>
    </xf>
    <xf numFmtId="4" fontId="7" fillId="0" borderId="24" xfId="2" applyNumberFormat="1" applyFont="1" applyBorder="1" applyAlignment="1" applyProtection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4" fontId="17" fillId="0" borderId="16" xfId="2" applyNumberFormat="1" applyFont="1" applyFill="1" applyBorder="1" applyAlignment="1" applyProtection="1">
      <alignment horizontal="left" vertical="center"/>
    </xf>
    <xf numFmtId="4" fontId="17" fillId="0" borderId="14" xfId="2" applyNumberFormat="1" applyFont="1" applyFill="1" applyBorder="1" applyAlignment="1" applyProtection="1">
      <alignment horizontal="left" vertical="center"/>
    </xf>
    <xf numFmtId="4" fontId="17" fillId="0" borderId="15" xfId="2" applyNumberFormat="1" applyFont="1" applyFill="1" applyBorder="1" applyAlignment="1" applyProtection="1">
      <alignment horizontal="left" vertical="center"/>
    </xf>
    <xf numFmtId="0" fontId="8" fillId="0" borderId="14" xfId="0" applyFont="1" applyFill="1" applyBorder="1" applyAlignment="1">
      <alignment horizontal="left" vertical="center"/>
    </xf>
    <xf numFmtId="0" fontId="8" fillId="0" borderId="15" xfId="0" applyFont="1" applyFill="1" applyBorder="1" applyAlignment="1">
      <alignment horizontal="left" vertical="center"/>
    </xf>
    <xf numFmtId="0" fontId="17" fillId="2" borderId="26" xfId="1" applyFont="1" applyBorder="1" applyAlignment="1">
      <alignment horizontal="center" vertical="center"/>
    </xf>
    <xf numFmtId="0" fontId="17" fillId="2" borderId="18" xfId="1" applyFont="1" applyBorder="1" applyAlignment="1">
      <alignment horizontal="center" vertical="center"/>
    </xf>
    <xf numFmtId="0" fontId="17" fillId="2" borderId="44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5" fillId="2" borderId="28" xfId="1" applyFont="1" applyBorder="1" applyAlignment="1">
      <alignment horizontal="center" vertical="center" textRotation="90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43" fontId="19" fillId="0" borderId="11" xfId="0" applyNumberFormat="1" applyFont="1" applyBorder="1" applyAlignment="1">
      <alignment horizontal="center" vertical="top"/>
    </xf>
    <xf numFmtId="0" fontId="19" fillId="0" borderId="11" xfId="0" applyFont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3" fillId="0" borderId="19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0" fillId="0" borderId="24" xfId="0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0" borderId="15" xfId="0" applyFont="1" applyBorder="1" applyAlignment="1">
      <alignment horizontal="center"/>
    </xf>
  </cellXfs>
  <cellStyles count="12">
    <cellStyle name="Excel Built-in Explanatory Text" xfId="5"/>
    <cellStyle name="Excel Built-in Output" xfId="4"/>
    <cellStyle name="Excel Built-in Output 2" xfId="9"/>
    <cellStyle name="Hiperlink" xfId="11" builtinId="8"/>
    <cellStyle name="Hiperlink 2" xfId="8"/>
    <cellStyle name="Moeda" xfId="3" builtinId="4"/>
    <cellStyle name="Moeda 2" xfId="7"/>
    <cellStyle name="Normal" xfId="0" builtinId="0"/>
    <cellStyle name="Normal 2" xfId="6"/>
    <cellStyle name="Normal 3" xfId="1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C:/Users/anivaldo/Downloads/2022/10%20Outubro/Notas%20Fiscais/NF%20516064%20Jabu%20SA.pdf" TargetMode="External"/><Relationship Id="rId1" Type="http://schemas.openxmlformats.org/officeDocument/2006/relationships/hyperlink" Target="file:///C:/Users/anivaldo/AppData/Roaming/Microsoft/08%20Ago/2022/10%20Outubro/Notas%20Fiscais/NF%20516064%20Jabu%20SA.pd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35"/>
  <sheetViews>
    <sheetView tabSelected="1" topLeftCell="A94" zoomScale="90" zoomScaleNormal="90" workbookViewId="0">
      <selection activeCell="O125" sqref="A1:O131"/>
    </sheetView>
  </sheetViews>
  <sheetFormatPr defaultRowHeight="14.4" x14ac:dyDescent="0.3"/>
  <cols>
    <col min="2" max="3" width="10.6640625" customWidth="1"/>
    <col min="4" max="4" width="12.109375" customWidth="1"/>
    <col min="5" max="5" width="66.5546875" customWidth="1"/>
    <col min="6" max="6" width="6.44140625" customWidth="1"/>
    <col min="8" max="8" width="23.6640625" style="28" bestFit="1" customWidth="1"/>
    <col min="9" max="9" width="12.44140625" bestFit="1" customWidth="1"/>
    <col min="10" max="10" width="19" bestFit="1" customWidth="1"/>
    <col min="11" max="11" width="18.88671875" bestFit="1" customWidth="1"/>
    <col min="12" max="12" width="29.33203125" bestFit="1" customWidth="1"/>
    <col min="13" max="13" width="18" bestFit="1" customWidth="1"/>
    <col min="14" max="14" width="10.6640625" customWidth="1"/>
    <col min="15" max="15" width="4.6640625" customWidth="1"/>
    <col min="16" max="16" width="12.88671875" customWidth="1"/>
  </cols>
  <sheetData>
    <row r="1" spans="1:15" ht="17.100000000000001" customHeight="1" x14ac:dyDescent="0.3">
      <c r="A1" s="173" t="s">
        <v>0</v>
      </c>
      <c r="B1" s="174"/>
      <c r="C1" s="174"/>
      <c r="D1" s="174"/>
      <c r="E1" s="174"/>
      <c r="F1" s="174"/>
      <c r="G1" s="174"/>
      <c r="H1" s="174"/>
      <c r="I1" s="175"/>
      <c r="J1" s="182" t="s">
        <v>1</v>
      </c>
      <c r="K1" s="182"/>
      <c r="L1" s="182"/>
      <c r="M1" s="182"/>
      <c r="N1" s="182"/>
      <c r="O1" s="183"/>
    </row>
    <row r="2" spans="1:15" ht="17.100000000000001" customHeight="1" x14ac:dyDescent="0.3">
      <c r="A2" s="176"/>
      <c r="B2" s="177"/>
      <c r="C2" s="177"/>
      <c r="D2" s="177"/>
      <c r="E2" s="177"/>
      <c r="F2" s="177"/>
      <c r="G2" s="177"/>
      <c r="H2" s="177"/>
      <c r="I2" s="178"/>
      <c r="J2" s="184" t="s">
        <v>2</v>
      </c>
      <c r="K2" s="184"/>
      <c r="L2" s="184"/>
      <c r="M2" s="184"/>
      <c r="N2" s="184"/>
      <c r="O2" s="185"/>
    </row>
    <row r="3" spans="1:15" ht="17.100000000000001" customHeight="1" x14ac:dyDescent="0.3">
      <c r="A3" s="176"/>
      <c r="B3" s="177"/>
      <c r="C3" s="177"/>
      <c r="D3" s="177"/>
      <c r="E3" s="177"/>
      <c r="F3" s="177"/>
      <c r="G3" s="177"/>
      <c r="H3" s="177"/>
      <c r="I3" s="178"/>
      <c r="J3" s="184" t="s">
        <v>3</v>
      </c>
      <c r="K3" s="184"/>
      <c r="L3" s="184"/>
      <c r="M3" s="184" t="s">
        <v>4</v>
      </c>
      <c r="N3" s="184"/>
      <c r="O3" s="1"/>
    </row>
    <row r="4" spans="1:15" ht="17.100000000000001" customHeight="1" x14ac:dyDescent="0.3">
      <c r="A4" s="176"/>
      <c r="B4" s="177"/>
      <c r="C4" s="177"/>
      <c r="D4" s="177"/>
      <c r="E4" s="177"/>
      <c r="F4" s="177"/>
      <c r="G4" s="177"/>
      <c r="H4" s="177"/>
      <c r="I4" s="178"/>
      <c r="J4" s="184" t="s">
        <v>5</v>
      </c>
      <c r="K4" s="184"/>
      <c r="L4" s="184"/>
      <c r="M4" s="184" t="s">
        <v>6</v>
      </c>
      <c r="N4" s="184"/>
      <c r="O4" s="2"/>
    </row>
    <row r="5" spans="1:15" ht="17.100000000000001" customHeight="1" x14ac:dyDescent="0.3">
      <c r="A5" s="176"/>
      <c r="B5" s="177"/>
      <c r="C5" s="177"/>
      <c r="D5" s="177"/>
      <c r="E5" s="177"/>
      <c r="F5" s="177"/>
      <c r="G5" s="177"/>
      <c r="H5" s="177"/>
      <c r="I5" s="178"/>
      <c r="J5" s="184" t="s">
        <v>7</v>
      </c>
      <c r="K5" s="184"/>
      <c r="L5" s="184"/>
      <c r="M5" s="184" t="s">
        <v>8</v>
      </c>
      <c r="N5" s="184"/>
      <c r="O5" s="1"/>
    </row>
    <row r="6" spans="1:15" ht="17.100000000000001" customHeight="1" x14ac:dyDescent="0.3">
      <c r="A6" s="179"/>
      <c r="B6" s="180"/>
      <c r="C6" s="180"/>
      <c r="D6" s="180"/>
      <c r="E6" s="180"/>
      <c r="F6" s="180"/>
      <c r="G6" s="180"/>
      <c r="H6" s="180"/>
      <c r="I6" s="181"/>
      <c r="J6" s="184" t="s">
        <v>9</v>
      </c>
      <c r="K6" s="184"/>
      <c r="L6" s="184"/>
      <c r="M6" s="184" t="s">
        <v>10</v>
      </c>
      <c r="N6" s="184"/>
      <c r="O6" s="1"/>
    </row>
    <row r="7" spans="1:15" ht="17.100000000000001" customHeight="1" x14ac:dyDescent="0.3">
      <c r="A7" s="186" t="s">
        <v>11</v>
      </c>
      <c r="B7" s="187"/>
      <c r="C7" s="187"/>
      <c r="D7" s="187"/>
      <c r="E7" s="187"/>
      <c r="F7" s="187"/>
      <c r="G7" s="187"/>
      <c r="H7" s="187"/>
      <c r="I7" s="188"/>
      <c r="J7" s="189" t="s">
        <v>51</v>
      </c>
      <c r="K7" s="190"/>
      <c r="L7" s="190"/>
      <c r="M7" s="190"/>
      <c r="N7" s="191"/>
      <c r="O7" s="154" t="s">
        <v>12</v>
      </c>
    </row>
    <row r="8" spans="1:15" ht="17.100000000000001" customHeight="1" x14ac:dyDescent="0.3">
      <c r="A8" s="138" t="s">
        <v>110</v>
      </c>
      <c r="B8" s="139"/>
      <c r="C8" s="139"/>
      <c r="D8" s="139"/>
      <c r="E8" s="139"/>
      <c r="F8" s="139"/>
      <c r="G8" s="139"/>
      <c r="H8" s="139"/>
      <c r="I8" s="172"/>
      <c r="J8" s="189" t="s">
        <v>13</v>
      </c>
      <c r="K8" s="190"/>
      <c r="L8" s="190"/>
      <c r="M8" s="190"/>
      <c r="N8" s="191"/>
      <c r="O8" s="154"/>
    </row>
    <row r="9" spans="1:15" ht="17.100000000000001" customHeight="1" x14ac:dyDescent="0.3">
      <c r="A9" s="140"/>
      <c r="B9" s="123"/>
      <c r="C9" s="123"/>
      <c r="D9" s="123"/>
      <c r="E9" s="123"/>
      <c r="F9" s="123"/>
      <c r="G9" s="123"/>
      <c r="H9" s="123"/>
      <c r="I9" s="124"/>
      <c r="J9" s="189" t="s">
        <v>14</v>
      </c>
      <c r="K9" s="190"/>
      <c r="L9" s="190"/>
      <c r="M9" s="190"/>
      <c r="N9" s="191"/>
      <c r="O9" s="154"/>
    </row>
    <row r="10" spans="1:15" ht="17.100000000000001" customHeight="1" x14ac:dyDescent="0.3">
      <c r="A10" s="140"/>
      <c r="B10" s="123"/>
      <c r="C10" s="123"/>
      <c r="D10" s="123"/>
      <c r="E10" s="123"/>
      <c r="F10" s="123"/>
      <c r="G10" s="123"/>
      <c r="H10" s="123"/>
      <c r="I10" s="124"/>
      <c r="J10" s="189" t="s">
        <v>15</v>
      </c>
      <c r="K10" s="190"/>
      <c r="L10" s="190"/>
      <c r="M10" s="190"/>
      <c r="N10" s="191"/>
      <c r="O10" s="154"/>
    </row>
    <row r="11" spans="1:15" ht="17.100000000000001" customHeight="1" x14ac:dyDescent="0.3">
      <c r="A11" s="140"/>
      <c r="B11" s="123"/>
      <c r="C11" s="123"/>
      <c r="D11" s="123"/>
      <c r="E11" s="123"/>
      <c r="F11" s="123"/>
      <c r="G11" s="123"/>
      <c r="H11" s="123"/>
      <c r="I11" s="124"/>
      <c r="J11" s="189" t="s">
        <v>50</v>
      </c>
      <c r="K11" s="190"/>
      <c r="L11" s="190"/>
      <c r="M11" s="190"/>
      <c r="N11" s="191"/>
      <c r="O11" s="154"/>
    </row>
    <row r="12" spans="1:15" ht="17.100000000000001" customHeight="1" x14ac:dyDescent="0.3">
      <c r="A12" s="140"/>
      <c r="B12" s="123"/>
      <c r="C12" s="123"/>
      <c r="D12" s="123"/>
      <c r="E12" s="123"/>
      <c r="F12" s="123"/>
      <c r="G12" s="123"/>
      <c r="H12" s="123"/>
      <c r="I12" s="124"/>
      <c r="J12" s="189" t="s">
        <v>83</v>
      </c>
      <c r="K12" s="190"/>
      <c r="L12" s="190"/>
      <c r="M12" s="190"/>
      <c r="N12" s="191"/>
      <c r="O12" s="154"/>
    </row>
    <row r="13" spans="1:15" ht="17.100000000000001" customHeight="1" x14ac:dyDescent="0.3">
      <c r="A13" s="125"/>
      <c r="B13" s="126"/>
      <c r="C13" s="126"/>
      <c r="D13" s="126"/>
      <c r="E13" s="126"/>
      <c r="F13" s="126"/>
      <c r="G13" s="126"/>
      <c r="H13" s="126"/>
      <c r="I13" s="127"/>
      <c r="J13" s="189" t="s">
        <v>84</v>
      </c>
      <c r="K13" s="190"/>
      <c r="L13" s="190"/>
      <c r="M13" s="190"/>
      <c r="N13" s="191"/>
      <c r="O13" s="154"/>
    </row>
    <row r="14" spans="1:15" ht="17.100000000000001" customHeight="1" x14ac:dyDescent="0.3">
      <c r="A14" s="104" t="s">
        <v>16</v>
      </c>
      <c r="B14" s="93" t="s">
        <v>17</v>
      </c>
      <c r="C14" s="93" t="s">
        <v>18</v>
      </c>
      <c r="D14" s="93" t="s">
        <v>19</v>
      </c>
      <c r="E14" s="93" t="s">
        <v>20</v>
      </c>
      <c r="F14" s="93" t="s">
        <v>21</v>
      </c>
      <c r="G14" s="93" t="s">
        <v>22</v>
      </c>
      <c r="H14" s="106" t="s">
        <v>23</v>
      </c>
      <c r="I14" s="106"/>
      <c r="J14" s="106"/>
      <c r="K14" s="106"/>
      <c r="L14" s="107"/>
      <c r="M14" s="93" t="s">
        <v>24</v>
      </c>
      <c r="N14" s="93" t="s">
        <v>25</v>
      </c>
      <c r="O14" s="154" t="s">
        <v>26</v>
      </c>
    </row>
    <row r="15" spans="1:15" ht="17.100000000000001" customHeight="1" x14ac:dyDescent="0.3">
      <c r="A15" s="105"/>
      <c r="B15" s="94"/>
      <c r="C15" s="94"/>
      <c r="D15" s="94"/>
      <c r="E15" s="94"/>
      <c r="F15" s="94"/>
      <c r="G15" s="94"/>
      <c r="H15" s="4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94"/>
      <c r="N15" s="94"/>
      <c r="O15" s="154"/>
    </row>
    <row r="16" spans="1:15" ht="17.100000000000001" customHeight="1" x14ac:dyDescent="0.3">
      <c r="A16" s="5">
        <v>1</v>
      </c>
      <c r="B16" s="6"/>
      <c r="C16" s="7"/>
      <c r="D16" s="7"/>
      <c r="E16" s="8" t="s">
        <v>31</v>
      </c>
      <c r="F16" s="9"/>
      <c r="G16" s="9"/>
      <c r="H16" s="48"/>
      <c r="I16" s="9"/>
      <c r="J16" s="9"/>
      <c r="K16" s="9"/>
      <c r="L16" s="9"/>
      <c r="M16" s="21">
        <f>SUM(M17:M33)</f>
        <v>116956.83893104641</v>
      </c>
      <c r="N16" s="10">
        <f>SUM(N17:N29)</f>
        <v>0.74779641537967378</v>
      </c>
      <c r="O16" s="154"/>
    </row>
    <row r="17" spans="1:15" ht="26.25" customHeight="1" x14ac:dyDescent="0.3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17">
        <v>180</v>
      </c>
      <c r="H17" s="79">
        <v>49.57</v>
      </c>
      <c r="I17" s="14">
        <f>H17*0.2232</f>
        <v>11.064024</v>
      </c>
      <c r="J17" s="14">
        <f>H17+I17</f>
        <v>60.634023999999997</v>
      </c>
      <c r="K17" s="14">
        <f>J17*(0.03%)</f>
        <v>1.8190207199999999E-2</v>
      </c>
      <c r="L17" s="14">
        <f>J17-K17</f>
        <v>60.615833792799997</v>
      </c>
      <c r="M17" s="14">
        <f>L17*G17</f>
        <v>10910.850082703999</v>
      </c>
      <c r="N17" s="14">
        <f>M17/M$16</f>
        <v>9.3289543240277273E-2</v>
      </c>
      <c r="O17" s="164"/>
    </row>
    <row r="18" spans="1:15" ht="26.25" customHeight="1" x14ac:dyDescent="0.3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17">
        <v>180</v>
      </c>
      <c r="H18" s="79">
        <v>38.36</v>
      </c>
      <c r="I18" s="14">
        <f t="shared" ref="I18:I29" si="0">H18*0.2232</f>
        <v>8.5619519999999998</v>
      </c>
      <c r="J18" s="14">
        <f t="shared" ref="J18:J29" si="1">H18+I18</f>
        <v>46.921951999999997</v>
      </c>
      <c r="K18" s="14">
        <f t="shared" ref="K18:K29" si="2">J18*(0.03%)</f>
        <v>1.4076585599999998E-2</v>
      </c>
      <c r="L18" s="14">
        <f t="shared" ref="L18:L29" si="3">J18-K18</f>
        <v>46.907875414399996</v>
      </c>
      <c r="M18" s="14">
        <f t="shared" ref="M18:M29" si="4">L18*G18</f>
        <v>8443.4175745920002</v>
      </c>
      <c r="N18" s="14">
        <f t="shared" ref="N18:N29" si="5">M18/M$16</f>
        <v>7.2192593881320086E-2</v>
      </c>
      <c r="O18" s="164"/>
    </row>
    <row r="19" spans="1:15" ht="26.25" customHeight="1" x14ac:dyDescent="0.3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17">
        <v>180</v>
      </c>
      <c r="H19" s="79">
        <v>38.36</v>
      </c>
      <c r="I19" s="14">
        <f t="shared" si="0"/>
        <v>8.5619519999999998</v>
      </c>
      <c r="J19" s="14">
        <f t="shared" si="1"/>
        <v>46.921951999999997</v>
      </c>
      <c r="K19" s="14">
        <f t="shared" si="2"/>
        <v>1.4076585599999998E-2</v>
      </c>
      <c r="L19" s="14">
        <f t="shared" si="3"/>
        <v>46.907875414399996</v>
      </c>
      <c r="M19" s="14">
        <f t="shared" si="4"/>
        <v>8443.4175745920002</v>
      </c>
      <c r="N19" s="14">
        <f t="shared" si="5"/>
        <v>7.2192593881320086E-2</v>
      </c>
      <c r="O19" s="164"/>
    </row>
    <row r="20" spans="1:15" ht="26.25" customHeight="1" x14ac:dyDescent="0.3">
      <c r="A20" s="17" t="s">
        <v>67</v>
      </c>
      <c r="B20" s="17" t="s">
        <v>33</v>
      </c>
      <c r="C20" s="11">
        <v>88248</v>
      </c>
      <c r="D20" s="11" t="s">
        <v>34</v>
      </c>
      <c r="E20" s="20" t="s">
        <v>57</v>
      </c>
      <c r="F20" s="13" t="s">
        <v>35</v>
      </c>
      <c r="G20" s="17">
        <v>180</v>
      </c>
      <c r="H20" s="79">
        <v>31.51</v>
      </c>
      <c r="I20" s="14">
        <f t="shared" si="0"/>
        <v>7.0330320000000004</v>
      </c>
      <c r="J20" s="14">
        <f t="shared" si="1"/>
        <v>38.543032000000004</v>
      </c>
      <c r="K20" s="14">
        <f t="shared" si="2"/>
        <v>1.1562909600000001E-2</v>
      </c>
      <c r="L20" s="14">
        <f t="shared" si="3"/>
        <v>38.531469090400002</v>
      </c>
      <c r="M20" s="14">
        <f t="shared" si="4"/>
        <v>6935.6644362719999</v>
      </c>
      <c r="N20" s="14">
        <f t="shared" si="5"/>
        <v>5.9301059259655786E-2</v>
      </c>
      <c r="O20" s="164"/>
    </row>
    <row r="21" spans="1:15" ht="26.25" customHeight="1" x14ac:dyDescent="0.3">
      <c r="A21" s="17" t="s">
        <v>68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17">
        <v>180</v>
      </c>
      <c r="H21" s="79">
        <v>31.51</v>
      </c>
      <c r="I21" s="14">
        <f t="shared" si="0"/>
        <v>7.0330320000000004</v>
      </c>
      <c r="J21" s="14">
        <f t="shared" si="1"/>
        <v>38.543032000000004</v>
      </c>
      <c r="K21" s="14">
        <f t="shared" si="2"/>
        <v>1.1562909600000001E-2</v>
      </c>
      <c r="L21" s="14">
        <f t="shared" si="3"/>
        <v>38.531469090400002</v>
      </c>
      <c r="M21" s="14">
        <f t="shared" si="4"/>
        <v>6935.6644362719999</v>
      </c>
      <c r="N21" s="14">
        <f t="shared" si="5"/>
        <v>5.9301059259655786E-2</v>
      </c>
      <c r="O21" s="164"/>
    </row>
    <row r="22" spans="1:15" ht="26.25" customHeight="1" x14ac:dyDescent="0.3">
      <c r="A22" s="17" t="s">
        <v>69</v>
      </c>
      <c r="B22" s="17" t="s">
        <v>33</v>
      </c>
      <c r="C22" s="11">
        <v>88309</v>
      </c>
      <c r="D22" s="11" t="s">
        <v>34</v>
      </c>
      <c r="E22" s="20" t="s">
        <v>59</v>
      </c>
      <c r="F22" s="13" t="s">
        <v>35</v>
      </c>
      <c r="G22" s="17">
        <v>180</v>
      </c>
      <c r="H22" s="79">
        <v>34.08</v>
      </c>
      <c r="I22" s="14">
        <f t="shared" si="0"/>
        <v>7.6066560000000001</v>
      </c>
      <c r="J22" s="14">
        <f t="shared" si="1"/>
        <v>41.686655999999999</v>
      </c>
      <c r="K22" s="14">
        <f t="shared" si="2"/>
        <v>1.2505996799999999E-2</v>
      </c>
      <c r="L22" s="14">
        <f t="shared" si="3"/>
        <v>41.674150003199998</v>
      </c>
      <c r="M22" s="14">
        <f t="shared" si="4"/>
        <v>7501.3470005759991</v>
      </c>
      <c r="N22" s="14">
        <f t="shared" si="5"/>
        <v>6.4137737212601367E-2</v>
      </c>
      <c r="O22" s="164"/>
    </row>
    <row r="23" spans="1:15" ht="26.25" customHeight="1" x14ac:dyDescent="0.3">
      <c r="A23" s="17" t="s">
        <v>70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17">
        <v>180</v>
      </c>
      <c r="H23" s="79">
        <v>34.08</v>
      </c>
      <c r="I23" s="14">
        <f t="shared" si="0"/>
        <v>7.6066560000000001</v>
      </c>
      <c r="J23" s="14">
        <f t="shared" si="1"/>
        <v>41.686655999999999</v>
      </c>
      <c r="K23" s="14">
        <f t="shared" si="2"/>
        <v>1.2505996799999999E-2</v>
      </c>
      <c r="L23" s="14">
        <f t="shared" si="3"/>
        <v>41.674150003199998</v>
      </c>
      <c r="M23" s="14">
        <f t="shared" si="4"/>
        <v>7501.3470005759991</v>
      </c>
      <c r="N23" s="14">
        <f t="shared" si="5"/>
        <v>6.4137737212601367E-2</v>
      </c>
      <c r="O23" s="164"/>
    </row>
    <row r="24" spans="1:15" ht="26.25" customHeight="1" x14ac:dyDescent="0.3">
      <c r="A24" s="17" t="s">
        <v>71</v>
      </c>
      <c r="B24" s="17" t="s">
        <v>33</v>
      </c>
      <c r="C24" s="11">
        <v>88242</v>
      </c>
      <c r="D24" s="11" t="s">
        <v>34</v>
      </c>
      <c r="E24" s="20" t="s">
        <v>61</v>
      </c>
      <c r="F24" s="13" t="s">
        <v>35</v>
      </c>
      <c r="G24" s="17">
        <v>180</v>
      </c>
      <c r="H24" s="79">
        <v>32.08</v>
      </c>
      <c r="I24" s="14">
        <f t="shared" si="0"/>
        <v>7.1602559999999995</v>
      </c>
      <c r="J24" s="14">
        <f t="shared" si="1"/>
        <v>39.240255999999995</v>
      </c>
      <c r="K24" s="14">
        <f t="shared" si="2"/>
        <v>1.1772076799999998E-2</v>
      </c>
      <c r="L24" s="14">
        <f t="shared" si="3"/>
        <v>39.228483923199995</v>
      </c>
      <c r="M24" s="14">
        <f t="shared" si="4"/>
        <v>7061.127106175999</v>
      </c>
      <c r="N24" s="14">
        <f t="shared" si="5"/>
        <v>6.0373785498246818E-2</v>
      </c>
      <c r="O24" s="164"/>
    </row>
    <row r="25" spans="1:15" ht="26.25" customHeight="1" x14ac:dyDescent="0.3">
      <c r="A25" s="101" t="s">
        <v>212</v>
      </c>
      <c r="B25" s="102"/>
      <c r="C25" s="102"/>
      <c r="D25" s="102"/>
      <c r="E25" s="103"/>
      <c r="F25" s="89" t="s">
        <v>35</v>
      </c>
      <c r="G25" s="90">
        <v>-88</v>
      </c>
      <c r="H25" s="91">
        <v>32.08</v>
      </c>
      <c r="I25" s="92">
        <f t="shared" ref="I25" si="6">H25*0.2232</f>
        <v>7.1602559999999995</v>
      </c>
      <c r="J25" s="92">
        <f t="shared" ref="J25" si="7">H25+I25</f>
        <v>39.240255999999995</v>
      </c>
      <c r="K25" s="92">
        <f t="shared" ref="K25" si="8">J25*(0.03%)</f>
        <v>1.1772076799999998E-2</v>
      </c>
      <c r="L25" s="92">
        <f t="shared" ref="L25" si="9">J25-K25</f>
        <v>39.228483923199995</v>
      </c>
      <c r="M25" s="92">
        <f t="shared" ref="M25" si="10">L25*G25</f>
        <v>-3452.1065852415995</v>
      </c>
      <c r="N25" s="92">
        <f t="shared" ref="N25" si="11">M25/M$16</f>
        <v>-2.9516072910254001E-2</v>
      </c>
      <c r="O25" s="164"/>
    </row>
    <row r="26" spans="1:15" ht="26.25" customHeight="1" x14ac:dyDescent="0.3">
      <c r="A26" s="17" t="s">
        <v>72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17">
        <v>180</v>
      </c>
      <c r="H26" s="79">
        <v>32.08</v>
      </c>
      <c r="I26" s="14">
        <f t="shared" si="0"/>
        <v>7.1602559999999995</v>
      </c>
      <c r="J26" s="14">
        <f t="shared" si="1"/>
        <v>39.240255999999995</v>
      </c>
      <c r="K26" s="14">
        <f t="shared" si="2"/>
        <v>1.1772076799999998E-2</v>
      </c>
      <c r="L26" s="14">
        <f t="shared" si="3"/>
        <v>39.228483923199995</v>
      </c>
      <c r="M26" s="14">
        <f t="shared" si="4"/>
        <v>7061.127106175999</v>
      </c>
      <c r="N26" s="14">
        <f t="shared" si="5"/>
        <v>6.0373785498246818E-2</v>
      </c>
      <c r="O26" s="164"/>
    </row>
    <row r="27" spans="1:15" ht="26.25" customHeight="1" x14ac:dyDescent="0.3">
      <c r="A27" s="17" t="s">
        <v>73</v>
      </c>
      <c r="B27" s="17" t="s">
        <v>33</v>
      </c>
      <c r="C27" s="11" t="s">
        <v>60</v>
      </c>
      <c r="D27" s="11" t="s">
        <v>34</v>
      </c>
      <c r="E27" s="20" t="s">
        <v>61</v>
      </c>
      <c r="F27" s="13" t="s">
        <v>35</v>
      </c>
      <c r="G27" s="17">
        <v>180</v>
      </c>
      <c r="H27" s="79">
        <v>32.08</v>
      </c>
      <c r="I27" s="14">
        <f t="shared" si="0"/>
        <v>7.1602559999999995</v>
      </c>
      <c r="J27" s="14">
        <f t="shared" si="1"/>
        <v>39.240255999999995</v>
      </c>
      <c r="K27" s="14">
        <f t="shared" si="2"/>
        <v>1.1772076799999998E-2</v>
      </c>
      <c r="L27" s="14">
        <f t="shared" si="3"/>
        <v>39.228483923199995</v>
      </c>
      <c r="M27" s="14">
        <f t="shared" si="4"/>
        <v>7061.127106175999</v>
      </c>
      <c r="N27" s="14">
        <f t="shared" si="5"/>
        <v>6.0373785498246818E-2</v>
      </c>
      <c r="O27" s="164"/>
    </row>
    <row r="28" spans="1:15" ht="26.25" customHeight="1" x14ac:dyDescent="0.3">
      <c r="A28" s="17" t="s">
        <v>74</v>
      </c>
      <c r="B28" s="17" t="s">
        <v>33</v>
      </c>
      <c r="C28" s="11">
        <v>88241</v>
      </c>
      <c r="D28" s="11" t="s">
        <v>34</v>
      </c>
      <c r="E28" s="12" t="s">
        <v>64</v>
      </c>
      <c r="F28" s="13" t="s">
        <v>35</v>
      </c>
      <c r="G28" s="17">
        <v>180</v>
      </c>
      <c r="H28" s="79">
        <v>29.66</v>
      </c>
      <c r="I28" s="14">
        <f t="shared" si="0"/>
        <v>6.6201120000000007</v>
      </c>
      <c r="J28" s="14">
        <f t="shared" si="1"/>
        <v>36.280112000000003</v>
      </c>
      <c r="K28" s="14">
        <f t="shared" si="2"/>
        <v>1.0884033600000001E-2</v>
      </c>
      <c r="L28" s="14">
        <f t="shared" si="3"/>
        <v>36.269227966400003</v>
      </c>
      <c r="M28" s="14">
        <f t="shared" si="4"/>
        <v>6528.4610339520004</v>
      </c>
      <c r="N28" s="14">
        <f t="shared" si="5"/>
        <v>5.5819403923877839E-2</v>
      </c>
      <c r="O28" s="164"/>
    </row>
    <row r="29" spans="1:15" ht="26.25" customHeight="1" x14ac:dyDescent="0.3">
      <c r="A29" s="17" t="s">
        <v>75</v>
      </c>
      <c r="B29" s="17" t="s">
        <v>33</v>
      </c>
      <c r="C29" s="11" t="s">
        <v>63</v>
      </c>
      <c r="D29" s="11" t="s">
        <v>34</v>
      </c>
      <c r="E29" s="12" t="s">
        <v>64</v>
      </c>
      <c r="F29" s="13" t="s">
        <v>35</v>
      </c>
      <c r="G29" s="17">
        <v>180</v>
      </c>
      <c r="H29" s="79">
        <v>29.66</v>
      </c>
      <c r="I29" s="14">
        <f t="shared" si="0"/>
        <v>6.6201120000000007</v>
      </c>
      <c r="J29" s="14">
        <f t="shared" si="1"/>
        <v>36.280112000000003</v>
      </c>
      <c r="K29" s="14">
        <f t="shared" si="2"/>
        <v>1.0884033600000001E-2</v>
      </c>
      <c r="L29" s="14">
        <f t="shared" si="3"/>
        <v>36.269227966400003</v>
      </c>
      <c r="M29" s="14">
        <f t="shared" si="4"/>
        <v>6528.4610339520004</v>
      </c>
      <c r="N29" s="14">
        <f t="shared" si="5"/>
        <v>5.5819403923877839E-2</v>
      </c>
      <c r="O29" s="164"/>
    </row>
    <row r="30" spans="1:15" s="29" customFormat="1" ht="26.25" customHeight="1" x14ac:dyDescent="0.2">
      <c r="A30" s="33" t="s">
        <v>96</v>
      </c>
      <c r="B30" s="33" t="s">
        <v>33</v>
      </c>
      <c r="C30" s="33" t="s">
        <v>58</v>
      </c>
      <c r="D30" s="33" t="s">
        <v>34</v>
      </c>
      <c r="E30" s="34" t="s">
        <v>59</v>
      </c>
      <c r="F30" s="35" t="s">
        <v>35</v>
      </c>
      <c r="G30" s="11">
        <v>180</v>
      </c>
      <c r="H30" s="79">
        <v>34.08</v>
      </c>
      <c r="I30" s="36">
        <f>H30*0.2232</f>
        <v>7.6066560000000001</v>
      </c>
      <c r="J30" s="36">
        <f>H30+I30</f>
        <v>41.686655999999999</v>
      </c>
      <c r="K30" s="36">
        <f>J30*(0.03%)</f>
        <v>1.2505996799999999E-2</v>
      </c>
      <c r="L30" s="36">
        <f>J30-K30</f>
        <v>41.674150003199998</v>
      </c>
      <c r="M30" s="36">
        <f>L30*G30</f>
        <v>7501.3470005759991</v>
      </c>
      <c r="N30" s="36">
        <f>M30/M$16</f>
        <v>6.4137737212601367E-2</v>
      </c>
      <c r="O30" s="164"/>
    </row>
    <row r="31" spans="1:15" s="29" customFormat="1" ht="23.25" customHeight="1" x14ac:dyDescent="0.2">
      <c r="A31" s="33" t="s">
        <v>97</v>
      </c>
      <c r="B31" s="33" t="s">
        <v>33</v>
      </c>
      <c r="C31" s="33" t="s">
        <v>60</v>
      </c>
      <c r="D31" s="33" t="s">
        <v>34</v>
      </c>
      <c r="E31" s="34" t="s">
        <v>61</v>
      </c>
      <c r="F31" s="35" t="s">
        <v>35</v>
      </c>
      <c r="G31" s="11">
        <v>180</v>
      </c>
      <c r="H31" s="79">
        <v>32.08</v>
      </c>
      <c r="I31" s="36">
        <f>H31*0.2232</f>
        <v>7.1602559999999995</v>
      </c>
      <c r="J31" s="36">
        <f>H31+I31</f>
        <v>39.240255999999995</v>
      </c>
      <c r="K31" s="36">
        <f>J31*(0.03%)</f>
        <v>1.1772076799999998E-2</v>
      </c>
      <c r="L31" s="36">
        <f>J31-K31</f>
        <v>39.228483923199995</v>
      </c>
      <c r="M31" s="36">
        <f>L31*G31</f>
        <v>7061.127106175999</v>
      </c>
      <c r="N31" s="36">
        <f>M31/M$16</f>
        <v>6.0373785498246818E-2</v>
      </c>
      <c r="O31" s="164"/>
    </row>
    <row r="32" spans="1:15" s="29" customFormat="1" ht="23.25" customHeight="1" x14ac:dyDescent="0.2">
      <c r="A32" s="11" t="s">
        <v>98</v>
      </c>
      <c r="B32" s="11" t="s">
        <v>33</v>
      </c>
      <c r="C32" s="11">
        <v>88310</v>
      </c>
      <c r="D32" s="11" t="s">
        <v>34</v>
      </c>
      <c r="E32" s="20" t="s">
        <v>79</v>
      </c>
      <c r="F32" s="13" t="s">
        <v>35</v>
      </c>
      <c r="G32" s="11">
        <v>180</v>
      </c>
      <c r="H32" s="79">
        <v>36.82</v>
      </c>
      <c r="I32" s="14">
        <f>H32*0.2232</f>
        <v>8.2182240000000011</v>
      </c>
      <c r="J32" s="14">
        <f>H32+I32</f>
        <v>45.038224</v>
      </c>
      <c r="K32" s="14">
        <f>J32*(0.03%)</f>
        <v>1.3511467199999998E-2</v>
      </c>
      <c r="L32" s="14">
        <f>J32-K32</f>
        <v>45.024712532800002</v>
      </c>
      <c r="M32" s="14">
        <f>L32*G32</f>
        <v>8104.4482559040007</v>
      </c>
      <c r="N32" s="14">
        <f>M32/M$16</f>
        <v>6.9294351061267093E-2</v>
      </c>
      <c r="O32" s="164"/>
    </row>
    <row r="33" spans="1:15" ht="26.25" customHeight="1" x14ac:dyDescent="0.3">
      <c r="A33" s="59" t="s">
        <v>99</v>
      </c>
      <c r="B33" s="60" t="s">
        <v>33</v>
      </c>
      <c r="C33" s="61">
        <v>88243</v>
      </c>
      <c r="D33" s="61" t="s">
        <v>34</v>
      </c>
      <c r="E33" s="62" t="s">
        <v>100</v>
      </c>
      <c r="F33" s="13" t="s">
        <v>35</v>
      </c>
      <c r="G33" s="11">
        <v>180</v>
      </c>
      <c r="H33" s="79">
        <v>31.03</v>
      </c>
      <c r="I33" s="14">
        <f>H33*0.2232</f>
        <v>6.9258960000000007</v>
      </c>
      <c r="J33" s="14">
        <f>H33+I33</f>
        <v>37.955896000000003</v>
      </c>
      <c r="K33" s="14">
        <f>J33*(0.03%)</f>
        <v>1.1386768800000001E-2</v>
      </c>
      <c r="L33" s="14">
        <f>J33-K33</f>
        <v>37.944509231200001</v>
      </c>
      <c r="M33" s="14">
        <f>L33*G33</f>
        <v>6830.0116616160003</v>
      </c>
      <c r="N33" s="14">
        <f>M33/M$16</f>
        <v>5.8397710848210695E-2</v>
      </c>
      <c r="O33" s="164"/>
    </row>
    <row r="34" spans="1:15" x14ac:dyDescent="0.3">
      <c r="A34" s="104" t="s">
        <v>16</v>
      </c>
      <c r="B34" s="93" t="s">
        <v>17</v>
      </c>
      <c r="C34" s="93" t="s">
        <v>18</v>
      </c>
      <c r="D34" s="93" t="s">
        <v>19</v>
      </c>
      <c r="E34" s="93" t="s">
        <v>20</v>
      </c>
      <c r="F34" s="93" t="s">
        <v>21</v>
      </c>
      <c r="G34" s="93" t="s">
        <v>22</v>
      </c>
      <c r="H34" s="106" t="s">
        <v>23</v>
      </c>
      <c r="I34" s="106"/>
      <c r="J34" s="106"/>
      <c r="K34" s="106"/>
      <c r="L34" s="107"/>
      <c r="M34" s="93" t="s">
        <v>24</v>
      </c>
      <c r="N34" s="93" t="s">
        <v>25</v>
      </c>
      <c r="O34" s="164"/>
    </row>
    <row r="35" spans="1:15" ht="17.100000000000001" customHeight="1" x14ac:dyDescent="0.3">
      <c r="A35" s="105"/>
      <c r="B35" s="94"/>
      <c r="C35" s="94"/>
      <c r="D35" s="94"/>
      <c r="E35" s="94"/>
      <c r="F35" s="94"/>
      <c r="G35" s="94"/>
      <c r="H35" s="4" t="s">
        <v>27</v>
      </c>
      <c r="I35" s="25" t="s">
        <v>36</v>
      </c>
      <c r="J35" s="3" t="s">
        <v>29</v>
      </c>
      <c r="K35" s="4" t="s">
        <v>52</v>
      </c>
      <c r="L35" s="3" t="s">
        <v>30</v>
      </c>
      <c r="M35" s="94"/>
      <c r="N35" s="94"/>
      <c r="O35" s="154"/>
    </row>
    <row r="36" spans="1:15" ht="17.100000000000001" customHeight="1" x14ac:dyDescent="0.3">
      <c r="A36" s="15">
        <v>2</v>
      </c>
      <c r="B36" s="95" t="s">
        <v>37</v>
      </c>
      <c r="C36" s="95"/>
      <c r="D36" s="96"/>
      <c r="E36" s="96"/>
      <c r="F36" s="96"/>
      <c r="G36" s="16"/>
      <c r="H36" s="49"/>
      <c r="I36" s="16"/>
      <c r="J36" s="16"/>
      <c r="K36" s="16"/>
      <c r="L36" s="16"/>
      <c r="M36" s="22">
        <f>SUM(M37:M81)</f>
        <v>26833.514753033032</v>
      </c>
      <c r="N36" s="16"/>
      <c r="O36" s="164"/>
    </row>
    <row r="37" spans="1:15" s="19" customFormat="1" ht="17.100000000000001" customHeight="1" x14ac:dyDescent="0.2">
      <c r="A37" s="18" t="s">
        <v>104</v>
      </c>
      <c r="B37" s="18" t="s">
        <v>81</v>
      </c>
      <c r="C37" s="18">
        <v>35692</v>
      </c>
      <c r="D37" s="18" t="s">
        <v>34</v>
      </c>
      <c r="E37" s="72" t="s">
        <v>113</v>
      </c>
      <c r="F37" s="18" t="s">
        <v>114</v>
      </c>
      <c r="G37" s="18">
        <f>5*18</f>
        <v>90</v>
      </c>
      <c r="H37" s="83">
        <v>21.12</v>
      </c>
      <c r="I37" s="14">
        <f t="shared" ref="I37:I44" si="12">H37*0.1532</f>
        <v>3.2355840000000002</v>
      </c>
      <c r="J37" s="14">
        <f t="shared" ref="J37:J44" si="13">H37+I37</f>
        <v>24.355584</v>
      </c>
      <c r="K37" s="14">
        <f t="shared" ref="K37:K44" si="14">J37*(0.03%)</f>
        <v>7.3066751999999995E-3</v>
      </c>
      <c r="L37" s="14">
        <f t="shared" ref="L37:L44" si="15">J37-K37</f>
        <v>24.348277324800002</v>
      </c>
      <c r="M37" s="14">
        <f t="shared" ref="M37:M44" si="16">L37*G37</f>
        <v>2191.3449592320003</v>
      </c>
      <c r="N37" s="14">
        <f t="shared" ref="N37:N40" si="17">M37/M36</f>
        <v>8.1664477404485722E-2</v>
      </c>
      <c r="O37" s="164"/>
    </row>
    <row r="38" spans="1:15" s="19" customFormat="1" ht="17.100000000000001" customHeight="1" x14ac:dyDescent="0.2">
      <c r="A38" s="18" t="s">
        <v>105</v>
      </c>
      <c r="B38" s="18" t="s">
        <v>81</v>
      </c>
      <c r="C38" s="18">
        <v>35692</v>
      </c>
      <c r="D38" s="18" t="s">
        <v>34</v>
      </c>
      <c r="E38" s="72" t="s">
        <v>116</v>
      </c>
      <c r="F38" s="18" t="s">
        <v>114</v>
      </c>
      <c r="G38" s="18">
        <f>3*18</f>
        <v>54</v>
      </c>
      <c r="H38" s="83">
        <v>21.12</v>
      </c>
      <c r="I38" s="14">
        <f t="shared" si="12"/>
        <v>3.2355840000000002</v>
      </c>
      <c r="J38" s="14">
        <f t="shared" si="13"/>
        <v>24.355584</v>
      </c>
      <c r="K38" s="14">
        <f t="shared" si="14"/>
        <v>7.3066751999999995E-3</v>
      </c>
      <c r="L38" s="14">
        <f t="shared" si="15"/>
        <v>24.348277324800002</v>
      </c>
      <c r="M38" s="14">
        <f t="shared" si="16"/>
        <v>1314.8069755392</v>
      </c>
      <c r="N38" s="14">
        <f t="shared" si="17"/>
        <v>0.6</v>
      </c>
      <c r="O38" s="164"/>
    </row>
    <row r="39" spans="1:15" s="43" customFormat="1" ht="15" customHeight="1" x14ac:dyDescent="0.3">
      <c r="A39" s="18" t="s">
        <v>106</v>
      </c>
      <c r="B39" s="18" t="s">
        <v>81</v>
      </c>
      <c r="C39" s="11">
        <v>4791</v>
      </c>
      <c r="D39" s="18" t="s">
        <v>34</v>
      </c>
      <c r="E39" s="70" t="s">
        <v>118</v>
      </c>
      <c r="F39" s="18" t="s">
        <v>119</v>
      </c>
      <c r="G39" s="18">
        <f>2.8*6</f>
        <v>16.799999999999997</v>
      </c>
      <c r="H39" s="84">
        <v>52.56</v>
      </c>
      <c r="I39" s="14">
        <f t="shared" si="12"/>
        <v>8.0521919999999998</v>
      </c>
      <c r="J39" s="14">
        <f t="shared" si="13"/>
        <v>60.612192</v>
      </c>
      <c r="K39" s="14">
        <f t="shared" si="14"/>
        <v>1.81836576E-2</v>
      </c>
      <c r="L39" s="14">
        <f t="shared" si="15"/>
        <v>60.594008342400002</v>
      </c>
      <c r="M39" s="14">
        <f t="shared" si="16"/>
        <v>1017.9793401523199</v>
      </c>
      <c r="N39" s="14">
        <f t="shared" si="17"/>
        <v>0.77424242424242418</v>
      </c>
      <c r="O39" s="164"/>
    </row>
    <row r="40" spans="1:15" s="19" customFormat="1" ht="17.100000000000001" customHeight="1" x14ac:dyDescent="0.2">
      <c r="A40" s="18" t="s">
        <v>128</v>
      </c>
      <c r="B40" s="18" t="s">
        <v>81</v>
      </c>
      <c r="C40" s="18">
        <v>4823</v>
      </c>
      <c r="D40" s="18" t="s">
        <v>34</v>
      </c>
      <c r="E40" s="54" t="s">
        <v>121</v>
      </c>
      <c r="F40" s="18" t="s">
        <v>119</v>
      </c>
      <c r="G40" s="18">
        <v>6</v>
      </c>
      <c r="H40" s="84">
        <v>35.119999999999997</v>
      </c>
      <c r="I40" s="14">
        <f t="shared" si="12"/>
        <v>5.3803839999999994</v>
      </c>
      <c r="J40" s="14">
        <f t="shared" si="13"/>
        <v>40.500383999999997</v>
      </c>
      <c r="K40" s="14">
        <f t="shared" si="14"/>
        <v>1.2150115199999999E-2</v>
      </c>
      <c r="L40" s="14">
        <f t="shared" si="15"/>
        <v>40.488233884799996</v>
      </c>
      <c r="M40" s="14">
        <f t="shared" si="16"/>
        <v>242.92940330879998</v>
      </c>
      <c r="N40" s="14">
        <f t="shared" si="17"/>
        <v>0.2386388345292455</v>
      </c>
      <c r="O40" s="164"/>
    </row>
    <row r="41" spans="1:15" s="19" customFormat="1" ht="17.100000000000001" customHeight="1" x14ac:dyDescent="0.2">
      <c r="A41" s="18" t="s">
        <v>112</v>
      </c>
      <c r="B41" s="18" t="s">
        <v>81</v>
      </c>
      <c r="C41" s="18">
        <v>39701</v>
      </c>
      <c r="D41" s="18" t="s">
        <v>34</v>
      </c>
      <c r="E41" s="54" t="s">
        <v>123</v>
      </c>
      <c r="F41" s="18" t="s">
        <v>21</v>
      </c>
      <c r="G41" s="18">
        <v>10</v>
      </c>
      <c r="H41" s="84">
        <v>101.02</v>
      </c>
      <c r="I41" s="14">
        <f t="shared" si="12"/>
        <v>15.476264</v>
      </c>
      <c r="J41" s="14">
        <f t="shared" si="13"/>
        <v>116.496264</v>
      </c>
      <c r="K41" s="14">
        <f t="shared" si="14"/>
        <v>3.4948879199999998E-2</v>
      </c>
      <c r="L41" s="14">
        <f t="shared" si="15"/>
        <v>116.46131512079999</v>
      </c>
      <c r="M41" s="14">
        <f t="shared" si="16"/>
        <v>1164.6131512079999</v>
      </c>
      <c r="N41" s="14">
        <f>M41/M$31</f>
        <v>0.16493303883304603</v>
      </c>
      <c r="O41" s="164"/>
    </row>
    <row r="42" spans="1:15" s="19" customFormat="1" ht="17.100000000000001" customHeight="1" x14ac:dyDescent="0.2">
      <c r="A42" s="18" t="s">
        <v>115</v>
      </c>
      <c r="B42" s="18" t="s">
        <v>81</v>
      </c>
      <c r="C42" s="11">
        <v>43651</v>
      </c>
      <c r="D42" s="18" t="s">
        <v>34</v>
      </c>
      <c r="E42" s="44" t="s">
        <v>125</v>
      </c>
      <c r="F42" s="18" t="s">
        <v>119</v>
      </c>
      <c r="G42" s="18">
        <f>23*5</f>
        <v>115</v>
      </c>
      <c r="H42" s="83">
        <v>6.92</v>
      </c>
      <c r="I42" s="14">
        <f t="shared" si="12"/>
        <v>1.060144</v>
      </c>
      <c r="J42" s="14">
        <f t="shared" si="13"/>
        <v>7.9801440000000001</v>
      </c>
      <c r="K42" s="14">
        <f t="shared" si="14"/>
        <v>2.3940431999999998E-3</v>
      </c>
      <c r="L42" s="14">
        <f t="shared" si="15"/>
        <v>7.9777499568000003</v>
      </c>
      <c r="M42" s="14">
        <f t="shared" si="16"/>
        <v>917.44124503199998</v>
      </c>
      <c r="N42" s="14">
        <f t="shared" ref="N42" si="18">M42/M41</f>
        <v>0.78776479904969321</v>
      </c>
      <c r="O42" s="164"/>
    </row>
    <row r="43" spans="1:15" s="43" customFormat="1" ht="15" customHeight="1" x14ac:dyDescent="0.2">
      <c r="A43" s="18" t="s">
        <v>117</v>
      </c>
      <c r="B43" s="18" t="s">
        <v>81</v>
      </c>
      <c r="C43" s="18">
        <v>366</v>
      </c>
      <c r="D43" s="18" t="s">
        <v>34</v>
      </c>
      <c r="E43" s="71" t="s">
        <v>127</v>
      </c>
      <c r="F43" s="18" t="s">
        <v>101</v>
      </c>
      <c r="G43" s="18">
        <v>5</v>
      </c>
      <c r="H43" s="83">
        <v>85</v>
      </c>
      <c r="I43" s="14">
        <f t="shared" si="12"/>
        <v>13.022</v>
      </c>
      <c r="J43" s="14">
        <f t="shared" si="13"/>
        <v>98.022000000000006</v>
      </c>
      <c r="K43" s="14">
        <f t="shared" si="14"/>
        <v>2.9406599999999998E-2</v>
      </c>
      <c r="L43" s="14">
        <f t="shared" si="15"/>
        <v>97.992593400000004</v>
      </c>
      <c r="M43" s="14">
        <f t="shared" si="16"/>
        <v>489.96296700000005</v>
      </c>
      <c r="N43" s="14">
        <f>M43/M$31</f>
        <v>6.9388775988957208E-2</v>
      </c>
      <c r="O43" s="164"/>
    </row>
    <row r="44" spans="1:15" s="73" customFormat="1" ht="16.5" customHeight="1" x14ac:dyDescent="0.2">
      <c r="A44" s="18" t="s">
        <v>131</v>
      </c>
      <c r="B44" s="18" t="s">
        <v>81</v>
      </c>
      <c r="C44" s="18">
        <v>34357</v>
      </c>
      <c r="D44" s="18" t="s">
        <v>34</v>
      </c>
      <c r="E44" s="72" t="s">
        <v>129</v>
      </c>
      <c r="F44" s="18" t="s">
        <v>119</v>
      </c>
      <c r="G44" s="18">
        <v>20</v>
      </c>
      <c r="H44" s="84">
        <v>4.99</v>
      </c>
      <c r="I44" s="14">
        <f t="shared" si="12"/>
        <v>0.76446800000000004</v>
      </c>
      <c r="J44" s="14">
        <f t="shared" si="13"/>
        <v>5.7544680000000001</v>
      </c>
      <c r="K44" s="14">
        <f t="shared" si="14"/>
        <v>1.7263404E-3</v>
      </c>
      <c r="L44" s="14">
        <f t="shared" si="15"/>
        <v>5.7527416595999998</v>
      </c>
      <c r="M44" s="14">
        <f t="shared" si="16"/>
        <v>115.05483319199999</v>
      </c>
      <c r="N44" s="14">
        <f t="shared" ref="N44:N47" si="19">M44/M43</f>
        <v>0.23482352941176465</v>
      </c>
      <c r="O44" s="164"/>
    </row>
    <row r="45" spans="1:15" s="19" customFormat="1" ht="17.100000000000001" customHeight="1" x14ac:dyDescent="0.2">
      <c r="A45" s="18" t="s">
        <v>82</v>
      </c>
      <c r="B45" s="18" t="s">
        <v>81</v>
      </c>
      <c r="C45" s="11">
        <v>1106</v>
      </c>
      <c r="D45" s="18" t="s">
        <v>34</v>
      </c>
      <c r="E45" s="44" t="s">
        <v>130</v>
      </c>
      <c r="F45" s="18" t="s">
        <v>119</v>
      </c>
      <c r="G45" s="18">
        <v>300</v>
      </c>
      <c r="H45" s="84">
        <v>0.9</v>
      </c>
      <c r="I45" s="14">
        <f t="shared" ref="I45:I48" si="20">H45*0.1532</f>
        <v>0.13788</v>
      </c>
      <c r="J45" s="14">
        <f t="shared" ref="J45:J48" si="21">H45+I45</f>
        <v>1.0378799999999999</v>
      </c>
      <c r="K45" s="14">
        <f t="shared" ref="K45:K48" si="22">J45*(0.03%)</f>
        <v>3.1136399999999996E-4</v>
      </c>
      <c r="L45" s="14">
        <f t="shared" ref="L45:L48" si="23">J45-K45</f>
        <v>1.0375686359999998</v>
      </c>
      <c r="M45" s="14">
        <f t="shared" ref="M45:M48" si="24">L45*G45</f>
        <v>311.27059079999992</v>
      </c>
      <c r="N45" s="14">
        <f t="shared" si="19"/>
        <v>2.7054108216432859</v>
      </c>
      <c r="O45" s="164"/>
    </row>
    <row r="46" spans="1:15" s="19" customFormat="1" ht="17.100000000000001" customHeight="1" x14ac:dyDescent="0.2">
      <c r="A46" s="18" t="s">
        <v>124</v>
      </c>
      <c r="B46" s="18" t="s">
        <v>81</v>
      </c>
      <c r="C46" s="11">
        <v>11696</v>
      </c>
      <c r="D46" s="18" t="s">
        <v>34</v>
      </c>
      <c r="E46" s="44" t="s">
        <v>132</v>
      </c>
      <c r="F46" s="18" t="s">
        <v>21</v>
      </c>
      <c r="G46" s="18">
        <v>3</v>
      </c>
      <c r="H46" s="83">
        <v>165.59</v>
      </c>
      <c r="I46" s="14">
        <f t="shared" si="20"/>
        <v>25.368387999999999</v>
      </c>
      <c r="J46" s="14">
        <f t="shared" si="21"/>
        <v>190.95838800000001</v>
      </c>
      <c r="K46" s="14">
        <f t="shared" si="22"/>
        <v>5.7287516400000002E-2</v>
      </c>
      <c r="L46" s="14">
        <f t="shared" si="23"/>
        <v>190.9011004836</v>
      </c>
      <c r="M46" s="14">
        <f t="shared" si="24"/>
        <v>572.70330145080004</v>
      </c>
      <c r="N46" s="14">
        <f t="shared" si="19"/>
        <v>1.8398888888888896</v>
      </c>
      <c r="O46" s="164"/>
    </row>
    <row r="47" spans="1:15" s="46" customFormat="1" ht="15" customHeight="1" x14ac:dyDescent="0.3">
      <c r="A47" s="18" t="s">
        <v>133</v>
      </c>
      <c r="B47" s="18" t="s">
        <v>81</v>
      </c>
      <c r="C47" s="18">
        <v>11950</v>
      </c>
      <c r="D47" s="18" t="s">
        <v>34</v>
      </c>
      <c r="E47" s="72" t="s">
        <v>138</v>
      </c>
      <c r="F47" s="18" t="s">
        <v>21</v>
      </c>
      <c r="G47" s="18">
        <v>100</v>
      </c>
      <c r="H47" s="84">
        <v>0.12</v>
      </c>
      <c r="I47" s="14">
        <f t="shared" si="20"/>
        <v>1.8384000000000001E-2</v>
      </c>
      <c r="J47" s="14">
        <f t="shared" si="21"/>
        <v>0.13838400000000001</v>
      </c>
      <c r="K47" s="14">
        <f t="shared" si="22"/>
        <v>4.1515199999999999E-5</v>
      </c>
      <c r="L47" s="14">
        <f t="shared" si="23"/>
        <v>0.1383424848</v>
      </c>
      <c r="M47" s="14">
        <f t="shared" si="24"/>
        <v>13.834248479999999</v>
      </c>
      <c r="N47" s="14">
        <f t="shared" si="19"/>
        <v>2.4156048070535657E-2</v>
      </c>
      <c r="O47" s="164"/>
    </row>
    <row r="48" spans="1:15" s="46" customFormat="1" ht="15" customHeight="1" x14ac:dyDescent="0.3">
      <c r="A48" s="18" t="s">
        <v>134</v>
      </c>
      <c r="B48" s="18" t="s">
        <v>81</v>
      </c>
      <c r="C48" s="18">
        <v>7583</v>
      </c>
      <c r="D48" s="18" t="s">
        <v>34</v>
      </c>
      <c r="E48" s="72" t="s">
        <v>140</v>
      </c>
      <c r="F48" s="18" t="s">
        <v>21</v>
      </c>
      <c r="G48" s="18">
        <v>100</v>
      </c>
      <c r="H48" s="84">
        <v>0.25</v>
      </c>
      <c r="I48" s="14">
        <f t="shared" si="20"/>
        <v>3.8300000000000001E-2</v>
      </c>
      <c r="J48" s="14">
        <f t="shared" si="21"/>
        <v>0.2883</v>
      </c>
      <c r="K48" s="14">
        <f t="shared" si="22"/>
        <v>8.6489999999999994E-5</v>
      </c>
      <c r="L48" s="14">
        <f t="shared" si="23"/>
        <v>0.28821351000000001</v>
      </c>
      <c r="M48" s="14">
        <f t="shared" si="24"/>
        <v>28.821351</v>
      </c>
      <c r="N48" s="14">
        <f t="shared" ref="N48" si="25">M48/M47</f>
        <v>2.0833333333333335</v>
      </c>
      <c r="O48" s="164"/>
    </row>
    <row r="49" spans="1:119" s="19" customFormat="1" ht="17.100000000000001" customHeight="1" x14ac:dyDescent="0.2">
      <c r="A49" s="18" t="s">
        <v>135</v>
      </c>
      <c r="B49" s="18" t="s">
        <v>81</v>
      </c>
      <c r="C49" s="11">
        <v>39961</v>
      </c>
      <c r="D49" s="18" t="s">
        <v>34</v>
      </c>
      <c r="E49" s="44" t="s">
        <v>141</v>
      </c>
      <c r="F49" s="18" t="s">
        <v>21</v>
      </c>
      <c r="G49" s="18">
        <v>12</v>
      </c>
      <c r="H49" s="83">
        <v>21.89</v>
      </c>
      <c r="I49" s="14">
        <f t="shared" ref="I49:I55" si="26">H49*0.1532</f>
        <v>3.353548</v>
      </c>
      <c r="J49" s="14">
        <f t="shared" ref="J49:J55" si="27">H49+I49</f>
        <v>25.243548000000001</v>
      </c>
      <c r="K49" s="14">
        <f t="shared" ref="K49:K55" si="28">J49*(0.03%)</f>
        <v>7.5730643999999993E-3</v>
      </c>
      <c r="L49" s="14">
        <f t="shared" ref="L49:L55" si="29">J49-K49</f>
        <v>25.235974935600002</v>
      </c>
      <c r="M49" s="14">
        <f t="shared" ref="M49:M55" si="30">L49*G49</f>
        <v>302.83169922720003</v>
      </c>
      <c r="N49" s="14">
        <f t="shared" ref="N49:N50" si="31">M49/M48</f>
        <v>10.507200000000001</v>
      </c>
      <c r="O49" s="164"/>
    </row>
    <row r="50" spans="1:119" s="28" customFormat="1" x14ac:dyDescent="0.3">
      <c r="A50" s="18" t="s">
        <v>136</v>
      </c>
      <c r="B50" s="18" t="s">
        <v>81</v>
      </c>
      <c r="C50" s="11">
        <v>142</v>
      </c>
      <c r="D50" s="18" t="s">
        <v>34</v>
      </c>
      <c r="E50" s="44" t="s">
        <v>142</v>
      </c>
      <c r="F50" s="18" t="s">
        <v>21</v>
      </c>
      <c r="G50" s="18">
        <v>24</v>
      </c>
      <c r="H50" s="79">
        <v>33.14</v>
      </c>
      <c r="I50" s="14">
        <f t="shared" si="26"/>
        <v>5.0770480000000004</v>
      </c>
      <c r="J50" s="14">
        <f t="shared" si="27"/>
        <v>38.217047999999998</v>
      </c>
      <c r="K50" s="14">
        <f t="shared" si="28"/>
        <v>1.1465114399999999E-2</v>
      </c>
      <c r="L50" s="14">
        <f t="shared" si="29"/>
        <v>38.205582885599995</v>
      </c>
      <c r="M50" s="14">
        <f t="shared" si="30"/>
        <v>916.93398925439988</v>
      </c>
      <c r="N50" s="14">
        <f t="shared" si="31"/>
        <v>3.0278666057560524</v>
      </c>
      <c r="O50" s="164"/>
    </row>
    <row r="51" spans="1:119" s="19" customFormat="1" ht="17.100000000000001" customHeight="1" x14ac:dyDescent="0.2">
      <c r="A51" s="18" t="s">
        <v>145</v>
      </c>
      <c r="B51" s="18" t="s">
        <v>81</v>
      </c>
      <c r="C51" s="63">
        <v>6157</v>
      </c>
      <c r="D51" s="18" t="s">
        <v>34</v>
      </c>
      <c r="E51" s="70" t="s">
        <v>143</v>
      </c>
      <c r="F51" s="18" t="s">
        <v>21</v>
      </c>
      <c r="G51" s="18">
        <v>5</v>
      </c>
      <c r="H51" s="85">
        <v>64.44</v>
      </c>
      <c r="I51" s="14">
        <f t="shared" si="26"/>
        <v>9.8722080000000005</v>
      </c>
      <c r="J51" s="14">
        <f t="shared" si="27"/>
        <v>74.312207999999998</v>
      </c>
      <c r="K51" s="14">
        <f t="shared" si="28"/>
        <v>2.2293662399999997E-2</v>
      </c>
      <c r="L51" s="14">
        <f t="shared" si="29"/>
        <v>74.289914337599996</v>
      </c>
      <c r="M51" s="14">
        <f t="shared" si="30"/>
        <v>371.44957168799999</v>
      </c>
      <c r="N51" s="14">
        <f>M51/M50</f>
        <v>0.40509957754978881</v>
      </c>
      <c r="O51" s="164"/>
    </row>
    <row r="52" spans="1:119" s="74" customFormat="1" ht="15" customHeight="1" x14ac:dyDescent="0.3">
      <c r="A52" s="18" t="s">
        <v>146</v>
      </c>
      <c r="B52" s="18" t="s">
        <v>81</v>
      </c>
      <c r="C52" s="18">
        <v>7334</v>
      </c>
      <c r="D52" s="18" t="s">
        <v>34</v>
      </c>
      <c r="E52" s="54" t="s">
        <v>144</v>
      </c>
      <c r="F52" s="18" t="s">
        <v>114</v>
      </c>
      <c r="G52" s="18">
        <f>3.6*2</f>
        <v>7.2</v>
      </c>
      <c r="H52" s="84">
        <v>14.39</v>
      </c>
      <c r="I52" s="14">
        <f t="shared" si="26"/>
        <v>2.204548</v>
      </c>
      <c r="J52" s="14">
        <f t="shared" si="27"/>
        <v>16.594548</v>
      </c>
      <c r="K52" s="14">
        <f t="shared" si="28"/>
        <v>4.9783643999999991E-3</v>
      </c>
      <c r="L52" s="14">
        <f t="shared" si="29"/>
        <v>16.5895696356</v>
      </c>
      <c r="M52" s="14">
        <f t="shared" si="30"/>
        <v>119.44490137632</v>
      </c>
      <c r="N52" s="14">
        <f t="shared" ref="N52:N54" si="32">M52/M51</f>
        <v>0.32156424581005588</v>
      </c>
      <c r="O52" s="164"/>
    </row>
    <row r="53" spans="1:119" s="43" customFormat="1" ht="15" customHeight="1" x14ac:dyDescent="0.3">
      <c r="A53" s="18" t="s">
        <v>176</v>
      </c>
      <c r="B53" s="18" t="s">
        <v>81</v>
      </c>
      <c r="C53" s="11">
        <v>377</v>
      </c>
      <c r="D53" s="18" t="s">
        <v>34</v>
      </c>
      <c r="E53" s="72" t="s">
        <v>147</v>
      </c>
      <c r="F53" s="18" t="s">
        <v>21</v>
      </c>
      <c r="G53" s="18">
        <v>8</v>
      </c>
      <c r="H53" s="86">
        <v>38.85</v>
      </c>
      <c r="I53" s="14">
        <f t="shared" si="26"/>
        <v>5.9518200000000006</v>
      </c>
      <c r="J53" s="14">
        <f t="shared" si="27"/>
        <v>44.801819999999999</v>
      </c>
      <c r="K53" s="14">
        <f t="shared" si="28"/>
        <v>1.3440545999999999E-2</v>
      </c>
      <c r="L53" s="14">
        <f t="shared" si="29"/>
        <v>44.788379454000001</v>
      </c>
      <c r="M53" s="14">
        <f t="shared" si="30"/>
        <v>358.30703563200001</v>
      </c>
      <c r="N53" s="14">
        <f t="shared" si="32"/>
        <v>2.9997683576557796</v>
      </c>
      <c r="O53" s="164"/>
    </row>
    <row r="54" spans="1:119" s="19" customFormat="1" ht="17.100000000000001" customHeight="1" x14ac:dyDescent="0.2">
      <c r="A54" s="18" t="s">
        <v>169</v>
      </c>
      <c r="B54" s="18" t="s">
        <v>81</v>
      </c>
      <c r="C54" s="18">
        <v>2305</v>
      </c>
      <c r="D54" s="18" t="s">
        <v>109</v>
      </c>
      <c r="E54" s="77" t="s">
        <v>149</v>
      </c>
      <c r="F54" s="18" t="s">
        <v>21</v>
      </c>
      <c r="G54" s="18">
        <v>15</v>
      </c>
      <c r="H54" s="84">
        <v>9.1300000000000008</v>
      </c>
      <c r="I54" s="14">
        <f t="shared" si="26"/>
        <v>1.3987160000000001</v>
      </c>
      <c r="J54" s="14">
        <f t="shared" si="27"/>
        <v>10.528716000000001</v>
      </c>
      <c r="K54" s="14">
        <f t="shared" si="28"/>
        <v>3.1586148E-3</v>
      </c>
      <c r="L54" s="14">
        <f t="shared" si="29"/>
        <v>10.525557385200001</v>
      </c>
      <c r="M54" s="14">
        <f t="shared" si="30"/>
        <v>157.88336077800002</v>
      </c>
      <c r="N54" s="14">
        <f t="shared" si="32"/>
        <v>0.44063706563706567</v>
      </c>
      <c r="O54" s="164"/>
    </row>
    <row r="55" spans="1:119" s="19" customFormat="1" ht="17.100000000000001" customHeight="1" x14ac:dyDescent="0.2">
      <c r="A55" s="18" t="s">
        <v>177</v>
      </c>
      <c r="B55" s="18" t="s">
        <v>81</v>
      </c>
      <c r="C55" s="18">
        <v>11772</v>
      </c>
      <c r="D55" s="18" t="s">
        <v>34</v>
      </c>
      <c r="E55" s="77" t="s">
        <v>151</v>
      </c>
      <c r="F55" s="18" t="s">
        <v>21</v>
      </c>
      <c r="G55" s="18">
        <v>10</v>
      </c>
      <c r="H55" s="84">
        <v>104.15</v>
      </c>
      <c r="I55" s="14">
        <f t="shared" si="26"/>
        <v>15.955780000000001</v>
      </c>
      <c r="J55" s="14">
        <f t="shared" si="27"/>
        <v>120.10578000000001</v>
      </c>
      <c r="K55" s="14">
        <f t="shared" si="28"/>
        <v>3.6031734000000003E-2</v>
      </c>
      <c r="L55" s="14">
        <f t="shared" si="29"/>
        <v>120.069748266</v>
      </c>
      <c r="M55" s="14">
        <f t="shared" si="30"/>
        <v>1200.6974826600001</v>
      </c>
      <c r="N55" s="14">
        <f>M55/M$31</f>
        <v>0.17004331809999748</v>
      </c>
      <c r="O55" s="164"/>
    </row>
    <row r="56" spans="1:119" s="74" customFormat="1" ht="15" customHeight="1" x14ac:dyDescent="0.3">
      <c r="A56" s="18" t="s">
        <v>148</v>
      </c>
      <c r="B56" s="18" t="s">
        <v>81</v>
      </c>
      <c r="C56" s="18">
        <v>13983</v>
      </c>
      <c r="D56" s="18" t="s">
        <v>34</v>
      </c>
      <c r="E56" s="54" t="s">
        <v>158</v>
      </c>
      <c r="F56" s="18" t="s">
        <v>21</v>
      </c>
      <c r="G56" s="18">
        <v>15</v>
      </c>
      <c r="H56" s="84">
        <v>78.87</v>
      </c>
      <c r="I56" s="14">
        <f t="shared" ref="I56:I74" si="33">H56*0.1532</f>
        <v>12.082884000000002</v>
      </c>
      <c r="J56" s="14">
        <f t="shared" ref="J56:J74" si="34">H56+I56</f>
        <v>90.952884000000012</v>
      </c>
      <c r="K56" s="14">
        <f t="shared" ref="K56:K74" si="35">J56*(0.03%)</f>
        <v>2.7285865200000002E-2</v>
      </c>
      <c r="L56" s="14">
        <f t="shared" ref="L56:L74" si="36">J56-K56</f>
        <v>90.925598134800012</v>
      </c>
      <c r="M56" s="14">
        <f t="shared" ref="M56:M74" si="37">L56*G56</f>
        <v>1363.8839720220001</v>
      </c>
      <c r="N56" s="14">
        <f t="shared" ref="N56:N64" si="38">M56/M$31</f>
        <v>0.19315386219702546</v>
      </c>
      <c r="O56" s="164"/>
    </row>
    <row r="57" spans="1:119" s="19" customFormat="1" ht="17.100000000000001" customHeight="1" x14ac:dyDescent="0.2">
      <c r="A57" s="18" t="s">
        <v>122</v>
      </c>
      <c r="B57" s="18" t="s">
        <v>81</v>
      </c>
      <c r="C57" s="18">
        <v>36791</v>
      </c>
      <c r="D57" s="18" t="s">
        <v>34</v>
      </c>
      <c r="E57" s="77" t="s">
        <v>152</v>
      </c>
      <c r="F57" s="18" t="s">
        <v>21</v>
      </c>
      <c r="G57" s="18">
        <v>15</v>
      </c>
      <c r="H57" s="83">
        <v>117.18</v>
      </c>
      <c r="I57" s="14">
        <f t="shared" si="33"/>
        <v>17.951976000000002</v>
      </c>
      <c r="J57" s="14">
        <f t="shared" si="34"/>
        <v>135.13197600000001</v>
      </c>
      <c r="K57" s="14">
        <f t="shared" si="35"/>
        <v>4.0539592799999996E-2</v>
      </c>
      <c r="L57" s="14">
        <f t="shared" si="36"/>
        <v>135.09143640720001</v>
      </c>
      <c r="M57" s="14">
        <f t="shared" si="37"/>
        <v>2026.3715461080001</v>
      </c>
      <c r="N57" s="14">
        <f t="shared" si="38"/>
        <v>0.28697565071950604</v>
      </c>
      <c r="O57" s="164"/>
    </row>
    <row r="58" spans="1:119" s="19" customFormat="1" ht="17.100000000000001" customHeight="1" x14ac:dyDescent="0.2">
      <c r="A58" s="18" t="s">
        <v>153</v>
      </c>
      <c r="B58" s="18" t="s">
        <v>81</v>
      </c>
      <c r="C58" s="18">
        <v>11762</v>
      </c>
      <c r="D58" s="18" t="s">
        <v>34</v>
      </c>
      <c r="E58" s="77" t="s">
        <v>154</v>
      </c>
      <c r="F58" s="18" t="s">
        <v>21</v>
      </c>
      <c r="G58" s="18">
        <v>15</v>
      </c>
      <c r="H58" s="84">
        <v>49.24</v>
      </c>
      <c r="I58" s="14">
        <f t="shared" si="33"/>
        <v>7.5435680000000005</v>
      </c>
      <c r="J58" s="14">
        <f t="shared" si="34"/>
        <v>56.783568000000002</v>
      </c>
      <c r="K58" s="14">
        <f t="shared" si="35"/>
        <v>1.7035070399999998E-2</v>
      </c>
      <c r="L58" s="14">
        <f t="shared" si="36"/>
        <v>56.766532929600004</v>
      </c>
      <c r="M58" s="14">
        <f t="shared" si="37"/>
        <v>851.49799394400009</v>
      </c>
      <c r="N58" s="14">
        <f t="shared" si="38"/>
        <v>0.12058952928339717</v>
      </c>
      <c r="O58" s="164"/>
    </row>
    <row r="59" spans="1:119" s="46" customFormat="1" ht="15" customHeight="1" x14ac:dyDescent="0.3">
      <c r="A59" s="18" t="s">
        <v>164</v>
      </c>
      <c r="B59" s="18" t="s">
        <v>81</v>
      </c>
      <c r="C59" s="87">
        <v>44945</v>
      </c>
      <c r="D59" s="18" t="s">
        <v>34</v>
      </c>
      <c r="E59" s="77" t="s">
        <v>155</v>
      </c>
      <c r="F59" s="18" t="s">
        <v>21</v>
      </c>
      <c r="G59" s="18">
        <v>20</v>
      </c>
      <c r="H59" s="84">
        <v>10.78</v>
      </c>
      <c r="I59" s="14">
        <f t="shared" si="33"/>
        <v>1.6514959999999999</v>
      </c>
      <c r="J59" s="14">
        <f t="shared" si="34"/>
        <v>12.431495999999999</v>
      </c>
      <c r="K59" s="14">
        <f t="shared" si="35"/>
        <v>3.7294487999999996E-3</v>
      </c>
      <c r="L59" s="14">
        <f t="shared" si="36"/>
        <v>12.4277665512</v>
      </c>
      <c r="M59" s="14">
        <f t="shared" si="37"/>
        <v>248.555331024</v>
      </c>
      <c r="N59" s="14">
        <f t="shared" si="38"/>
        <v>3.5200517889927466E-2</v>
      </c>
      <c r="O59" s="164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</row>
    <row r="60" spans="1:119" s="19" customFormat="1" ht="17.100000000000001" customHeight="1" x14ac:dyDescent="0.2">
      <c r="A60" s="18" t="s">
        <v>126</v>
      </c>
      <c r="B60" s="18" t="s">
        <v>81</v>
      </c>
      <c r="C60" s="18">
        <v>10228</v>
      </c>
      <c r="D60" s="18" t="s">
        <v>34</v>
      </c>
      <c r="E60" s="24" t="s">
        <v>156</v>
      </c>
      <c r="F60" s="18" t="s">
        <v>21</v>
      </c>
      <c r="G60" s="18">
        <v>10</v>
      </c>
      <c r="H60" s="84">
        <v>378.15</v>
      </c>
      <c r="I60" s="14">
        <f t="shared" si="33"/>
        <v>57.932579999999994</v>
      </c>
      <c r="J60" s="14">
        <f t="shared" si="34"/>
        <v>436.08257999999995</v>
      </c>
      <c r="K60" s="14">
        <f t="shared" si="35"/>
        <v>0.13082477399999998</v>
      </c>
      <c r="L60" s="14">
        <f t="shared" si="36"/>
        <v>435.95175522599993</v>
      </c>
      <c r="M60" s="14">
        <f t="shared" si="37"/>
        <v>4359.5175522599993</v>
      </c>
      <c r="N60" s="14">
        <f t="shared" si="38"/>
        <v>0.61739683859350969</v>
      </c>
      <c r="O60" s="164"/>
    </row>
    <row r="61" spans="1:119" s="19" customFormat="1" ht="17.100000000000001" customHeight="1" x14ac:dyDescent="0.2">
      <c r="A61" s="18" t="s">
        <v>120</v>
      </c>
      <c r="B61" s="18" t="s">
        <v>81</v>
      </c>
      <c r="C61" s="11">
        <v>779</v>
      </c>
      <c r="D61" s="18" t="s">
        <v>34</v>
      </c>
      <c r="E61" s="44" t="s">
        <v>157</v>
      </c>
      <c r="F61" s="18" t="s">
        <v>21</v>
      </c>
      <c r="G61" s="18">
        <v>15</v>
      </c>
      <c r="H61" s="83">
        <v>7.71</v>
      </c>
      <c r="I61" s="14">
        <f t="shared" si="33"/>
        <v>1.1811720000000001</v>
      </c>
      <c r="J61" s="14">
        <f t="shared" si="34"/>
        <v>8.891172000000001</v>
      </c>
      <c r="K61" s="14">
        <f t="shared" si="35"/>
        <v>2.6673515999999999E-3</v>
      </c>
      <c r="L61" s="14">
        <f t="shared" si="36"/>
        <v>8.8885046484000014</v>
      </c>
      <c r="M61" s="14">
        <f t="shared" si="37"/>
        <v>133.32756972600004</v>
      </c>
      <c r="N61" s="14">
        <f t="shared" si="38"/>
        <v>1.888191045440683E-2</v>
      </c>
      <c r="O61" s="164"/>
    </row>
    <row r="62" spans="1:119" s="19" customFormat="1" ht="17.100000000000001" customHeight="1" x14ac:dyDescent="0.2">
      <c r="A62" s="18" t="s">
        <v>178</v>
      </c>
      <c r="B62" s="18" t="s">
        <v>81</v>
      </c>
      <c r="C62" s="11">
        <v>3516</v>
      </c>
      <c r="D62" s="18" t="s">
        <v>34</v>
      </c>
      <c r="E62" s="44" t="s">
        <v>159</v>
      </c>
      <c r="F62" s="18" t="s">
        <v>21</v>
      </c>
      <c r="G62" s="18">
        <v>10</v>
      </c>
      <c r="H62" s="83">
        <v>2.52</v>
      </c>
      <c r="I62" s="14">
        <f t="shared" si="33"/>
        <v>0.38606400000000002</v>
      </c>
      <c r="J62" s="14">
        <f t="shared" si="34"/>
        <v>2.9060640000000002</v>
      </c>
      <c r="K62" s="14">
        <f t="shared" si="35"/>
        <v>8.7181919999999998E-4</v>
      </c>
      <c r="L62" s="14">
        <f t="shared" si="36"/>
        <v>2.9051921808000003</v>
      </c>
      <c r="M62" s="14">
        <f t="shared" si="37"/>
        <v>29.051921808000003</v>
      </c>
      <c r="N62" s="14">
        <f t="shared" si="38"/>
        <v>4.1143462468746393E-3</v>
      </c>
      <c r="O62" s="164"/>
    </row>
    <row r="63" spans="1:119" s="19" customFormat="1" ht="17.100000000000001" customHeight="1" x14ac:dyDescent="0.2">
      <c r="A63" s="18" t="s">
        <v>137</v>
      </c>
      <c r="B63" s="18" t="s">
        <v>81</v>
      </c>
      <c r="C63" s="11">
        <v>37949</v>
      </c>
      <c r="D63" s="18" t="s">
        <v>34</v>
      </c>
      <c r="E63" s="44" t="s">
        <v>160</v>
      </c>
      <c r="F63" s="18" t="s">
        <v>21</v>
      </c>
      <c r="G63" s="18">
        <v>10</v>
      </c>
      <c r="H63" s="83">
        <v>2.4</v>
      </c>
      <c r="I63" s="14">
        <f t="shared" si="33"/>
        <v>0.36768000000000001</v>
      </c>
      <c r="J63" s="14">
        <f t="shared" si="34"/>
        <v>2.7676799999999999</v>
      </c>
      <c r="K63" s="14">
        <f t="shared" si="35"/>
        <v>8.3030399999999992E-4</v>
      </c>
      <c r="L63" s="14">
        <f t="shared" si="36"/>
        <v>2.766849696</v>
      </c>
      <c r="M63" s="14">
        <f t="shared" si="37"/>
        <v>27.668496959999999</v>
      </c>
      <c r="N63" s="14">
        <f t="shared" si="38"/>
        <v>3.9184249970234649E-3</v>
      </c>
      <c r="O63" s="164"/>
    </row>
    <row r="64" spans="1:119" s="19" customFormat="1" ht="17.100000000000001" customHeight="1" x14ac:dyDescent="0.2">
      <c r="A64" s="18" t="s">
        <v>139</v>
      </c>
      <c r="B64" s="18" t="s">
        <v>81</v>
      </c>
      <c r="C64" s="11">
        <v>20167</v>
      </c>
      <c r="D64" s="18" t="s">
        <v>34</v>
      </c>
      <c r="E64" s="44" t="s">
        <v>161</v>
      </c>
      <c r="F64" s="18" t="s">
        <v>21</v>
      </c>
      <c r="G64" s="18">
        <v>10</v>
      </c>
      <c r="H64" s="83">
        <v>5.31</v>
      </c>
      <c r="I64" s="14">
        <f t="shared" si="33"/>
        <v>0.81349199999999999</v>
      </c>
      <c r="J64" s="14">
        <f t="shared" si="34"/>
        <v>6.1234919999999997</v>
      </c>
      <c r="K64" s="14">
        <f t="shared" si="35"/>
        <v>1.8370475999999998E-3</v>
      </c>
      <c r="L64" s="14">
        <f t="shared" si="36"/>
        <v>6.1216549524000001</v>
      </c>
      <c r="M64" s="14">
        <f t="shared" si="37"/>
        <v>61.216549524000001</v>
      </c>
      <c r="N64" s="14">
        <f t="shared" si="38"/>
        <v>8.669515305914418E-3</v>
      </c>
      <c r="O64" s="164"/>
    </row>
    <row r="65" spans="1:15" s="75" customFormat="1" ht="15" customHeight="1" x14ac:dyDescent="0.2">
      <c r="A65" s="18" t="s">
        <v>179</v>
      </c>
      <c r="B65" s="18" t="s">
        <v>81</v>
      </c>
      <c r="C65" s="18">
        <v>3148</v>
      </c>
      <c r="D65" s="18" t="s">
        <v>34</v>
      </c>
      <c r="E65" s="44" t="s">
        <v>162</v>
      </c>
      <c r="F65" s="18" t="s">
        <v>21</v>
      </c>
      <c r="G65" s="18">
        <v>15</v>
      </c>
      <c r="H65" s="84">
        <v>9.58</v>
      </c>
      <c r="I65" s="14">
        <f t="shared" si="33"/>
        <v>1.4676560000000001</v>
      </c>
      <c r="J65" s="14">
        <f t="shared" si="34"/>
        <v>11.047656</v>
      </c>
      <c r="K65" s="14">
        <f t="shared" si="35"/>
        <v>3.3142967999999998E-3</v>
      </c>
      <c r="L65" s="14">
        <f t="shared" si="36"/>
        <v>11.044341703200001</v>
      </c>
      <c r="M65" s="14">
        <f t="shared" si="37"/>
        <v>165.66512554800002</v>
      </c>
      <c r="N65" s="14">
        <f t="shared" ref="N65" si="39">M65/M64</f>
        <v>2.7062146892655372</v>
      </c>
      <c r="O65" s="164"/>
    </row>
    <row r="66" spans="1:15" s="75" customFormat="1" ht="15" customHeight="1" x14ac:dyDescent="0.2">
      <c r="A66" s="18" t="s">
        <v>180</v>
      </c>
      <c r="B66" s="18" t="s">
        <v>81</v>
      </c>
      <c r="C66" s="18">
        <v>20111</v>
      </c>
      <c r="D66" s="18" t="s">
        <v>34</v>
      </c>
      <c r="E66" s="24" t="s">
        <v>163</v>
      </c>
      <c r="F66" s="18" t="s">
        <v>21</v>
      </c>
      <c r="G66" s="18">
        <v>10</v>
      </c>
      <c r="H66" s="79">
        <v>20.86</v>
      </c>
      <c r="I66" s="14">
        <f t="shared" si="33"/>
        <v>3.1957520000000001</v>
      </c>
      <c r="J66" s="14">
        <f t="shared" si="34"/>
        <v>24.055751999999998</v>
      </c>
      <c r="K66" s="14">
        <f t="shared" si="35"/>
        <v>7.2167255999999987E-3</v>
      </c>
      <c r="L66" s="14">
        <f t="shared" si="36"/>
        <v>24.048535274399999</v>
      </c>
      <c r="M66" s="14">
        <f t="shared" si="37"/>
        <v>240.48535274399998</v>
      </c>
      <c r="N66" s="14">
        <f>M66/M$31</f>
        <v>3.4057643932462286E-2</v>
      </c>
      <c r="O66" s="164"/>
    </row>
    <row r="67" spans="1:15" s="43" customFormat="1" ht="15" customHeight="1" x14ac:dyDescent="0.2">
      <c r="A67" s="18" t="s">
        <v>181</v>
      </c>
      <c r="B67" s="18" t="s">
        <v>81</v>
      </c>
      <c r="C67" s="18">
        <v>11684</v>
      </c>
      <c r="D67" s="18" t="s">
        <v>34</v>
      </c>
      <c r="E67" s="24" t="s">
        <v>165</v>
      </c>
      <c r="F67" s="18" t="s">
        <v>21</v>
      </c>
      <c r="G67" s="18">
        <v>30</v>
      </c>
      <c r="H67" s="79">
        <v>47.36</v>
      </c>
      <c r="I67" s="14">
        <f t="shared" si="33"/>
        <v>7.2555519999999998</v>
      </c>
      <c r="J67" s="14">
        <f t="shared" si="34"/>
        <v>54.615552000000001</v>
      </c>
      <c r="K67" s="14">
        <f t="shared" si="35"/>
        <v>1.6384665599999997E-2</v>
      </c>
      <c r="L67" s="14">
        <f t="shared" si="36"/>
        <v>54.599167334400001</v>
      </c>
      <c r="M67" s="14">
        <f t="shared" si="37"/>
        <v>1637.975020032</v>
      </c>
      <c r="N67" s="14">
        <f t="shared" ref="N67:N69" si="40">M67/M66</f>
        <v>6.8111217641418991</v>
      </c>
      <c r="O67" s="164"/>
    </row>
    <row r="68" spans="1:15" s="43" customFormat="1" ht="15" customHeight="1" x14ac:dyDescent="0.2">
      <c r="A68" s="18" t="s">
        <v>86</v>
      </c>
      <c r="B68" s="18" t="s">
        <v>81</v>
      </c>
      <c r="C68" s="23">
        <v>1368</v>
      </c>
      <c r="D68" s="18" t="s">
        <v>34</v>
      </c>
      <c r="E68" s="24" t="s">
        <v>167</v>
      </c>
      <c r="F68" s="18" t="s">
        <v>21</v>
      </c>
      <c r="G68" s="18">
        <v>20</v>
      </c>
      <c r="H68" s="88">
        <v>109</v>
      </c>
      <c r="I68" s="14">
        <f t="shared" si="33"/>
        <v>16.698799999999999</v>
      </c>
      <c r="J68" s="14">
        <f t="shared" si="34"/>
        <v>125.69880000000001</v>
      </c>
      <c r="K68" s="14">
        <f t="shared" si="35"/>
        <v>3.7709639999999996E-2</v>
      </c>
      <c r="L68" s="14">
        <f t="shared" si="36"/>
        <v>125.66109036</v>
      </c>
      <c r="M68" s="14">
        <f t="shared" si="37"/>
        <v>2513.2218072000001</v>
      </c>
      <c r="N68" s="14">
        <f t="shared" si="40"/>
        <v>1.5343468468468469</v>
      </c>
      <c r="O68" s="164"/>
    </row>
    <row r="69" spans="1:15" s="43" customFormat="1" ht="15" customHeight="1" x14ac:dyDescent="0.3">
      <c r="A69" s="18" t="s">
        <v>174</v>
      </c>
      <c r="B69" s="18" t="s">
        <v>81</v>
      </c>
      <c r="C69" s="18">
        <v>65</v>
      </c>
      <c r="D69" s="18" t="s">
        <v>34</v>
      </c>
      <c r="E69" s="54" t="s">
        <v>168</v>
      </c>
      <c r="F69" s="18" t="s">
        <v>21</v>
      </c>
      <c r="G69" s="18">
        <v>15</v>
      </c>
      <c r="H69" s="84">
        <v>0.93</v>
      </c>
      <c r="I69" s="14">
        <f t="shared" si="33"/>
        <v>0.14247600000000002</v>
      </c>
      <c r="J69" s="14">
        <f t="shared" si="34"/>
        <v>1.072476</v>
      </c>
      <c r="K69" s="14">
        <f t="shared" si="35"/>
        <v>3.2174279999999997E-4</v>
      </c>
      <c r="L69" s="14">
        <f t="shared" si="36"/>
        <v>1.0721542572</v>
      </c>
      <c r="M69" s="14">
        <f t="shared" si="37"/>
        <v>16.082313857999999</v>
      </c>
      <c r="N69" s="14">
        <f t="shared" si="40"/>
        <v>6.3990825688073393E-3</v>
      </c>
      <c r="O69" s="164"/>
    </row>
    <row r="70" spans="1:15" s="76" customFormat="1" ht="15" customHeight="1" x14ac:dyDescent="0.3">
      <c r="A70" s="18" t="s">
        <v>182</v>
      </c>
      <c r="B70" s="18" t="s">
        <v>81</v>
      </c>
      <c r="C70" s="18">
        <v>3529</v>
      </c>
      <c r="D70" s="18" t="s">
        <v>34</v>
      </c>
      <c r="E70" s="54" t="s">
        <v>170</v>
      </c>
      <c r="F70" s="18" t="s">
        <v>21</v>
      </c>
      <c r="G70" s="18">
        <v>15</v>
      </c>
      <c r="H70" s="84">
        <v>0.76</v>
      </c>
      <c r="I70" s="14">
        <f t="shared" si="33"/>
        <v>0.11643200000000001</v>
      </c>
      <c r="J70" s="14">
        <f t="shared" si="34"/>
        <v>0.87643199999999999</v>
      </c>
      <c r="K70" s="14">
        <f t="shared" si="35"/>
        <v>2.6292959999999995E-4</v>
      </c>
      <c r="L70" s="14">
        <f t="shared" si="36"/>
        <v>0.87616907040000003</v>
      </c>
      <c r="M70" s="14">
        <f t="shared" si="37"/>
        <v>13.142536056000001</v>
      </c>
      <c r="N70" s="14">
        <f>M70/M$31</f>
        <v>1.8612518735861463E-3</v>
      </c>
      <c r="O70" s="164"/>
    </row>
    <row r="71" spans="1:15" s="43" customFormat="1" ht="15" customHeight="1" x14ac:dyDescent="0.3">
      <c r="A71" s="18" t="s">
        <v>166</v>
      </c>
      <c r="B71" s="18" t="s">
        <v>81</v>
      </c>
      <c r="C71" s="18">
        <v>3540</v>
      </c>
      <c r="D71" s="18" t="s">
        <v>34</v>
      </c>
      <c r="E71" s="44" t="s">
        <v>171</v>
      </c>
      <c r="F71" s="18" t="s">
        <v>21</v>
      </c>
      <c r="G71" s="18">
        <v>10</v>
      </c>
      <c r="H71" s="84">
        <v>5.22</v>
      </c>
      <c r="I71" s="14">
        <f t="shared" si="33"/>
        <v>0.79970399999999997</v>
      </c>
      <c r="J71" s="14">
        <f t="shared" si="34"/>
        <v>6.0197039999999999</v>
      </c>
      <c r="K71" s="14">
        <f t="shared" si="35"/>
        <v>1.8059111999999997E-3</v>
      </c>
      <c r="L71" s="14">
        <f t="shared" si="36"/>
        <v>6.0178980888</v>
      </c>
      <c r="M71" s="14">
        <f t="shared" si="37"/>
        <v>60.178980887999998</v>
      </c>
      <c r="N71" s="14">
        <f t="shared" ref="N71:N75" si="41">M71/M$31</f>
        <v>8.5225743685260376E-3</v>
      </c>
      <c r="O71" s="164"/>
    </row>
    <row r="72" spans="1:15" s="19" customFormat="1" ht="17.100000000000001" customHeight="1" x14ac:dyDescent="0.2">
      <c r="A72" s="18" t="s">
        <v>183</v>
      </c>
      <c r="B72" s="18" t="s">
        <v>81</v>
      </c>
      <c r="C72" s="18">
        <v>3863</v>
      </c>
      <c r="D72" s="18" t="s">
        <v>34</v>
      </c>
      <c r="E72" s="24" t="s">
        <v>172</v>
      </c>
      <c r="F72" s="18" t="s">
        <v>21</v>
      </c>
      <c r="G72" s="18">
        <v>10</v>
      </c>
      <c r="H72" s="83">
        <v>4.5599999999999996</v>
      </c>
      <c r="I72" s="14">
        <f t="shared" si="33"/>
        <v>0.69859199999999999</v>
      </c>
      <c r="J72" s="14">
        <f t="shared" si="34"/>
        <v>5.2585919999999993</v>
      </c>
      <c r="K72" s="14">
        <f t="shared" si="35"/>
        <v>1.5775775999999997E-3</v>
      </c>
      <c r="L72" s="14">
        <f t="shared" si="36"/>
        <v>5.2570144223999993</v>
      </c>
      <c r="M72" s="14">
        <f t="shared" si="37"/>
        <v>52.570144223999989</v>
      </c>
      <c r="N72" s="14">
        <f t="shared" si="41"/>
        <v>7.4450074943445826E-3</v>
      </c>
      <c r="O72" s="164"/>
    </row>
    <row r="73" spans="1:15" s="19" customFormat="1" ht="17.100000000000001" customHeight="1" x14ac:dyDescent="0.2">
      <c r="A73" s="18" t="s">
        <v>184</v>
      </c>
      <c r="B73" s="18" t="s">
        <v>81</v>
      </c>
      <c r="C73" s="18">
        <v>7142</v>
      </c>
      <c r="D73" s="18" t="s">
        <v>34</v>
      </c>
      <c r="E73" s="44" t="s">
        <v>173</v>
      </c>
      <c r="F73" s="18" t="s">
        <v>21</v>
      </c>
      <c r="G73" s="18">
        <v>10</v>
      </c>
      <c r="H73" s="84">
        <v>10.08</v>
      </c>
      <c r="I73" s="14">
        <f t="shared" si="33"/>
        <v>1.5442560000000001</v>
      </c>
      <c r="J73" s="14">
        <f t="shared" si="34"/>
        <v>11.624256000000001</v>
      </c>
      <c r="K73" s="14">
        <f t="shared" si="35"/>
        <v>3.4872767999999999E-3</v>
      </c>
      <c r="L73" s="14">
        <f t="shared" si="36"/>
        <v>11.620768723200001</v>
      </c>
      <c r="M73" s="14">
        <f t="shared" si="37"/>
        <v>116.20768723200001</v>
      </c>
      <c r="N73" s="14">
        <f t="shared" si="41"/>
        <v>1.6457384987498557E-2</v>
      </c>
      <c r="O73" s="164"/>
    </row>
    <row r="74" spans="1:15" s="19" customFormat="1" ht="17.100000000000001" customHeight="1" x14ac:dyDescent="0.2">
      <c r="A74" s="18" t="s">
        <v>150</v>
      </c>
      <c r="B74" s="18" t="s">
        <v>81</v>
      </c>
      <c r="C74" s="18">
        <v>9897</v>
      </c>
      <c r="D74" s="18" t="s">
        <v>34</v>
      </c>
      <c r="E74" s="54" t="s">
        <v>175</v>
      </c>
      <c r="F74" s="18" t="s">
        <v>21</v>
      </c>
      <c r="G74" s="18">
        <v>5</v>
      </c>
      <c r="H74" s="84">
        <v>28.88</v>
      </c>
      <c r="I74" s="14">
        <f t="shared" si="33"/>
        <v>4.4244159999999999</v>
      </c>
      <c r="J74" s="14">
        <f t="shared" si="34"/>
        <v>33.304415999999996</v>
      </c>
      <c r="K74" s="14">
        <f t="shared" si="35"/>
        <v>9.9913247999999979E-3</v>
      </c>
      <c r="L74" s="14">
        <f t="shared" si="36"/>
        <v>33.294424675199998</v>
      </c>
      <c r="M74" s="14">
        <f t="shared" si="37"/>
        <v>166.47212337599998</v>
      </c>
      <c r="N74" s="14">
        <f t="shared" si="41"/>
        <v>2.3575857065424515E-2</v>
      </c>
      <c r="O74" s="164"/>
    </row>
    <row r="75" spans="1:15" s="19" customFormat="1" ht="17.100000000000001" customHeight="1" x14ac:dyDescent="0.2">
      <c r="A75" s="18" t="s">
        <v>186</v>
      </c>
      <c r="B75" s="18" t="s">
        <v>81</v>
      </c>
      <c r="C75" s="11">
        <v>11051</v>
      </c>
      <c r="D75" s="18" t="s">
        <v>34</v>
      </c>
      <c r="E75" s="44" t="s">
        <v>185</v>
      </c>
      <c r="F75" s="18" t="s">
        <v>119</v>
      </c>
      <c r="G75" s="18">
        <f>4*1.2*15</f>
        <v>72</v>
      </c>
      <c r="H75" s="83">
        <v>11.35</v>
      </c>
      <c r="I75" s="14">
        <f t="shared" ref="I75" si="42">H75*0.1532</f>
        <v>1.73882</v>
      </c>
      <c r="J75" s="14">
        <f t="shared" ref="J75" si="43">H75+I75</f>
        <v>13.08882</v>
      </c>
      <c r="K75" s="14">
        <f t="shared" ref="K75" si="44">J75*(0.03%)</f>
        <v>3.9266459999999998E-3</v>
      </c>
      <c r="L75" s="14">
        <f t="shared" ref="L75" si="45">J75-K75</f>
        <v>13.084893354</v>
      </c>
      <c r="M75" s="14">
        <f t="shared" ref="M75" si="46">L75*G75</f>
        <v>942.11232148800002</v>
      </c>
      <c r="N75" s="14">
        <f t="shared" si="41"/>
        <v>0.13342237114864899</v>
      </c>
      <c r="O75" s="164"/>
    </row>
    <row r="76" spans="1:15" s="19" customFormat="1" ht="17.100000000000001" customHeight="1" x14ac:dyDescent="0.2">
      <c r="A76" s="18"/>
      <c r="B76" s="18"/>
      <c r="C76" s="11"/>
      <c r="D76" s="18"/>
      <c r="E76" s="44"/>
      <c r="F76" s="18"/>
      <c r="G76" s="18"/>
      <c r="H76" s="27"/>
      <c r="I76" s="14"/>
      <c r="J76" s="14"/>
      <c r="K76" s="14"/>
      <c r="L76" s="14"/>
      <c r="M76" s="14"/>
      <c r="N76" s="14"/>
      <c r="O76" s="164"/>
    </row>
    <row r="77" spans="1:15" s="19" customFormat="1" ht="17.100000000000001" customHeight="1" x14ac:dyDescent="0.2">
      <c r="A77" s="18"/>
      <c r="B77" s="18"/>
      <c r="C77" s="11"/>
      <c r="D77" s="18"/>
      <c r="E77" s="44"/>
      <c r="F77" s="18"/>
      <c r="G77" s="18"/>
      <c r="H77" s="27"/>
      <c r="I77" s="14"/>
      <c r="J77" s="14"/>
      <c r="K77" s="14"/>
      <c r="L77" s="14"/>
      <c r="M77" s="14"/>
      <c r="N77" s="14"/>
      <c r="O77" s="164"/>
    </row>
    <row r="78" spans="1:15" s="19" customFormat="1" ht="17.100000000000001" customHeight="1" x14ac:dyDescent="0.2">
      <c r="A78" s="18"/>
      <c r="B78" s="18"/>
      <c r="C78" s="11"/>
      <c r="D78" s="18"/>
      <c r="E78" s="44"/>
      <c r="F78" s="18"/>
      <c r="G78" s="18"/>
      <c r="H78" s="27"/>
      <c r="I78" s="14"/>
      <c r="J78" s="14"/>
      <c r="K78" s="14"/>
      <c r="L78" s="14"/>
      <c r="M78" s="14"/>
      <c r="N78" s="14"/>
      <c r="O78" s="164"/>
    </row>
    <row r="79" spans="1:15" s="19" customFormat="1" ht="17.100000000000001" customHeight="1" x14ac:dyDescent="0.2">
      <c r="A79" s="18"/>
      <c r="B79" s="18"/>
      <c r="C79" s="11"/>
      <c r="D79" s="18"/>
      <c r="E79" s="44"/>
      <c r="F79" s="18"/>
      <c r="G79" s="18"/>
      <c r="H79" s="27"/>
      <c r="I79" s="14"/>
      <c r="J79" s="14"/>
      <c r="K79" s="14"/>
      <c r="L79" s="14"/>
      <c r="M79" s="14"/>
      <c r="N79" s="14"/>
      <c r="O79" s="164"/>
    </row>
    <row r="80" spans="1:15" s="43" customFormat="1" ht="17.25" customHeight="1" x14ac:dyDescent="0.3">
      <c r="A80" s="18"/>
      <c r="B80" s="18"/>
      <c r="C80" s="18"/>
      <c r="D80" s="18"/>
      <c r="E80" s="44"/>
      <c r="F80" s="18"/>
      <c r="G80" s="18"/>
      <c r="H80" s="42"/>
      <c r="I80" s="14"/>
      <c r="J80" s="14"/>
      <c r="K80" s="14"/>
      <c r="L80" s="14"/>
      <c r="M80" s="14"/>
      <c r="N80" s="14"/>
      <c r="O80" s="164"/>
    </row>
    <row r="81" spans="1:15" s="19" customFormat="1" ht="17.25" customHeight="1" x14ac:dyDescent="0.2">
      <c r="A81" s="18"/>
      <c r="B81" s="18"/>
      <c r="C81" s="23"/>
      <c r="D81" s="18"/>
      <c r="E81" s="24"/>
      <c r="F81" s="18"/>
      <c r="G81" s="18"/>
      <c r="H81" s="27"/>
      <c r="I81" s="14"/>
      <c r="J81" s="14"/>
      <c r="K81" s="14"/>
      <c r="L81" s="14"/>
      <c r="M81" s="14"/>
      <c r="N81" s="14"/>
      <c r="O81" s="164"/>
    </row>
    <row r="82" spans="1:15" s="28" customFormat="1" ht="17.100000000000001" customHeight="1" x14ac:dyDescent="0.3">
      <c r="A82" s="97" t="s">
        <v>16</v>
      </c>
      <c r="B82" s="99" t="s">
        <v>17</v>
      </c>
      <c r="C82" s="99" t="s">
        <v>18</v>
      </c>
      <c r="D82" s="99" t="s">
        <v>19</v>
      </c>
      <c r="E82" s="99" t="s">
        <v>20</v>
      </c>
      <c r="F82" s="99" t="s">
        <v>21</v>
      </c>
      <c r="G82" s="99" t="s">
        <v>22</v>
      </c>
      <c r="H82" s="165" t="s">
        <v>23</v>
      </c>
      <c r="I82" s="165"/>
      <c r="J82" s="165"/>
      <c r="K82" s="165"/>
      <c r="L82" s="166"/>
      <c r="M82" s="99" t="s">
        <v>24</v>
      </c>
      <c r="N82" s="99" t="s">
        <v>25</v>
      </c>
      <c r="O82" s="154"/>
    </row>
    <row r="83" spans="1:15" s="28" customFormat="1" ht="17.100000000000001" customHeight="1" x14ac:dyDescent="0.3">
      <c r="A83" s="98"/>
      <c r="B83" s="100"/>
      <c r="C83" s="100"/>
      <c r="D83" s="100"/>
      <c r="E83" s="100"/>
      <c r="F83" s="100"/>
      <c r="G83" s="100"/>
      <c r="H83" s="4" t="s">
        <v>27</v>
      </c>
      <c r="I83" s="4" t="s">
        <v>28</v>
      </c>
      <c r="J83" s="4" t="s">
        <v>29</v>
      </c>
      <c r="K83" s="4" t="s">
        <v>53</v>
      </c>
      <c r="L83" s="4" t="s">
        <v>30</v>
      </c>
      <c r="M83" s="100"/>
      <c r="N83" s="100"/>
      <c r="O83" s="154"/>
    </row>
    <row r="84" spans="1:15" s="29" customFormat="1" ht="17.100000000000001" customHeight="1" x14ac:dyDescent="0.2">
      <c r="A84" s="30">
        <v>3</v>
      </c>
      <c r="B84" s="115" t="s">
        <v>38</v>
      </c>
      <c r="C84" s="116"/>
      <c r="D84" s="116"/>
      <c r="E84" s="116"/>
      <c r="F84" s="117"/>
      <c r="G84" s="31"/>
      <c r="H84" s="31"/>
      <c r="I84" s="31"/>
      <c r="J84" s="31"/>
      <c r="K84" s="31"/>
      <c r="L84" s="31"/>
      <c r="M84" s="32">
        <f>SUM(M85:M103)</f>
        <v>25969.604620008187</v>
      </c>
      <c r="N84" s="31"/>
      <c r="O84" s="154"/>
    </row>
    <row r="85" spans="1:15" s="29" customFormat="1" ht="23.25" customHeight="1" x14ac:dyDescent="0.2">
      <c r="A85" s="63" t="s">
        <v>76</v>
      </c>
      <c r="B85" s="64" t="s">
        <v>33</v>
      </c>
      <c r="C85" s="65">
        <v>93588</v>
      </c>
      <c r="D85" s="65" t="s">
        <v>34</v>
      </c>
      <c r="E85" s="66" t="s">
        <v>102</v>
      </c>
      <c r="F85" s="67" t="s">
        <v>103</v>
      </c>
      <c r="G85" s="65">
        <f>5*17</f>
        <v>85</v>
      </c>
      <c r="H85" s="80">
        <v>3.29</v>
      </c>
      <c r="I85" s="53">
        <f>H85*0.2232</f>
        <v>0.73432800000000009</v>
      </c>
      <c r="J85" s="53">
        <f>H85+I85</f>
        <v>4.0243280000000006</v>
      </c>
      <c r="K85" s="53">
        <f>J85*(0.03%)</f>
        <v>1.2072984E-3</v>
      </c>
      <c r="L85" s="53">
        <f>J85-K85</f>
        <v>4.0231207016000008</v>
      </c>
      <c r="M85" s="53">
        <f>L85*G85</f>
        <v>341.96525963600004</v>
      </c>
      <c r="N85" s="53">
        <f>M85/M84</f>
        <v>1.3167903964642349E-2</v>
      </c>
      <c r="O85" s="164"/>
    </row>
    <row r="86" spans="1:15" s="29" customFormat="1" ht="23.25" customHeight="1" x14ac:dyDescent="0.2">
      <c r="A86" s="113" t="s">
        <v>189</v>
      </c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4"/>
      <c r="N86" s="36"/>
      <c r="O86" s="164"/>
    </row>
    <row r="87" spans="1:15" s="29" customFormat="1" ht="23.25" customHeight="1" x14ac:dyDescent="0.2">
      <c r="A87" s="41" t="s">
        <v>78</v>
      </c>
      <c r="B87" s="33" t="s">
        <v>33</v>
      </c>
      <c r="C87" s="51">
        <v>90845</v>
      </c>
      <c r="D87" s="51" t="s">
        <v>34</v>
      </c>
      <c r="E87" s="52" t="s">
        <v>187</v>
      </c>
      <c r="F87" s="51" t="s">
        <v>21</v>
      </c>
      <c r="G87" s="51">
        <v>1</v>
      </c>
      <c r="H87" s="81">
        <v>1608.74</v>
      </c>
      <c r="I87" s="41">
        <f t="shared" ref="I87:I88" si="47">H87*0.2232</f>
        <v>359.07076800000004</v>
      </c>
      <c r="J87" s="41">
        <f t="shared" ref="J87:J88" si="48">H87+I87</f>
        <v>1967.8107680000001</v>
      </c>
      <c r="K87" s="41">
        <f t="shared" ref="K87:K88" si="49">J87*(0.03%)</f>
        <v>0.59034323039999992</v>
      </c>
      <c r="L87" s="41">
        <f t="shared" ref="L87:L88" si="50">J87-K87</f>
        <v>1967.2204247696</v>
      </c>
      <c r="M87" s="41">
        <f t="shared" ref="M87:M88" si="51">L87*G87</f>
        <v>1967.2204247696</v>
      </c>
      <c r="N87" s="36">
        <f t="shared" ref="N87:N88" si="52">M87/M$16</f>
        <v>1.6820054669307565E-2</v>
      </c>
      <c r="O87" s="164"/>
    </row>
    <row r="88" spans="1:15" s="29" customFormat="1" ht="23.25" customHeight="1" x14ac:dyDescent="0.2">
      <c r="A88" s="41" t="s">
        <v>77</v>
      </c>
      <c r="B88" s="33" t="s">
        <v>33</v>
      </c>
      <c r="C88" s="51">
        <v>102224</v>
      </c>
      <c r="D88" s="51" t="s">
        <v>34</v>
      </c>
      <c r="E88" s="52" t="s">
        <v>188</v>
      </c>
      <c r="F88" s="51" t="s">
        <v>91</v>
      </c>
      <c r="G88" s="51">
        <f>2*2.1*0.8</f>
        <v>3.3600000000000003</v>
      </c>
      <c r="H88" s="81">
        <v>38.43</v>
      </c>
      <c r="I88" s="41">
        <f t="shared" si="47"/>
        <v>8.5775760000000005</v>
      </c>
      <c r="J88" s="41">
        <f t="shared" si="48"/>
        <v>47.007576</v>
      </c>
      <c r="K88" s="41">
        <f t="shared" si="49"/>
        <v>1.4102272799999999E-2</v>
      </c>
      <c r="L88" s="41">
        <f t="shared" si="50"/>
        <v>46.993473727199998</v>
      </c>
      <c r="M88" s="41">
        <f t="shared" si="51"/>
        <v>157.89807172339201</v>
      </c>
      <c r="N88" s="36">
        <f t="shared" si="52"/>
        <v>1.3500542009046866E-3</v>
      </c>
      <c r="O88" s="164"/>
    </row>
    <row r="89" spans="1:15" s="29" customFormat="1" ht="23.25" customHeight="1" x14ac:dyDescent="0.2">
      <c r="A89" s="110" t="s">
        <v>211</v>
      </c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2"/>
      <c r="O89" s="164"/>
    </row>
    <row r="90" spans="1:15" s="29" customFormat="1" ht="23.25" customHeight="1" x14ac:dyDescent="0.2">
      <c r="A90" s="47" t="s">
        <v>80</v>
      </c>
      <c r="B90" s="33" t="s">
        <v>33</v>
      </c>
      <c r="C90" s="68">
        <v>96368</v>
      </c>
      <c r="D90" s="68" t="s">
        <v>34</v>
      </c>
      <c r="E90" s="69" t="s">
        <v>203</v>
      </c>
      <c r="F90" s="68" t="s">
        <v>91</v>
      </c>
      <c r="G90" s="68">
        <v>51</v>
      </c>
      <c r="H90" s="81">
        <v>170.69</v>
      </c>
      <c r="I90" s="41">
        <f>H90*0.2232</f>
        <v>38.098008</v>
      </c>
      <c r="J90" s="41">
        <f>H90+I90</f>
        <v>208.78800799999999</v>
      </c>
      <c r="K90" s="41">
        <f>J90*(0.03%)</f>
        <v>6.2636402399999985E-2</v>
      </c>
      <c r="L90" s="41">
        <f>J90-K90</f>
        <v>208.7253715976</v>
      </c>
      <c r="M90" s="41">
        <f>L90*G90</f>
        <v>10644.9939514776</v>
      </c>
      <c r="N90" s="36">
        <f>M90/M$16</f>
        <v>9.1016430067449999E-2</v>
      </c>
      <c r="O90" s="164"/>
    </row>
    <row r="91" spans="1:15" s="29" customFormat="1" ht="23.25" customHeight="1" x14ac:dyDescent="0.2">
      <c r="A91" s="47" t="s">
        <v>87</v>
      </c>
      <c r="B91" s="33" t="s">
        <v>33</v>
      </c>
      <c r="C91" s="68" t="s">
        <v>94</v>
      </c>
      <c r="D91" s="68" t="s">
        <v>34</v>
      </c>
      <c r="E91" s="69" t="s">
        <v>95</v>
      </c>
      <c r="F91" s="68" t="s">
        <v>91</v>
      </c>
      <c r="G91" s="68">
        <v>102</v>
      </c>
      <c r="H91" s="81">
        <v>14.98</v>
      </c>
      <c r="I91" s="41">
        <f>H91*0.2232</f>
        <v>3.3435360000000003</v>
      </c>
      <c r="J91" s="41">
        <f>H91+I91</f>
        <v>18.323536000000001</v>
      </c>
      <c r="K91" s="41">
        <f>J91*(0.03%)</f>
        <v>5.4970608000000001E-3</v>
      </c>
      <c r="L91" s="41">
        <f>J91-K91</f>
        <v>18.318038939200001</v>
      </c>
      <c r="M91" s="41">
        <f>L91*G91</f>
        <v>1868.4399717984002</v>
      </c>
      <c r="N91" s="36">
        <f>M91/M$16</f>
        <v>1.5975465726292121E-2</v>
      </c>
      <c r="O91" s="164"/>
    </row>
    <row r="92" spans="1:15" s="29" customFormat="1" ht="23.25" customHeight="1" x14ac:dyDescent="0.2">
      <c r="A92" s="47" t="s">
        <v>88</v>
      </c>
      <c r="B92" s="33" t="s">
        <v>33</v>
      </c>
      <c r="C92" s="68">
        <v>104648</v>
      </c>
      <c r="D92" s="68" t="s">
        <v>34</v>
      </c>
      <c r="E92" s="69" t="s">
        <v>204</v>
      </c>
      <c r="F92" s="68" t="s">
        <v>91</v>
      </c>
      <c r="G92" s="68">
        <v>102</v>
      </c>
      <c r="H92" s="82">
        <v>18.22</v>
      </c>
      <c r="I92" s="41">
        <f>H92*0.2232</f>
        <v>4.0667039999999997</v>
      </c>
      <c r="J92" s="41">
        <f>H92+I92</f>
        <v>22.286704</v>
      </c>
      <c r="K92" s="41">
        <f>J92*(0.03%)</f>
        <v>6.6860111999999996E-3</v>
      </c>
      <c r="L92" s="41">
        <f>J92-K92</f>
        <v>22.280017988800001</v>
      </c>
      <c r="M92" s="41">
        <f>L92*G92</f>
        <v>2272.5618348575999</v>
      </c>
      <c r="N92" s="36">
        <f>M92/M$16</f>
        <v>1.943077340006959E-2</v>
      </c>
      <c r="O92" s="164"/>
    </row>
    <row r="93" spans="1:15" s="29" customFormat="1" ht="23.25" customHeight="1" x14ac:dyDescent="0.2">
      <c r="A93" s="113" t="s">
        <v>190</v>
      </c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4"/>
      <c r="N93" s="14"/>
      <c r="O93" s="164"/>
    </row>
    <row r="94" spans="1:15" s="29" customFormat="1" ht="23.25" customHeight="1" x14ac:dyDescent="0.2">
      <c r="A94" s="41" t="s">
        <v>197</v>
      </c>
      <c r="B94" s="33" t="s">
        <v>33</v>
      </c>
      <c r="C94" s="51">
        <v>89578</v>
      </c>
      <c r="D94" s="51" t="s">
        <v>34</v>
      </c>
      <c r="E94" s="52" t="s">
        <v>191</v>
      </c>
      <c r="F94" s="51" t="s">
        <v>192</v>
      </c>
      <c r="G94" s="51">
        <v>24</v>
      </c>
      <c r="H94" s="81">
        <v>36.74</v>
      </c>
      <c r="I94" s="41">
        <f t="shared" ref="I94:I95" si="53">H94*0.2232</f>
        <v>8.200368000000001</v>
      </c>
      <c r="J94" s="41">
        <f t="shared" ref="J94:J95" si="54">H94+I94</f>
        <v>44.940368000000007</v>
      </c>
      <c r="K94" s="41">
        <f t="shared" ref="K94:K95" si="55">J94*(0.03%)</f>
        <v>1.34821104E-2</v>
      </c>
      <c r="L94" s="41">
        <f t="shared" ref="L94:L95" si="56">J94-K94</f>
        <v>44.926885889600008</v>
      </c>
      <c r="M94" s="41">
        <f t="shared" ref="M94:M95" si="57">L94*G94</f>
        <v>1078.2452613504001</v>
      </c>
      <c r="N94" s="36">
        <f t="shared" ref="N94:N95" si="58">M94/M$16</f>
        <v>9.2191723990257216E-3</v>
      </c>
      <c r="O94" s="164"/>
    </row>
    <row r="95" spans="1:15" s="29" customFormat="1" ht="23.25" customHeight="1" x14ac:dyDescent="0.2">
      <c r="A95" s="41" t="s">
        <v>199</v>
      </c>
      <c r="B95" s="33" t="s">
        <v>33</v>
      </c>
      <c r="C95" s="51">
        <v>88323</v>
      </c>
      <c r="D95" s="51" t="s">
        <v>34</v>
      </c>
      <c r="E95" s="52" t="s">
        <v>193</v>
      </c>
      <c r="F95" s="51" t="s">
        <v>194</v>
      </c>
      <c r="G95" s="51">
        <v>4</v>
      </c>
      <c r="H95" s="81">
        <v>33.619999999999997</v>
      </c>
      <c r="I95" s="41">
        <f t="shared" si="53"/>
        <v>7.503984</v>
      </c>
      <c r="J95" s="41">
        <f t="shared" si="54"/>
        <v>41.123984</v>
      </c>
      <c r="K95" s="41">
        <f t="shared" si="55"/>
        <v>1.23371952E-2</v>
      </c>
      <c r="L95" s="41">
        <f t="shared" si="56"/>
        <v>41.111646804800003</v>
      </c>
      <c r="M95" s="41">
        <f t="shared" si="57"/>
        <v>164.44658721920001</v>
      </c>
      <c r="N95" s="36">
        <f t="shared" si="58"/>
        <v>1.4060450737399962E-3</v>
      </c>
      <c r="O95" s="164"/>
    </row>
    <row r="96" spans="1:15" s="29" customFormat="1" ht="23.25" customHeight="1" x14ac:dyDescent="0.2">
      <c r="A96" s="108" t="s">
        <v>195</v>
      </c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9"/>
      <c r="N96" s="36"/>
      <c r="O96" s="164"/>
    </row>
    <row r="97" spans="1:16" s="29" customFormat="1" ht="23.25" customHeight="1" x14ac:dyDescent="0.2">
      <c r="A97" s="11" t="s">
        <v>205</v>
      </c>
      <c r="B97" s="11" t="s">
        <v>33</v>
      </c>
      <c r="C97" s="11">
        <v>104803</v>
      </c>
      <c r="D97" s="11" t="s">
        <v>34</v>
      </c>
      <c r="E97" s="20" t="s">
        <v>196</v>
      </c>
      <c r="F97" s="13" t="s">
        <v>192</v>
      </c>
      <c r="G97" s="11">
        <v>62</v>
      </c>
      <c r="H97" s="79">
        <v>6.08</v>
      </c>
      <c r="I97" s="41">
        <f t="shared" ref="I97:I100" si="59">H97*0.2232</f>
        <v>1.357056</v>
      </c>
      <c r="J97" s="41">
        <f t="shared" ref="J97:J100" si="60">H97+I97</f>
        <v>7.4370560000000001</v>
      </c>
      <c r="K97" s="41">
        <f t="shared" ref="K97:K100" si="61">J97*(0.03%)</f>
        <v>2.2311167999999998E-3</v>
      </c>
      <c r="L97" s="41">
        <f t="shared" ref="L97:L100" si="62">J97-K97</f>
        <v>7.4348248832000001</v>
      </c>
      <c r="M97" s="41">
        <f t="shared" ref="M97:M100" si="63">L97*G97</f>
        <v>460.95914275839999</v>
      </c>
      <c r="N97" s="36">
        <f t="shared" ref="N97:N100" si="64">M97/M$16</f>
        <v>3.9412756617863542E-3</v>
      </c>
      <c r="O97" s="164"/>
    </row>
    <row r="98" spans="1:16" s="29" customFormat="1" ht="23.25" customHeight="1" x14ac:dyDescent="0.2">
      <c r="A98" s="11" t="s">
        <v>206</v>
      </c>
      <c r="B98" s="11" t="s">
        <v>33</v>
      </c>
      <c r="C98" s="11">
        <v>100327</v>
      </c>
      <c r="D98" s="11" t="s">
        <v>34</v>
      </c>
      <c r="E98" s="20" t="s">
        <v>200</v>
      </c>
      <c r="F98" s="13" t="s">
        <v>192</v>
      </c>
      <c r="G98" s="11">
        <v>50</v>
      </c>
      <c r="H98" s="79">
        <v>61.53</v>
      </c>
      <c r="I98" s="41">
        <f t="shared" si="59"/>
        <v>13.733496000000001</v>
      </c>
      <c r="J98" s="41">
        <f t="shared" si="60"/>
        <v>75.263496000000004</v>
      </c>
      <c r="K98" s="41">
        <f t="shared" si="61"/>
        <v>2.2579048799999998E-2</v>
      </c>
      <c r="L98" s="41">
        <f t="shared" si="62"/>
        <v>75.240916951200006</v>
      </c>
      <c r="M98" s="41">
        <f t="shared" si="63"/>
        <v>3762.0458475600003</v>
      </c>
      <c r="N98" s="36">
        <f t="shared" si="64"/>
        <v>3.2166104025588178E-2</v>
      </c>
      <c r="O98" s="164"/>
    </row>
    <row r="99" spans="1:16" s="29" customFormat="1" ht="23.25" customHeight="1" x14ac:dyDescent="0.2">
      <c r="A99" s="11" t="s">
        <v>207</v>
      </c>
      <c r="B99" s="11" t="s">
        <v>33</v>
      </c>
      <c r="C99" s="11">
        <v>94231</v>
      </c>
      <c r="D99" s="11" t="s">
        <v>34</v>
      </c>
      <c r="E99" s="20" t="s">
        <v>198</v>
      </c>
      <c r="F99" s="13" t="s">
        <v>192</v>
      </c>
      <c r="G99" s="11">
        <v>12</v>
      </c>
      <c r="H99" s="79">
        <v>53.65</v>
      </c>
      <c r="I99" s="14">
        <f t="shared" si="59"/>
        <v>11.974679999999999</v>
      </c>
      <c r="J99" s="14">
        <f t="shared" si="60"/>
        <v>65.624679999999998</v>
      </c>
      <c r="K99" s="14">
        <f t="shared" si="61"/>
        <v>1.9687403999999999E-2</v>
      </c>
      <c r="L99" s="14">
        <f t="shared" si="62"/>
        <v>65.604992596000002</v>
      </c>
      <c r="M99" s="14">
        <f t="shared" si="63"/>
        <v>787.25991115200009</v>
      </c>
      <c r="N99" s="14">
        <f t="shared" si="64"/>
        <v>6.7312003158373707E-3</v>
      </c>
      <c r="O99" s="164"/>
    </row>
    <row r="100" spans="1:16" s="29" customFormat="1" ht="23.25" customHeight="1" x14ac:dyDescent="0.2">
      <c r="A100" s="11" t="s">
        <v>208</v>
      </c>
      <c r="B100" s="11" t="s">
        <v>33</v>
      </c>
      <c r="C100" s="11">
        <v>88323</v>
      </c>
      <c r="D100" s="11" t="s">
        <v>34</v>
      </c>
      <c r="E100" s="20" t="s">
        <v>193</v>
      </c>
      <c r="F100" s="13" t="s">
        <v>194</v>
      </c>
      <c r="G100" s="11">
        <v>8</v>
      </c>
      <c r="H100" s="79">
        <v>33.619999999999997</v>
      </c>
      <c r="I100" s="14">
        <f t="shared" si="59"/>
        <v>7.503984</v>
      </c>
      <c r="J100" s="14">
        <f t="shared" si="60"/>
        <v>41.123984</v>
      </c>
      <c r="K100" s="14">
        <f t="shared" si="61"/>
        <v>1.23371952E-2</v>
      </c>
      <c r="L100" s="14">
        <f t="shared" si="62"/>
        <v>41.111646804800003</v>
      </c>
      <c r="M100" s="14">
        <f t="shared" si="63"/>
        <v>328.89317443840002</v>
      </c>
      <c r="N100" s="14">
        <f t="shared" si="64"/>
        <v>2.8120901474799924E-3</v>
      </c>
      <c r="O100" s="164"/>
      <c r="P100" s="78" t="s">
        <v>201</v>
      </c>
    </row>
    <row r="101" spans="1:16" s="29" customFormat="1" ht="23.25" customHeight="1" x14ac:dyDescent="0.2">
      <c r="A101" s="108" t="s">
        <v>202</v>
      </c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9"/>
      <c r="N101" s="14"/>
      <c r="O101" s="164"/>
      <c r="P101" s="78"/>
    </row>
    <row r="102" spans="1:16" s="29" customFormat="1" ht="23.25" customHeight="1" x14ac:dyDescent="0.2">
      <c r="A102" s="11" t="s">
        <v>209</v>
      </c>
      <c r="B102" s="11" t="s">
        <v>33</v>
      </c>
      <c r="C102" s="11">
        <v>100327</v>
      </c>
      <c r="D102" s="11" t="s">
        <v>34</v>
      </c>
      <c r="E102" s="20" t="s">
        <v>200</v>
      </c>
      <c r="F102" s="13" t="s">
        <v>192</v>
      </c>
      <c r="G102" s="11">
        <v>24</v>
      </c>
      <c r="H102" s="79">
        <v>61.53</v>
      </c>
      <c r="I102" s="41">
        <f t="shared" ref="I102:I103" si="65">H102*0.2232</f>
        <v>13.733496000000001</v>
      </c>
      <c r="J102" s="41">
        <f t="shared" ref="J102:J103" si="66">H102+I102</f>
        <v>75.263496000000004</v>
      </c>
      <c r="K102" s="41">
        <f t="shared" ref="K102:K103" si="67">J102*(0.03%)</f>
        <v>2.2579048799999998E-2</v>
      </c>
      <c r="L102" s="41">
        <f t="shared" ref="L102:L103" si="68">J102-K102</f>
        <v>75.240916951200006</v>
      </c>
      <c r="M102" s="41">
        <f t="shared" ref="M102:M103" si="69">L102*G102</f>
        <v>1805.7820068288001</v>
      </c>
      <c r="N102" s="14"/>
      <c r="O102" s="164"/>
      <c r="P102" s="78"/>
    </row>
    <row r="103" spans="1:16" s="29" customFormat="1" ht="23.25" customHeight="1" x14ac:dyDescent="0.2">
      <c r="A103" s="11" t="s">
        <v>210</v>
      </c>
      <c r="B103" s="11" t="s">
        <v>33</v>
      </c>
      <c r="C103" s="11">
        <v>88323</v>
      </c>
      <c r="D103" s="11" t="s">
        <v>34</v>
      </c>
      <c r="E103" s="20" t="s">
        <v>193</v>
      </c>
      <c r="F103" s="13" t="s">
        <v>194</v>
      </c>
      <c r="G103" s="11">
        <v>8</v>
      </c>
      <c r="H103" s="79">
        <v>33.619999999999997</v>
      </c>
      <c r="I103" s="14">
        <f t="shared" si="65"/>
        <v>7.503984</v>
      </c>
      <c r="J103" s="14">
        <f t="shared" si="66"/>
        <v>41.123984</v>
      </c>
      <c r="K103" s="14">
        <f t="shared" si="67"/>
        <v>1.23371952E-2</v>
      </c>
      <c r="L103" s="14">
        <f t="shared" si="68"/>
        <v>41.111646804800003</v>
      </c>
      <c r="M103" s="14">
        <f t="shared" si="69"/>
        <v>328.89317443840002</v>
      </c>
      <c r="N103" s="14"/>
      <c r="O103" s="164"/>
      <c r="P103" s="78"/>
    </row>
    <row r="104" spans="1:16" s="29" customFormat="1" ht="23.25" customHeight="1" x14ac:dyDescent="0.2">
      <c r="A104" s="11"/>
      <c r="B104" s="11"/>
      <c r="C104" s="11"/>
      <c r="D104" s="11"/>
      <c r="E104" s="20"/>
      <c r="F104" s="13"/>
      <c r="G104" s="11"/>
      <c r="H104" s="26"/>
      <c r="I104" s="14"/>
      <c r="J104" s="14"/>
      <c r="K104" s="14"/>
      <c r="L104" s="14"/>
      <c r="M104" s="14"/>
      <c r="N104" s="14"/>
      <c r="O104" s="164"/>
      <c r="P104" s="78"/>
    </row>
    <row r="105" spans="1:16" s="40" customFormat="1" ht="17.100000000000001" customHeight="1" x14ac:dyDescent="0.2">
      <c r="A105" s="37"/>
      <c r="B105" s="37"/>
      <c r="C105" s="37"/>
      <c r="D105" s="37"/>
      <c r="E105" s="37"/>
      <c r="F105" s="37"/>
      <c r="G105" s="37"/>
      <c r="H105" s="50"/>
      <c r="I105" s="37"/>
      <c r="J105" s="37"/>
      <c r="K105" s="37"/>
      <c r="L105" s="37"/>
      <c r="M105" s="37"/>
      <c r="N105" s="37"/>
      <c r="O105" s="164"/>
    </row>
    <row r="106" spans="1:16" s="40" customFormat="1" ht="17.100000000000001" customHeight="1" x14ac:dyDescent="0.2">
      <c r="A106" s="167"/>
      <c r="B106" s="168"/>
      <c r="C106" s="168"/>
      <c r="D106" s="168"/>
      <c r="E106" s="168"/>
      <c r="F106" s="168"/>
      <c r="G106" s="168"/>
      <c r="H106" s="38" t="s">
        <v>39</v>
      </c>
      <c r="I106" s="39"/>
      <c r="J106" s="169">
        <f>M16+M36+M84</f>
        <v>169759.95830408763</v>
      </c>
      <c r="K106" s="170"/>
      <c r="L106" s="170"/>
      <c r="M106" s="170"/>
      <c r="N106" s="171"/>
      <c r="O106" s="154"/>
      <c r="P106" s="45"/>
    </row>
    <row r="107" spans="1:16" ht="17.100000000000001" customHeight="1" x14ac:dyDescent="0.3">
      <c r="A107" s="122" t="s">
        <v>85</v>
      </c>
      <c r="B107" s="123"/>
      <c r="C107" s="123"/>
      <c r="D107" s="123"/>
      <c r="E107" s="123"/>
      <c r="F107" s="123"/>
      <c r="G107" s="123"/>
      <c r="H107" s="139"/>
      <c r="I107" s="139"/>
      <c r="J107" s="139"/>
      <c r="K107" s="139"/>
      <c r="L107" s="139"/>
      <c r="M107" s="139"/>
      <c r="N107" s="172"/>
      <c r="O107" s="154"/>
    </row>
    <row r="108" spans="1:16" ht="17.100000000000001" customHeight="1" x14ac:dyDescent="0.3">
      <c r="A108" s="140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4"/>
      <c r="O108" s="154"/>
    </row>
    <row r="109" spans="1:16" ht="17.100000000000001" customHeight="1" x14ac:dyDescent="0.3">
      <c r="A109" s="140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4"/>
      <c r="O109" s="154"/>
    </row>
    <row r="110" spans="1:16" ht="17.100000000000001" customHeight="1" x14ac:dyDescent="0.3">
      <c r="A110" s="140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4"/>
      <c r="O110" s="154"/>
    </row>
    <row r="111" spans="1:16" ht="17.100000000000001" customHeight="1" x14ac:dyDescent="0.3">
      <c r="A111" s="140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4"/>
      <c r="O111" s="154"/>
    </row>
    <row r="112" spans="1:16" ht="17.100000000000001" customHeight="1" x14ac:dyDescent="0.3">
      <c r="A112" s="140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4"/>
      <c r="O112" s="154"/>
    </row>
    <row r="113" spans="1:15" ht="17.100000000000001" customHeight="1" x14ac:dyDescent="0.3">
      <c r="A113" s="125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7"/>
      <c r="O113" s="154"/>
    </row>
    <row r="114" spans="1:15" ht="17.100000000000001" customHeight="1" x14ac:dyDescent="0.3">
      <c r="A114" s="143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44"/>
    </row>
    <row r="115" spans="1:15" ht="17.100000000000001" customHeight="1" x14ac:dyDescent="0.3">
      <c r="A115" s="145" t="s">
        <v>40</v>
      </c>
      <c r="B115" s="146"/>
      <c r="C115" s="146"/>
      <c r="D115" s="146"/>
      <c r="E115" s="146"/>
      <c r="F115" s="146"/>
      <c r="G115" s="147" t="s">
        <v>41</v>
      </c>
      <c r="H115" s="147"/>
      <c r="I115" s="147"/>
      <c r="J115" s="147"/>
      <c r="K115" s="148"/>
      <c r="L115" s="149"/>
      <c r="M115" s="149"/>
      <c r="N115" s="150"/>
      <c r="O115" s="154" t="s">
        <v>42</v>
      </c>
    </row>
    <row r="116" spans="1:15" ht="17.100000000000001" customHeight="1" x14ac:dyDescent="0.3">
      <c r="A116" s="156" t="s">
        <v>43</v>
      </c>
      <c r="B116" s="157"/>
      <c r="C116" s="157"/>
      <c r="D116" s="157"/>
      <c r="E116" s="157"/>
      <c r="F116" s="158"/>
      <c r="G116" s="162" t="s">
        <v>44</v>
      </c>
      <c r="H116" s="157"/>
      <c r="I116" s="157"/>
      <c r="J116" s="158"/>
      <c r="K116" s="151"/>
      <c r="L116" s="152"/>
      <c r="M116" s="152"/>
      <c r="N116" s="153"/>
      <c r="O116" s="154"/>
    </row>
    <row r="117" spans="1:15" ht="17.100000000000001" customHeight="1" x14ac:dyDescent="0.3">
      <c r="A117" s="159"/>
      <c r="B117" s="160"/>
      <c r="C117" s="160"/>
      <c r="D117" s="160"/>
      <c r="E117" s="160"/>
      <c r="F117" s="161"/>
      <c r="G117" s="163"/>
      <c r="H117" s="160"/>
      <c r="I117" s="160"/>
      <c r="J117" s="161"/>
      <c r="K117" s="151"/>
      <c r="L117" s="152"/>
      <c r="M117" s="152"/>
      <c r="N117" s="153"/>
      <c r="O117" s="154"/>
    </row>
    <row r="118" spans="1:15" ht="17.100000000000001" customHeight="1" x14ac:dyDescent="0.3">
      <c r="A118" s="159"/>
      <c r="B118" s="160"/>
      <c r="C118" s="160"/>
      <c r="D118" s="160"/>
      <c r="E118" s="160"/>
      <c r="F118" s="161"/>
      <c r="G118" s="163"/>
      <c r="H118" s="160"/>
      <c r="I118" s="160"/>
      <c r="J118" s="161"/>
      <c r="K118" s="151"/>
      <c r="L118" s="152"/>
      <c r="M118" s="152"/>
      <c r="N118" s="153"/>
      <c r="O118" s="154"/>
    </row>
    <row r="119" spans="1:15" ht="17.100000000000001" customHeight="1" x14ac:dyDescent="0.3">
      <c r="A119" s="159"/>
      <c r="B119" s="160"/>
      <c r="C119" s="160"/>
      <c r="D119" s="160"/>
      <c r="E119" s="160"/>
      <c r="F119" s="161"/>
      <c r="G119" s="163"/>
      <c r="H119" s="160"/>
      <c r="I119" s="160"/>
      <c r="J119" s="161"/>
      <c r="K119" s="151"/>
      <c r="L119" s="152"/>
      <c r="M119" s="152"/>
      <c r="N119" s="153"/>
      <c r="O119" s="154"/>
    </row>
    <row r="120" spans="1:15" ht="17.100000000000001" customHeight="1" x14ac:dyDescent="0.3">
      <c r="A120" s="159"/>
      <c r="B120" s="160"/>
      <c r="C120" s="160"/>
      <c r="D120" s="160"/>
      <c r="E120" s="160"/>
      <c r="F120" s="161"/>
      <c r="G120" s="163"/>
      <c r="H120" s="160"/>
      <c r="I120" s="160"/>
      <c r="J120" s="161"/>
      <c r="K120" s="151"/>
      <c r="L120" s="152"/>
      <c r="M120" s="152"/>
      <c r="N120" s="153"/>
      <c r="O120" s="154"/>
    </row>
    <row r="121" spans="1:15" ht="17.100000000000001" customHeight="1" x14ac:dyDescent="0.3">
      <c r="A121" s="159"/>
      <c r="B121" s="160"/>
      <c r="C121" s="160"/>
      <c r="D121" s="160"/>
      <c r="E121" s="160"/>
      <c r="F121" s="161"/>
      <c r="G121" s="163"/>
      <c r="H121" s="160"/>
      <c r="I121" s="160"/>
      <c r="J121" s="161"/>
      <c r="K121" s="151"/>
      <c r="L121" s="152"/>
      <c r="M121" s="152"/>
      <c r="N121" s="153"/>
      <c r="O121" s="154"/>
    </row>
    <row r="122" spans="1:15" ht="17.100000000000001" customHeight="1" x14ac:dyDescent="0.3">
      <c r="A122" s="159"/>
      <c r="B122" s="160"/>
      <c r="C122" s="160"/>
      <c r="D122" s="160"/>
      <c r="E122" s="160"/>
      <c r="F122" s="161"/>
      <c r="G122" s="163"/>
      <c r="H122" s="160"/>
      <c r="I122" s="160"/>
      <c r="J122" s="161"/>
      <c r="K122" s="151"/>
      <c r="L122" s="152"/>
      <c r="M122" s="152"/>
      <c r="N122" s="153"/>
      <c r="O122" s="154"/>
    </row>
    <row r="123" spans="1:15" ht="17.100000000000001" customHeight="1" thickBot="1" x14ac:dyDescent="0.35">
      <c r="A123" s="159"/>
      <c r="B123" s="160"/>
      <c r="C123" s="160"/>
      <c r="D123" s="160"/>
      <c r="E123" s="160"/>
      <c r="F123" s="161"/>
      <c r="G123" s="163"/>
      <c r="H123" s="160"/>
      <c r="I123" s="160"/>
      <c r="J123" s="161"/>
      <c r="K123" s="151"/>
      <c r="L123" s="152"/>
      <c r="M123" s="152"/>
      <c r="N123" s="153"/>
      <c r="O123" s="155"/>
    </row>
    <row r="124" spans="1:15" ht="17.100000000000001" customHeight="1" thickBot="1" x14ac:dyDescent="0.35">
      <c r="A124" s="119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1"/>
    </row>
    <row r="125" spans="1:15" ht="17.100000000000001" customHeight="1" x14ac:dyDescent="0.3">
      <c r="A125" s="122" t="s">
        <v>45</v>
      </c>
      <c r="B125" s="123"/>
      <c r="C125" s="123"/>
      <c r="D125" s="124"/>
      <c r="E125" s="128" t="s">
        <v>46</v>
      </c>
      <c r="F125" s="123"/>
      <c r="G125" s="123"/>
      <c r="H125" s="123"/>
      <c r="I125" s="123"/>
      <c r="J125" s="123"/>
      <c r="K125" s="130" t="s">
        <v>47</v>
      </c>
      <c r="L125" s="131"/>
      <c r="M125" s="131"/>
      <c r="N125" s="131"/>
      <c r="O125" s="135" t="s">
        <v>48</v>
      </c>
    </row>
    <row r="126" spans="1:15" ht="17.100000000000001" customHeight="1" x14ac:dyDescent="0.3">
      <c r="A126" s="125"/>
      <c r="B126" s="126"/>
      <c r="C126" s="126"/>
      <c r="D126" s="127"/>
      <c r="E126" s="129"/>
      <c r="F126" s="126"/>
      <c r="G126" s="126"/>
      <c r="H126" s="126"/>
      <c r="I126" s="126"/>
      <c r="J126" s="126"/>
      <c r="K126" s="132"/>
      <c r="L126" s="131"/>
      <c r="M126" s="131"/>
      <c r="N126" s="131"/>
      <c r="O126" s="136"/>
    </row>
    <row r="127" spans="1:15" ht="17.100000000000001" customHeight="1" x14ac:dyDescent="0.3">
      <c r="A127" s="138" t="s">
        <v>49</v>
      </c>
      <c r="B127" s="139"/>
      <c r="C127" s="139"/>
      <c r="D127" s="139"/>
      <c r="E127" s="139"/>
      <c r="F127" s="139"/>
      <c r="G127" s="139"/>
      <c r="H127" s="139"/>
      <c r="I127" s="139"/>
      <c r="J127" s="139"/>
      <c r="K127" s="132"/>
      <c r="L127" s="131"/>
      <c r="M127" s="131"/>
      <c r="N127" s="131"/>
      <c r="O127" s="136"/>
    </row>
    <row r="128" spans="1:15" ht="17.100000000000001" customHeight="1" x14ac:dyDescent="0.3">
      <c r="A128" s="140"/>
      <c r="B128" s="123"/>
      <c r="C128" s="123"/>
      <c r="D128" s="123"/>
      <c r="E128" s="123"/>
      <c r="F128" s="123"/>
      <c r="G128" s="123"/>
      <c r="H128" s="123"/>
      <c r="I128" s="123"/>
      <c r="J128" s="123"/>
      <c r="K128" s="132"/>
      <c r="L128" s="131"/>
      <c r="M128" s="131"/>
      <c r="N128" s="131"/>
      <c r="O128" s="136"/>
    </row>
    <row r="129" spans="1:19" ht="17.100000000000001" customHeight="1" x14ac:dyDescent="0.3">
      <c r="A129" s="140"/>
      <c r="B129" s="123"/>
      <c r="C129" s="123"/>
      <c r="D129" s="123"/>
      <c r="E129" s="123"/>
      <c r="F129" s="123"/>
      <c r="G129" s="123"/>
      <c r="H129" s="123"/>
      <c r="I129" s="123"/>
      <c r="J129" s="123"/>
      <c r="K129" s="132"/>
      <c r="L129" s="131"/>
      <c r="M129" s="131"/>
      <c r="N129" s="131"/>
      <c r="O129" s="136"/>
    </row>
    <row r="130" spans="1:19" ht="17.100000000000001" customHeight="1" x14ac:dyDescent="0.3">
      <c r="A130" s="140"/>
      <c r="B130" s="123"/>
      <c r="C130" s="123"/>
      <c r="D130" s="123"/>
      <c r="E130" s="123"/>
      <c r="F130" s="123"/>
      <c r="G130" s="123"/>
      <c r="H130" s="123"/>
      <c r="I130" s="123"/>
      <c r="J130" s="123"/>
      <c r="K130" s="132"/>
      <c r="L130" s="131"/>
      <c r="M130" s="131"/>
      <c r="N130" s="131"/>
      <c r="O130" s="136"/>
    </row>
    <row r="131" spans="1:19" ht="17.100000000000001" customHeight="1" thickBot="1" x14ac:dyDescent="0.35">
      <c r="A131" s="141"/>
      <c r="B131" s="142"/>
      <c r="C131" s="142"/>
      <c r="D131" s="142"/>
      <c r="E131" s="142"/>
      <c r="F131" s="142"/>
      <c r="G131" s="142"/>
      <c r="H131" s="142"/>
      <c r="I131" s="142"/>
      <c r="J131" s="142"/>
      <c r="K131" s="133"/>
      <c r="L131" s="134"/>
      <c r="M131" s="134"/>
      <c r="N131" s="134"/>
      <c r="O131" s="137"/>
    </row>
    <row r="132" spans="1:19" ht="14.1" customHeight="1" x14ac:dyDescent="0.3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</row>
    <row r="133" spans="1:19" ht="14.1" customHeight="1" x14ac:dyDescent="0.3"/>
    <row r="134" spans="1:19" ht="14.1" customHeight="1" x14ac:dyDescent="0.3"/>
    <row r="135" spans="1:19" ht="14.1" customHeight="1" x14ac:dyDescent="0.3"/>
  </sheetData>
  <sortState ref="A33:N77">
    <sortCondition ref="E33:E77"/>
  </sortState>
  <mergeCells count="78">
    <mergeCell ref="O7:O13"/>
    <mergeCell ref="A8:I13"/>
    <mergeCell ref="J8:N8"/>
    <mergeCell ref="J9:N9"/>
    <mergeCell ref="J10:N10"/>
    <mergeCell ref="J11:N11"/>
    <mergeCell ref="J12:N12"/>
    <mergeCell ref="J13:N13"/>
    <mergeCell ref="A106:G106"/>
    <mergeCell ref="J106:N106"/>
    <mergeCell ref="A107:N113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115:O123"/>
    <mergeCell ref="A116:F123"/>
    <mergeCell ref="G116:J123"/>
    <mergeCell ref="O14:O113"/>
    <mergeCell ref="A34:A35"/>
    <mergeCell ref="B34:B35"/>
    <mergeCell ref="C34:C35"/>
    <mergeCell ref="D34:D35"/>
    <mergeCell ref="E34:E35"/>
    <mergeCell ref="F34:F35"/>
    <mergeCell ref="A93:M93"/>
    <mergeCell ref="A96:M96"/>
    <mergeCell ref="N82:N83"/>
    <mergeCell ref="H82:L82"/>
    <mergeCell ref="M82:M83"/>
    <mergeCell ref="B14:B15"/>
    <mergeCell ref="A101:M101"/>
    <mergeCell ref="A89:N89"/>
    <mergeCell ref="A86:M86"/>
    <mergeCell ref="B84:F84"/>
    <mergeCell ref="A132:J132"/>
    <mergeCell ref="K132:S132"/>
    <mergeCell ref="A124:O124"/>
    <mergeCell ref="A125:D126"/>
    <mergeCell ref="E125:J126"/>
    <mergeCell ref="K125:N131"/>
    <mergeCell ref="O125:O131"/>
    <mergeCell ref="A127:J131"/>
    <mergeCell ref="A114:O114"/>
    <mergeCell ref="A115:F115"/>
    <mergeCell ref="G115:J115"/>
    <mergeCell ref="K115:N123"/>
    <mergeCell ref="G34:G35"/>
    <mergeCell ref="C14:C15"/>
    <mergeCell ref="D14:D15"/>
    <mergeCell ref="E82:E83"/>
    <mergeCell ref="F82:F83"/>
    <mergeCell ref="G82:G83"/>
    <mergeCell ref="N14:N15"/>
    <mergeCell ref="N34:N35"/>
    <mergeCell ref="B36:F36"/>
    <mergeCell ref="A82:A83"/>
    <mergeCell ref="B82:B83"/>
    <mergeCell ref="C82:C83"/>
    <mergeCell ref="D82:D83"/>
    <mergeCell ref="E14:E15"/>
    <mergeCell ref="A25:E25"/>
    <mergeCell ref="A14:A15"/>
    <mergeCell ref="H34:L34"/>
    <mergeCell ref="M34:M35"/>
    <mergeCell ref="F14:F15"/>
    <mergeCell ref="G14:G15"/>
    <mergeCell ref="H14:L14"/>
    <mergeCell ref="M14:M15"/>
  </mergeCells>
  <phoneticPr fontId="12" type="noConversion"/>
  <hyperlinks>
    <hyperlink ref="E40" r:id="rId1" display="VALVULA DE DESCARGA EM METAL CROMADO PARA MICTORIO COM ACIONAMENTO POR PRESSAO E FECHAMENTO AUTOMATICO"/>
    <hyperlink ref="E65" r:id="rId2" display="VALVULA DE DESCARGA EM METAL CROMADO PARA MICTORIO COM ACIONAMENTO POR PRESSAO E FECHAMENTO AUTOMATICO"/>
  </hyperlinks>
  <pageMargins left="0.25" right="0.25" top="0.75" bottom="0.75" header="0.3" footer="0.3"/>
  <pageSetup paperSize="9" scale="53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I23"/>
  <sheetViews>
    <sheetView topLeftCell="A4" workbookViewId="0">
      <selection activeCell="F11" sqref="F11"/>
    </sheetView>
  </sheetViews>
  <sheetFormatPr defaultRowHeight="14.4" x14ac:dyDescent="0.3"/>
  <cols>
    <col min="4" max="8" width="18.6640625" customWidth="1"/>
    <col min="9" max="9" width="26.44140625" bestFit="1" customWidth="1"/>
  </cols>
  <sheetData>
    <row r="2" spans="4:9" x14ac:dyDescent="0.3">
      <c r="D2" s="55"/>
      <c r="E2" s="192" t="s">
        <v>111</v>
      </c>
      <c r="F2" s="192"/>
      <c r="G2" s="192"/>
      <c r="H2" s="192"/>
    </row>
    <row r="3" spans="4:9" x14ac:dyDescent="0.3">
      <c r="D3" s="56" t="s">
        <v>89</v>
      </c>
      <c r="E3" s="56" t="s">
        <v>90</v>
      </c>
      <c r="F3" s="56" t="s">
        <v>107</v>
      </c>
      <c r="G3" s="56" t="s">
        <v>108</v>
      </c>
      <c r="H3" s="56" t="s">
        <v>91</v>
      </c>
      <c r="I3" s="57" t="s">
        <v>92</v>
      </c>
    </row>
    <row r="4" spans="4:9" x14ac:dyDescent="0.3">
      <c r="D4" s="55"/>
      <c r="E4" s="55">
        <v>2</v>
      </c>
      <c r="F4" s="55">
        <v>1470</v>
      </c>
      <c r="G4" s="55">
        <v>4170</v>
      </c>
      <c r="H4" s="55">
        <f>E4*F4*G4/1000000</f>
        <v>12.2598</v>
      </c>
      <c r="I4" s="55"/>
    </row>
    <row r="5" spans="4:9" x14ac:dyDescent="0.3">
      <c r="D5" s="55"/>
      <c r="E5" s="55">
        <v>2</v>
      </c>
      <c r="F5" s="55">
        <v>1470</v>
      </c>
      <c r="G5" s="55">
        <v>4030</v>
      </c>
      <c r="H5" s="55">
        <f t="shared" ref="H5:H20" si="0">E5*F5*G5/1000000</f>
        <v>11.8482</v>
      </c>
      <c r="I5" s="55"/>
    </row>
    <row r="6" spans="4:9" x14ac:dyDescent="0.3">
      <c r="D6" s="55"/>
      <c r="E6" s="55">
        <v>2</v>
      </c>
      <c r="F6" s="55">
        <v>1470</v>
      </c>
      <c r="G6" s="55">
        <v>2600</v>
      </c>
      <c r="H6" s="55">
        <f t="shared" si="0"/>
        <v>7.6440000000000001</v>
      </c>
      <c r="I6" s="55"/>
    </row>
    <row r="7" spans="4:9" x14ac:dyDescent="0.3">
      <c r="D7" s="55"/>
      <c r="E7" s="55">
        <v>2</v>
      </c>
      <c r="F7" s="55">
        <v>1470</v>
      </c>
      <c r="G7" s="55">
        <v>1400</v>
      </c>
      <c r="H7" s="55">
        <f t="shared" si="0"/>
        <v>4.1159999999999997</v>
      </c>
      <c r="I7" s="55"/>
    </row>
    <row r="8" spans="4:9" x14ac:dyDescent="0.3">
      <c r="D8" s="55"/>
      <c r="E8" s="55">
        <v>2</v>
      </c>
      <c r="F8" s="55">
        <v>1470</v>
      </c>
      <c r="G8" s="55">
        <v>3860</v>
      </c>
      <c r="H8" s="55">
        <f t="shared" si="0"/>
        <v>11.3484</v>
      </c>
      <c r="I8" s="55"/>
    </row>
    <row r="9" spans="4:9" x14ac:dyDescent="0.3">
      <c r="D9" s="55"/>
      <c r="E9" s="55">
        <v>2</v>
      </c>
      <c r="F9" s="55">
        <v>1470</v>
      </c>
      <c r="G9" s="55">
        <v>3850</v>
      </c>
      <c r="H9" s="55">
        <f t="shared" si="0"/>
        <v>11.319000000000001</v>
      </c>
      <c r="I9" s="55"/>
    </row>
    <row r="10" spans="4:9" x14ac:dyDescent="0.3">
      <c r="D10" s="55"/>
      <c r="E10" s="55">
        <v>2</v>
      </c>
      <c r="F10" s="55">
        <v>1470</v>
      </c>
      <c r="G10" s="55">
        <v>4060</v>
      </c>
      <c r="H10" s="55">
        <f t="shared" si="0"/>
        <v>11.936400000000001</v>
      </c>
      <c r="I10" s="55"/>
    </row>
    <row r="11" spans="4:9" x14ac:dyDescent="0.3">
      <c r="D11" s="55"/>
      <c r="E11" s="55">
        <v>2</v>
      </c>
      <c r="F11" s="55">
        <v>1470</v>
      </c>
      <c r="G11" s="55">
        <v>2340</v>
      </c>
      <c r="H11" s="55">
        <f t="shared" si="0"/>
        <v>6.8795999999999999</v>
      </c>
      <c r="I11" s="55"/>
    </row>
    <row r="12" spans="4:9" x14ac:dyDescent="0.3">
      <c r="D12" s="55"/>
      <c r="E12" s="55">
        <v>2</v>
      </c>
      <c r="F12" s="55">
        <v>1470</v>
      </c>
      <c r="G12" s="55">
        <v>1540</v>
      </c>
      <c r="H12" s="55">
        <f t="shared" si="0"/>
        <v>4.5275999999999996</v>
      </c>
      <c r="I12" s="55"/>
    </row>
    <row r="13" spans="4:9" x14ac:dyDescent="0.3">
      <c r="D13" s="55"/>
      <c r="E13" s="55">
        <v>2</v>
      </c>
      <c r="F13" s="55">
        <v>1470</v>
      </c>
      <c r="G13" s="55">
        <v>760</v>
      </c>
      <c r="H13" s="55">
        <f t="shared" si="0"/>
        <v>2.2343999999999999</v>
      </c>
      <c r="I13" s="55"/>
    </row>
    <row r="14" spans="4:9" x14ac:dyDescent="0.3">
      <c r="D14" s="55"/>
      <c r="E14" s="55">
        <v>2</v>
      </c>
      <c r="F14" s="55">
        <v>1470</v>
      </c>
      <c r="G14" s="55">
        <v>270</v>
      </c>
      <c r="H14" s="55">
        <f t="shared" si="0"/>
        <v>0.79379999999999995</v>
      </c>
      <c r="I14" s="55"/>
    </row>
    <row r="15" spans="4:9" x14ac:dyDescent="0.3">
      <c r="D15" s="55"/>
      <c r="E15" s="55">
        <v>1</v>
      </c>
      <c r="F15" s="55">
        <v>1470</v>
      </c>
      <c r="G15" s="55">
        <v>790</v>
      </c>
      <c r="H15" s="55">
        <f t="shared" si="0"/>
        <v>1.1613</v>
      </c>
      <c r="I15" s="55"/>
    </row>
    <row r="16" spans="4:9" x14ac:dyDescent="0.3">
      <c r="D16" s="55"/>
      <c r="E16" s="55">
        <v>1</v>
      </c>
      <c r="F16" s="55">
        <v>770</v>
      </c>
      <c r="G16" s="55">
        <v>3340</v>
      </c>
      <c r="H16" s="55">
        <f t="shared" si="0"/>
        <v>2.5718000000000001</v>
      </c>
      <c r="I16" s="55"/>
    </row>
    <row r="17" spans="4:9" x14ac:dyDescent="0.3">
      <c r="D17" s="55"/>
      <c r="E17" s="55">
        <v>1</v>
      </c>
      <c r="F17" s="55">
        <v>770</v>
      </c>
      <c r="G17" s="55">
        <v>2620</v>
      </c>
      <c r="H17" s="55">
        <f t="shared" si="0"/>
        <v>2.0173999999999999</v>
      </c>
      <c r="I17" s="55"/>
    </row>
    <row r="18" spans="4:9" x14ac:dyDescent="0.3">
      <c r="D18" s="55"/>
      <c r="E18" s="55">
        <v>1</v>
      </c>
      <c r="F18" s="55">
        <v>770</v>
      </c>
      <c r="G18" s="55">
        <v>3370</v>
      </c>
      <c r="H18" s="55">
        <f t="shared" si="0"/>
        <v>2.5949</v>
      </c>
      <c r="I18" s="55"/>
    </row>
    <row r="19" spans="4:9" x14ac:dyDescent="0.3">
      <c r="D19" s="55"/>
      <c r="E19" s="55">
        <v>2</v>
      </c>
      <c r="F19" s="55">
        <v>1600</v>
      </c>
      <c r="G19" s="55">
        <v>2800</v>
      </c>
      <c r="H19" s="55">
        <f t="shared" si="0"/>
        <v>8.9600000000000009</v>
      </c>
      <c r="I19" s="55"/>
    </row>
    <row r="20" spans="4:9" x14ac:dyDescent="0.3">
      <c r="D20" s="55"/>
      <c r="E20" s="55">
        <v>2</v>
      </c>
      <c r="F20" s="55">
        <v>2000</v>
      </c>
      <c r="G20" s="55">
        <v>3200</v>
      </c>
      <c r="H20" s="55">
        <f t="shared" si="0"/>
        <v>12.8</v>
      </c>
      <c r="I20" s="55"/>
    </row>
    <row r="21" spans="4:9" x14ac:dyDescent="0.3">
      <c r="D21" s="55"/>
      <c r="E21" s="55"/>
      <c r="F21" s="55"/>
      <c r="G21" s="55"/>
      <c r="H21" s="55">
        <f t="shared" ref="H21:H22" si="1">E21*F21*G21/10000</f>
        <v>0</v>
      </c>
      <c r="I21" s="55"/>
    </row>
    <row r="22" spans="4:9" x14ac:dyDescent="0.3">
      <c r="D22" s="55"/>
      <c r="E22" s="55"/>
      <c r="F22" s="55"/>
      <c r="G22" s="55"/>
      <c r="H22" s="55">
        <f t="shared" si="1"/>
        <v>0</v>
      </c>
      <c r="I22" s="55"/>
    </row>
    <row r="23" spans="4:9" x14ac:dyDescent="0.3">
      <c r="D23" s="193" t="s">
        <v>93</v>
      </c>
      <c r="E23" s="194"/>
      <c r="F23" s="194"/>
      <c r="G23" s="195"/>
      <c r="H23" s="58">
        <f>SUM(H4:H22)</f>
        <v>115.01259999999998</v>
      </c>
    </row>
  </sheetData>
  <mergeCells count="2">
    <mergeCell ref="E2:H2"/>
    <mergeCell ref="D23:G2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B2793AD-12D7-4EB6-A673-E6B8ADA8232F}"/>
</file>

<file path=customXml/itemProps2.xml><?xml version="1.0" encoding="utf-8"?>
<ds:datastoreItem xmlns:ds="http://schemas.openxmlformats.org/officeDocument/2006/customXml" ds:itemID="{23976C02-BE78-4DDE-9219-750F790877C0}"/>
</file>

<file path=customXml/itemProps3.xml><?xml version="1.0" encoding="utf-8"?>
<ds:datastoreItem xmlns:ds="http://schemas.openxmlformats.org/officeDocument/2006/customXml" ds:itemID="{1846073C-DC29-4A92-996B-52C9B60CCD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São Carlos</vt:lpstr>
      <vt:lpstr>GRADES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2025-12-11T12:04:19Z</cp:lastPrinted>
  <dcterms:created xsi:type="dcterms:W3CDTF">2022-01-02T19:12:46Z</dcterms:created>
  <dcterms:modified xsi:type="dcterms:W3CDTF">2025-12-11T12:04:30Z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