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41-Outubro-25\"/>
    </mc:Choice>
  </mc:AlternateContent>
  <xr:revisionPtr revIDLastSave="0" documentId="13_ncr:1_{0A9A683C-F971-46C2-B91A-E566CF3FAC09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ão Carlos" sheetId="1" r:id="rId1"/>
    <sheet name="GRADES" sheetId="2" r:id="rId2"/>
  </sheets>
  <definedNames>
    <definedName name="_xlnm.Print_Area" localSheetId="0">'São Carlos'!$A$1:$O$90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I35" i="1"/>
  <c r="J35" i="1" s="1"/>
  <c r="I27" i="1"/>
  <c r="J27" i="1" s="1"/>
  <c r="I20" i="1"/>
  <c r="J20" i="1" s="1"/>
  <c r="I18" i="1"/>
  <c r="J18" i="1" s="1"/>
  <c r="I44" i="1"/>
  <c r="I58" i="1"/>
  <c r="J58" i="1" s="1"/>
  <c r="K35" i="1" l="1"/>
  <c r="L35" i="1" s="1"/>
  <c r="M35" i="1" s="1"/>
  <c r="N35" i="1" s="1"/>
  <c r="K27" i="1"/>
  <c r="L27" i="1" s="1"/>
  <c r="M27" i="1" s="1"/>
  <c r="K20" i="1"/>
  <c r="L20" i="1" s="1"/>
  <c r="M20" i="1" s="1"/>
  <c r="K18" i="1"/>
  <c r="L18" i="1" s="1"/>
  <c r="M18" i="1" s="1"/>
  <c r="K58" i="1"/>
  <c r="L58" i="1" s="1"/>
  <c r="M58" i="1" s="1"/>
  <c r="I57" i="1" l="1"/>
  <c r="J57" i="1" s="1"/>
  <c r="I56" i="1"/>
  <c r="J56" i="1" s="1"/>
  <c r="K56" i="1" s="1"/>
  <c r="G54" i="1"/>
  <c r="I54" i="1"/>
  <c r="J54" i="1" s="1"/>
  <c r="G53" i="1"/>
  <c r="I53" i="1"/>
  <c r="J53" i="1" s="1"/>
  <c r="I62" i="1"/>
  <c r="J62" i="1" s="1"/>
  <c r="I61" i="1"/>
  <c r="J61" i="1" s="1"/>
  <c r="I60" i="1"/>
  <c r="J60" i="1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4" i="2"/>
  <c r="I43" i="1"/>
  <c r="J43" i="1" s="1"/>
  <c r="I42" i="1"/>
  <c r="J42" i="1" s="1"/>
  <c r="G51" i="1"/>
  <c r="I41" i="1"/>
  <c r="J41" i="1" s="1"/>
  <c r="I51" i="1"/>
  <c r="J51" i="1" s="1"/>
  <c r="I40" i="1"/>
  <c r="J40" i="1" s="1"/>
  <c r="K57" i="1" l="1"/>
  <c r="L57" i="1" s="1"/>
  <c r="M57" i="1" s="1"/>
  <c r="L56" i="1"/>
  <c r="M56" i="1" s="1"/>
  <c r="K54" i="1"/>
  <c r="L54" i="1" s="1"/>
  <c r="M54" i="1" s="1"/>
  <c r="K53" i="1"/>
  <c r="L53" i="1" s="1"/>
  <c r="M53" i="1" s="1"/>
  <c r="K62" i="1"/>
  <c r="L62" i="1" s="1"/>
  <c r="M62" i="1" s="1"/>
  <c r="K60" i="1"/>
  <c r="L60" i="1" s="1"/>
  <c r="M60" i="1" s="1"/>
  <c r="K61" i="1"/>
  <c r="L61" i="1" s="1"/>
  <c r="M61" i="1" s="1"/>
  <c r="K43" i="1"/>
  <c r="L43" i="1" s="1"/>
  <c r="M43" i="1" s="1"/>
  <c r="K42" i="1"/>
  <c r="L42" i="1" s="1"/>
  <c r="M42" i="1" s="1"/>
  <c r="K41" i="1"/>
  <c r="L41" i="1" s="1"/>
  <c r="M41" i="1" s="1"/>
  <c r="K51" i="1"/>
  <c r="L51" i="1" s="1"/>
  <c r="M51" i="1" s="1"/>
  <c r="K40" i="1"/>
  <c r="L40" i="1" s="1"/>
  <c r="M40" i="1" s="1"/>
  <c r="N41" i="1" l="1"/>
  <c r="N42" i="1"/>
  <c r="N43" i="1"/>
  <c r="I36" i="1" l="1"/>
  <c r="J36" i="1" s="1"/>
  <c r="I34" i="1"/>
  <c r="J34" i="1" s="1"/>
  <c r="I33" i="1"/>
  <c r="J33" i="1" s="1"/>
  <c r="I32" i="1"/>
  <c r="J32" i="1" s="1"/>
  <c r="K36" i="1" l="1"/>
  <c r="L36" i="1" s="1"/>
  <c r="M36" i="1" s="1"/>
  <c r="K32" i="1"/>
  <c r="L32" i="1" s="1"/>
  <c r="M32" i="1" s="1"/>
  <c r="K33" i="1"/>
  <c r="L33" i="1" s="1"/>
  <c r="M33" i="1" s="1"/>
  <c r="K34" i="1"/>
  <c r="L34" i="1" s="1"/>
  <c r="M34" i="1" s="1"/>
  <c r="J44" i="1"/>
  <c r="K44" i="1" l="1"/>
  <c r="L44" i="1" s="1"/>
  <c r="M44" i="1" s="1"/>
  <c r="N44" i="1" s="1"/>
  <c r="H22" i="2" l="1"/>
  <c r="H21" i="2"/>
  <c r="H23" i="2" l="1"/>
  <c r="M50" i="1" l="1"/>
  <c r="N51" i="1" s="1"/>
  <c r="M39" i="1"/>
  <c r="N40" i="1" s="1"/>
  <c r="I19" i="1" l="1"/>
  <c r="J19" i="1" s="1"/>
  <c r="K19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8" i="1"/>
  <c r="J28" i="1" s="1"/>
  <c r="I29" i="1"/>
  <c r="J29" i="1" s="1"/>
  <c r="K29" i="1" s="1"/>
  <c r="I30" i="1"/>
  <c r="J30" i="1" s="1"/>
  <c r="I31" i="1"/>
  <c r="J31" i="1" s="1"/>
  <c r="K31" i="1" s="1"/>
  <c r="K25" i="1" l="1"/>
  <c r="L25" i="1" s="1"/>
  <c r="M25" i="1" s="1"/>
  <c r="K28" i="1"/>
  <c r="L28" i="1" s="1"/>
  <c r="M28" i="1" s="1"/>
  <c r="K30" i="1"/>
  <c r="L30" i="1" s="1"/>
  <c r="M30" i="1" s="1"/>
  <c r="K21" i="1"/>
  <c r="L21" i="1" s="1"/>
  <c r="M21" i="1" s="1"/>
  <c r="K23" i="1"/>
  <c r="L23" i="1" s="1"/>
  <c r="M23" i="1" s="1"/>
  <c r="L31" i="1"/>
  <c r="M31" i="1" s="1"/>
  <c r="L29" i="1"/>
  <c r="M29" i="1" s="1"/>
  <c r="L26" i="1"/>
  <c r="M26" i="1" s="1"/>
  <c r="L24" i="1"/>
  <c r="M24" i="1" s="1"/>
  <c r="L22" i="1"/>
  <c r="M22" i="1" s="1"/>
  <c r="L19" i="1"/>
  <c r="M19" i="1" s="1"/>
  <c r="I17" i="1"/>
  <c r="J17" i="1" s="1"/>
  <c r="K17" i="1" s="1"/>
  <c r="L17" i="1" l="1"/>
  <c r="M17" i="1" s="1"/>
  <c r="N27" i="1" s="1"/>
  <c r="N18" i="1" l="1"/>
  <c r="N20" i="1"/>
  <c r="N58" i="1"/>
  <c r="N56" i="1"/>
  <c r="N57" i="1"/>
  <c r="N62" i="1"/>
  <c r="N53" i="1"/>
  <c r="N54" i="1"/>
  <c r="N60" i="1"/>
  <c r="N61" i="1"/>
  <c r="N34" i="1"/>
  <c r="N32" i="1"/>
  <c r="N33" i="1"/>
  <c r="N36" i="1"/>
  <c r="N21" i="1"/>
  <c r="N19" i="1"/>
  <c r="N25" i="1"/>
  <c r="N23" i="1"/>
  <c r="N29" i="1"/>
  <c r="N22" i="1"/>
  <c r="N30" i="1"/>
  <c r="N28" i="1"/>
  <c r="N26" i="1"/>
  <c r="N31" i="1"/>
  <c r="N24" i="1"/>
  <c r="N17" i="1"/>
  <c r="J65" i="1"/>
  <c r="N16" i="1" l="1"/>
</calcChain>
</file>

<file path=xl/sharedStrings.xml><?xml version="1.0" encoding="utf-8"?>
<sst xmlns="http://schemas.openxmlformats.org/spreadsheetml/2006/main" count="261" uniqueCount="132">
  <si>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</si>
  <si>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</si>
  <si>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</si>
  <si>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</si>
  <si>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</si>
  <si>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</si>
  <si>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</si>
  <si>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</si>
  <si>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</si>
  <si>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</si>
  <si>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</si>
  <si>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</si>
  <si>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</si>
  <si>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</si>
  <si>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</si>
  <si>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</si>
  <si>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</si>
  <si>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</si>
  <si>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</si>
  <si>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</si>
  <si>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</si>
  <si>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</si>
  <si>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</si>
  <si>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</si>
  <si>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</si>
  <si>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</si>
  <si>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</si>
  <si>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</si>
  <si>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</si>
  <si>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</si>
  <si>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</si>
  <si>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</si>
  <si>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</si>
  <si>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</si>
  <si>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</si>
  <si>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</si>
  <si>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</si>
  <si>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</si>
  <si>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</si>
  <si>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</si>
  <si>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</si>
  <si>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</si>
  <si>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</si>
  <si>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</si>
  <si>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</si>
  <si>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</si>
  <si>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</si>
  <si>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</si>
  <si>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</si>
  <si>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</si>
  <si>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</si>
  <si>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</si>
  <si>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</si>
  <si>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</si>
  <si>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</si>
  <si>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</si>
  <si>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</si>
  <si>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</si>
  <si>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</si>
  <si>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</si>
  <si>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</si>
  <si>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</si>
  <si>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</si>
  <si>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</si>
  <si>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</si>
  <si>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</si>
  <si>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</si>
  <si>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</si>
  <si>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</si>
  <si>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</si>
  <si>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</si>
  <si>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</si>
  <si>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</si>
  <si>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</si>
  <si>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</si>
  <si>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</si>
  <si>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</si>
  <si>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</si>
  <si>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</si>
  <si>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</si>
  <si>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</si>
  <si>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</si>
  <si>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2.9</t>
  </si>
  <si>
    <r>
      <t xml:space="preserve">Data Orçamento: </t>
    </r>
    <r>
      <rPr>
        <sz val="8"/>
        <color rgb="FFFF0000"/>
        <rFont val="Arial"/>
        <family val="2"/>
      </rPr>
      <t>Jun/22</t>
    </r>
  </si>
  <si>
    <r>
      <t xml:space="preserve">Mês de referência: </t>
    </r>
    <r>
      <rPr>
        <sz val="8"/>
        <color rgb="FFFF0000"/>
        <rFont val="Arial"/>
        <family val="2"/>
      </rPr>
      <t>Maio/2025 (data da proposta)</t>
    </r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</si>
  <si>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05/2025)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</si>
  <si>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2.32</t>
  </si>
  <si>
    <t>M²</t>
  </si>
  <si>
    <t>3.5</t>
  </si>
  <si>
    <t>3.6</t>
  </si>
  <si>
    <t>CIMENTO PORTLAND COMPOSTO CP II-32</t>
  </si>
  <si>
    <t>Local</t>
  </si>
  <si>
    <t>Quant.</t>
  </si>
  <si>
    <t>m²</t>
  </si>
  <si>
    <t>OBS</t>
  </si>
  <si>
    <t>total m²</t>
  </si>
  <si>
    <t xml:space="preserve"> 88489 </t>
  </si>
  <si>
    <t>PINTURA LÁTEX ACRÍLICA PREMIUM, APLICAÇÃO MANUAL EM PAREDES, DUAS DEMÃOS. AF_04/2023</t>
  </si>
  <si>
    <t>APLICAÇÃO MANUAL DE PINTURA COM TINTA LÁTEX ACRÍLICA EM TETO, DUAS DEMÃOS. AF_06/2014</t>
  </si>
  <si>
    <t>PINTURA DE PISO COM TINTA EPÓXI, APLICAÇÃO MECÂNICA, 2 DEMÃOS. AF_05/2021</t>
  </si>
  <si>
    <t>1.13</t>
  </si>
  <si>
    <t>1.14</t>
  </si>
  <si>
    <t>1.15</t>
  </si>
  <si>
    <t>1.16</t>
  </si>
  <si>
    <t xml:space="preserve"> AJUDANTE ESPECIALIZADO COM ENCARGOS COMPLEMENTARES</t>
  </si>
  <si>
    <t>AREIA GROSSA - POSTO JAZIDA/FORNECEDOR (RETIRADO NA JAZIDA, SEM TRANSPORTE)</t>
  </si>
  <si>
    <t>m3</t>
  </si>
  <si>
    <t>TRANSPORTE COM CAMINHÃO BASCULANTE DE 10 M³, EM VIA URBANA EM LEITO NATURAL (UNIDADE: M3XKM). AF_07/2020</t>
  </si>
  <si>
    <t>M3XKM</t>
  </si>
  <si>
    <t>PEDRA BRITADA N. 0, OU PEDRISCO (4,8 A 9,5 MM) POSTO PEDREIRA/FORNECEDOR, SEM FRETE</t>
  </si>
  <si>
    <t>2.1</t>
  </si>
  <si>
    <t>2.2</t>
  </si>
  <si>
    <t>2.3</t>
  </si>
  <si>
    <t>ESPUMA EXPANSIVA DE POLIURETANO, APLICACAO MANUAL - 500 ML</t>
  </si>
  <si>
    <t>ELEMENTO VAZADO DE CONCRETO, QUADRICULADO, 16 FUROS *29 X 29 X 6* CM</t>
  </si>
  <si>
    <t>PINTURA PROACE</t>
  </si>
  <si>
    <t>PINTURA DCIVI</t>
  </si>
  <si>
    <t>largura (mm)</t>
  </si>
  <si>
    <t>Comprimento (mm)</t>
  </si>
  <si>
    <t>3..27</t>
  </si>
  <si>
    <t>3.28</t>
  </si>
  <si>
    <t>ORSE</t>
  </si>
  <si>
    <t>GRADES PARA JANELAS E PORTAS DO DEPARTAMENTO DE GENETICA E EVOLUÇÃO</t>
  </si>
  <si>
    <t>Grade em metalon</t>
  </si>
  <si>
    <t>PINTURA COM TINTA ALQUÍDICA DE ACABAMENTO (ESMALTE SINTÉTICO ACETINADO) PULVERIZADA SOBRE PERFIL METÁLICO EXECUTADO EM FÁBRICA (POR DEMÃO). AF_01/2020_PE</t>
  </si>
  <si>
    <t xml:space="preserve">PINTURA COM TINTA ALQUÍDICA DE FUNDO E ACABAMENTO (ESMALTE SINTÉTICO GRAFITE) PULVERIZADA SOBRE PERFIL METÁLICO EXECUTADO EM FÁBRICA (POR DEMÃO). AF_01/2020_PE 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</si>
  <si>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</t>
    </r>
    <r>
      <rPr>
        <b/>
        <sz val="8"/>
        <rFont val="Arial"/>
        <family val="2"/>
      </rPr>
      <t xml:space="preserve">PERIODO DE </t>
    </r>
    <r>
      <rPr>
        <b/>
        <sz val="8"/>
        <color rgb="FFFF0000"/>
        <rFont val="Arial"/>
        <family val="2"/>
      </rPr>
      <t>OUTUBRO/2025</t>
    </r>
  </si>
  <si>
    <t>GRADE METALON</t>
  </si>
  <si>
    <t>AJUSTE ENCARREGADO SETEMBRO</t>
  </si>
  <si>
    <t>AJUSTE ENCANADOR SETEMBRO</t>
  </si>
  <si>
    <t>AJUSTE AJUDANTE SETEMBRO</t>
  </si>
  <si>
    <t>AJUSTE PINTOR 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</si>
</sst>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3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b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1"/>
    </font>
    <font>
      <b/>
      <sz val="8"/>
      <color theme="4"/>
      <name val="Arial"/>
      <family val="2"/>
    </font>
    <font>
      <b/>
      <sz val="8"/>
      <color theme="4"/>
      <name val="Arial"/>
      <family val="1"/>
    </font>
    <font>
      <sz val="8"/>
      <color theme="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1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5" fillId="4" borderId="1" applyProtection="0"/>
    <xf numFmtId="0" fontId="16" fillId="0" borderId="0" applyBorder="0" applyProtection="0"/>
    <xf numFmtId="0" fontId="21" fillId="0" borderId="0"/>
    <xf numFmtId="164" fontId="21" fillId="0" borderId="0" applyBorder="0" applyProtection="0"/>
    <xf numFmtId="0" fontId="22" fillId="0" borderId="0" applyBorder="0" applyProtection="0"/>
    <xf numFmtId="0" fontId="15" fillId="4" borderId="1" applyProtection="0"/>
    <xf numFmtId="0" fontId="23" fillId="0" borderId="0"/>
  </cellStyleXfs>
  <cellXfs count="190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12" fillId="2" borderId="25" xfId="1" applyFont="1" applyBorder="1" applyAlignment="1">
      <alignment horizontal="center" vertical="center"/>
    </xf>
    <xf numFmtId="0" fontId="17" fillId="2" borderId="27" xfId="1" applyFont="1" applyBorder="1" applyAlignment="1">
      <alignment horizontal="center" vertical="center"/>
    </xf>
    <xf numFmtId="44" fontId="17" fillId="2" borderId="27" xfId="3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4" xfId="2" applyFont="1" applyFill="1" applyBorder="1" applyAlignment="1" applyProtection="1">
      <alignment horizontal="left" vertical="center" wrapText="1"/>
    </xf>
    <xf numFmtId="0" fontId="12" fillId="0" borderId="24" xfId="2" applyFont="1" applyBorder="1" applyAlignment="1" applyProtection="1">
      <alignment horizontal="center" vertical="center"/>
    </xf>
    <xf numFmtId="4" fontId="12" fillId="0" borderId="24" xfId="2" applyNumberFormat="1" applyFont="1" applyBorder="1" applyAlignment="1" applyProtection="1">
      <alignment horizontal="center" vertical="center"/>
    </xf>
    <xf numFmtId="0" fontId="18" fillId="2" borderId="24" xfId="1" applyFont="1" applyBorder="1"/>
    <xf numFmtId="0" fontId="17" fillId="0" borderId="39" xfId="0" applyFont="1" applyBorder="1" applyAlignment="1">
      <alignment vertical="top"/>
    </xf>
    <xf numFmtId="0" fontId="19" fillId="0" borderId="11" xfId="0" applyFont="1" applyBorder="1" applyAlignment="1">
      <alignment vertical="top"/>
    </xf>
    <xf numFmtId="0" fontId="14" fillId="0" borderId="0" xfId="0" applyFont="1"/>
    <xf numFmtId="4" fontId="12" fillId="0" borderId="24" xfId="2" applyNumberFormat="1" applyFont="1" applyFill="1" applyBorder="1" applyAlignment="1" applyProtection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43" fontId="14" fillId="0" borderId="0" xfId="0" applyNumberFormat="1" applyFont="1"/>
    <xf numFmtId="0" fontId="9" fillId="0" borderId="24" xfId="0" applyFont="1" applyBorder="1" applyAlignment="1">
      <alignment horizontal="center" vertical="center" wrapText="1"/>
    </xf>
    <xf numFmtId="4" fontId="8" fillId="0" borderId="24" xfId="0" applyNumberFormat="1" applyFont="1" applyBorder="1" applyAlignment="1">
      <alignment horizontal="center" vertical="center" wrapText="1"/>
    </xf>
    <xf numFmtId="4" fontId="12" fillId="0" borderId="16" xfId="2" applyNumberFormat="1" applyFont="1" applyFill="1" applyBorder="1" applyAlignment="1" applyProtection="1">
      <alignment horizontal="center" vertical="center"/>
    </xf>
    <xf numFmtId="0" fontId="20" fillId="5" borderId="24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left" vertical="center" wrapText="1"/>
    </xf>
    <xf numFmtId="4" fontId="8" fillId="5" borderId="24" xfId="0" applyNumberFormat="1" applyFont="1" applyFill="1" applyBorder="1" applyAlignment="1">
      <alignment horizontal="center" vertical="center" wrapText="1"/>
    </xf>
    <xf numFmtId="0" fontId="8" fillId="2" borderId="27" xfId="1" applyFont="1" applyBorder="1" applyAlignment="1">
      <alignment horizontal="center" vertical="center"/>
    </xf>
    <xf numFmtId="0" fontId="8" fillId="2" borderId="24" xfId="1" applyFont="1" applyBorder="1" applyAlignment="1">
      <alignment horizontal="center" vertical="center"/>
    </xf>
    <xf numFmtId="0" fontId="17" fillId="2" borderId="24" xfId="1" applyFont="1" applyBorder="1"/>
    <xf numFmtId="0" fontId="20" fillId="0" borderId="24" xfId="0" applyFont="1" applyBorder="1" applyAlignment="1">
      <alignment horizontal="center" vertical="center" wrapText="1"/>
    </xf>
    <xf numFmtId="0" fontId="20" fillId="0" borderId="24" xfId="0" applyFont="1" applyBorder="1" applyAlignment="1">
      <alignment vertical="center" wrapText="1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0" fillId="0" borderId="24" xfId="0" applyBorder="1"/>
    <xf numFmtId="0" fontId="0" fillId="0" borderId="24" xfId="0" applyBorder="1" applyAlignment="1">
      <alignment horizontal="center"/>
    </xf>
    <xf numFmtId="2" fontId="24" fillId="0" borderId="24" xfId="0" applyNumberFormat="1" applyFont="1" applyBorder="1"/>
    <xf numFmtId="0" fontId="9" fillId="0" borderId="14" xfId="2" applyFont="1" applyFill="1" applyBorder="1" applyAlignment="1" applyProtection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1" xfId="2" applyFont="1" applyBorder="1" applyAlignment="1" applyProtection="1">
      <alignment horizontal="left" vertical="center" wrapText="1"/>
    </xf>
    <xf numFmtId="0" fontId="26" fillId="0" borderId="24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left" vertical="top" wrapText="1"/>
    </xf>
    <xf numFmtId="0" fontId="27" fillId="0" borderId="24" xfId="0" applyFont="1" applyBorder="1" applyAlignment="1">
      <alignment horizontal="left" vertical="center" wrapText="1"/>
    </xf>
    <xf numFmtId="4" fontId="28" fillId="0" borderId="24" xfId="2" applyNumberFormat="1" applyFont="1" applyBorder="1" applyAlignment="1" applyProtection="1">
      <alignment horizontal="center" vertical="center"/>
    </xf>
    <xf numFmtId="4" fontId="10" fillId="0" borderId="24" xfId="0" applyNumberFormat="1" applyFont="1" applyBorder="1" applyAlignment="1">
      <alignment horizontal="center" vertical="center" wrapText="1"/>
    </xf>
    <xf numFmtId="4" fontId="29" fillId="5" borderId="15" xfId="0" applyNumberFormat="1" applyFont="1" applyFill="1" applyBorder="1" applyAlignment="1">
      <alignment horizontal="center" vertical="center" wrapText="1"/>
    </xf>
    <xf numFmtId="2" fontId="10" fillId="0" borderId="24" xfId="1" applyNumberFormat="1" applyFont="1" applyFill="1" applyBorder="1" applyAlignment="1">
      <alignment horizontal="center" vertical="center"/>
    </xf>
    <xf numFmtId="0" fontId="28" fillId="0" borderId="24" xfId="1" applyFont="1" applyFill="1" applyBorder="1" applyAlignment="1">
      <alignment horizontal="center" vertical="center"/>
    </xf>
    <xf numFmtId="2" fontId="28" fillId="0" borderId="24" xfId="1" applyNumberFormat="1" applyFont="1" applyFill="1" applyBorder="1" applyAlignment="1">
      <alignment horizontal="center" vertical="center"/>
    </xf>
    <xf numFmtId="4" fontId="28" fillId="0" borderId="24" xfId="0" applyNumberFormat="1" applyFont="1" applyBorder="1" applyAlignment="1">
      <alignment horizontal="center" vertical="center" wrapText="1"/>
    </xf>
    <xf numFmtId="0" fontId="30" fillId="0" borderId="24" xfId="2" applyFont="1" applyBorder="1" applyAlignment="1" applyProtection="1">
      <alignment horizontal="center" vertical="center"/>
    </xf>
    <xf numFmtId="0" fontId="30" fillId="0" borderId="24" xfId="0" applyFont="1" applyBorder="1" applyAlignment="1">
      <alignment horizontal="center" vertical="center"/>
    </xf>
    <xf numFmtId="4" fontId="30" fillId="0" borderId="24" xfId="2" applyNumberFormat="1" applyFont="1" applyBorder="1" applyAlignment="1" applyProtection="1">
      <alignment horizontal="center" vertical="center"/>
    </xf>
    <xf numFmtId="0" fontId="7" fillId="0" borderId="24" xfId="2" applyFont="1" applyBorder="1" applyAlignment="1" applyProtection="1">
      <alignment horizontal="center" vertical="center"/>
    </xf>
    <xf numFmtId="0" fontId="7" fillId="0" borderId="24" xfId="0" applyFont="1" applyBorder="1" applyAlignment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4" fontId="7" fillId="0" borderId="24" xfId="2" applyNumberFormat="1" applyFont="1" applyBorder="1" applyAlignment="1" applyProtection="1">
      <alignment horizontal="center" vertic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43" fontId="19" fillId="0" borderId="11" xfId="0" applyNumberFormat="1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7" fillId="2" borderId="26" xfId="1" applyFont="1" applyBorder="1" applyAlignment="1">
      <alignment horizontal="center" vertical="center"/>
    </xf>
    <xf numFmtId="0" fontId="17" fillId="2" borderId="18" xfId="1" applyFont="1" applyBorder="1" applyAlignment="1">
      <alignment horizontal="center" vertical="center"/>
    </xf>
    <xf numFmtId="0" fontId="17" fillId="2" borderId="44" xfId="1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15" xfId="0" applyFont="1" applyBorder="1" applyAlignment="1">
      <alignment horizontal="center"/>
    </xf>
  </cellXfs>
  <cellStyles count="11">
    <cellStyle name="Excel Built-in Explanatory Text" xfId="5" xr:uid="{00000000-0005-0000-0000-000000000000}"/>
    <cellStyle name="Excel Built-in Output" xfId="4" xr:uid="{00000000-0005-0000-0000-000001000000}"/>
    <cellStyle name="Excel Built-in Output 2" xfId="9" xr:uid="{00000000-0005-0000-0000-000002000000}"/>
    <cellStyle name="Hiperlink 2" xfId="8" xr:uid="{00000000-0005-0000-0000-000003000000}"/>
    <cellStyle name="Moeda" xfId="3" builtinId="4"/>
    <cellStyle name="Moeda 2" xfId="7" xr:uid="{00000000-0005-0000-0000-000005000000}"/>
    <cellStyle name="Normal" xfId="0" builtinId="0"/>
    <cellStyle name="Normal 2" xfId="6" xr:uid="{00000000-0005-0000-0000-000007000000}"/>
    <cellStyle name="Normal 3" xfId="10" xr:uid="{00000000-0005-0000-0000-000008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/Users/anivaldo/AppData/Roaming/Microsoft/07%20Jul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94"/>
  <sheetViews>
    <sheetView tabSelected="1" topLeftCell="A20" zoomScale="90" zoomScaleNormal="90" workbookViewId="0">
      <selection activeCell="M50" sqref="M50"/>
    </sheetView>
  </sheetViews>
  <sheetFormatPr defaultRowHeight="14.4" x14ac:dyDescent="0.3"/>
  <cols>
    <col min="2" max="3" width="10.6640625" customWidth="1"/>
    <col min="4" max="4" width="12.109375" customWidth="1"/>
    <col min="5" max="5" width="66.5546875" customWidth="1"/>
    <col min="6" max="6" width="6.44140625" customWidth="1"/>
    <col min="8" max="8" width="23.6640625" style="27" bestFit="1" customWidth="1"/>
    <col min="9" max="9" width="12.44140625" bestFit="1" customWidth="1"/>
    <col min="10" max="10" width="19" bestFit="1" customWidth="1"/>
    <col min="11" max="11" width="18.88671875" bestFit="1" customWidth="1"/>
    <col min="12" max="12" width="29.33203125" bestFit="1" customWidth="1"/>
    <col min="13" max="13" width="18" bestFit="1" customWidth="1"/>
    <col min="14" max="14" width="10.6640625" customWidth="1"/>
    <col min="15" max="15" width="4.6640625" customWidth="1"/>
    <col min="16" max="16" width="12.88671875" customWidth="1"/>
  </cols>
  <sheetData>
    <row r="1" spans="1:15" ht="17.100000000000001" customHeigh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7"/>
      <c r="J1" s="114" t="s">
        <v>1</v>
      </c>
      <c r="K1" s="114"/>
      <c r="L1" s="114"/>
      <c r="M1" s="114"/>
      <c r="N1" s="114"/>
      <c r="O1" s="115"/>
    </row>
    <row r="2" spans="1:15" ht="17.100000000000001" customHeight="1" x14ac:dyDescent="0.3">
      <c r="A2" s="108"/>
      <c r="B2" s="109"/>
      <c r="C2" s="109"/>
      <c r="D2" s="109"/>
      <c r="E2" s="109"/>
      <c r="F2" s="109"/>
      <c r="G2" s="109"/>
      <c r="H2" s="109"/>
      <c r="I2" s="110"/>
      <c r="J2" s="116" t="s">
        <v>2</v>
      </c>
      <c r="K2" s="116"/>
      <c r="L2" s="116"/>
      <c r="M2" s="116"/>
      <c r="N2" s="116"/>
      <c r="O2" s="117"/>
    </row>
    <row r="3" spans="1:15" ht="17.100000000000001" customHeight="1" x14ac:dyDescent="0.3">
      <c r="A3" s="108"/>
      <c r="B3" s="109"/>
      <c r="C3" s="109"/>
      <c r="D3" s="109"/>
      <c r="E3" s="109"/>
      <c r="F3" s="109"/>
      <c r="G3" s="109"/>
      <c r="H3" s="109"/>
      <c r="I3" s="110"/>
      <c r="J3" s="116" t="s">
        <v>3</v>
      </c>
      <c r="K3" s="116"/>
      <c r="L3" s="116"/>
      <c r="M3" s="116" t="s">
        <v>4</v>
      </c>
      <c r="N3" s="116"/>
      <c r="O3" s="1"/>
    </row>
    <row r="4" spans="1:15" ht="17.100000000000001" customHeight="1" x14ac:dyDescent="0.3">
      <c r="A4" s="108"/>
      <c r="B4" s="109"/>
      <c r="C4" s="109"/>
      <c r="D4" s="109"/>
      <c r="E4" s="109"/>
      <c r="F4" s="109"/>
      <c r="G4" s="109"/>
      <c r="H4" s="109"/>
      <c r="I4" s="110"/>
      <c r="J4" s="116" t="s">
        <v>5</v>
      </c>
      <c r="K4" s="116"/>
      <c r="L4" s="116"/>
      <c r="M4" s="116" t="s">
        <v>6</v>
      </c>
      <c r="N4" s="116"/>
      <c r="O4" s="2"/>
    </row>
    <row r="5" spans="1:15" ht="17.100000000000001" customHeight="1" x14ac:dyDescent="0.3">
      <c r="A5" s="108"/>
      <c r="B5" s="109"/>
      <c r="C5" s="109"/>
      <c r="D5" s="109"/>
      <c r="E5" s="109"/>
      <c r="F5" s="109"/>
      <c r="G5" s="109"/>
      <c r="H5" s="109"/>
      <c r="I5" s="110"/>
      <c r="J5" s="116" t="s">
        <v>7</v>
      </c>
      <c r="K5" s="116"/>
      <c r="L5" s="116"/>
      <c r="M5" s="116" t="s">
        <v>8</v>
      </c>
      <c r="N5" s="116"/>
      <c r="O5" s="1"/>
    </row>
    <row r="6" spans="1:15" ht="17.100000000000001" customHeight="1" x14ac:dyDescent="0.3">
      <c r="A6" s="111"/>
      <c r="B6" s="112"/>
      <c r="C6" s="112"/>
      <c r="D6" s="112"/>
      <c r="E6" s="112"/>
      <c r="F6" s="112"/>
      <c r="G6" s="112"/>
      <c r="H6" s="112"/>
      <c r="I6" s="113"/>
      <c r="J6" s="116" t="s">
        <v>9</v>
      </c>
      <c r="K6" s="116"/>
      <c r="L6" s="116"/>
      <c r="M6" s="116" t="s">
        <v>10</v>
      </c>
      <c r="N6" s="116"/>
      <c r="O6" s="1"/>
    </row>
    <row r="7" spans="1:15" ht="17.100000000000001" customHeight="1" x14ac:dyDescent="0.3">
      <c r="A7" s="89" t="s">
        <v>11</v>
      </c>
      <c r="B7" s="90"/>
      <c r="C7" s="90"/>
      <c r="D7" s="90"/>
      <c r="E7" s="90"/>
      <c r="F7" s="90"/>
      <c r="G7" s="90"/>
      <c r="H7" s="90"/>
      <c r="I7" s="91"/>
      <c r="J7" s="92" t="s">
        <v>51</v>
      </c>
      <c r="K7" s="93"/>
      <c r="L7" s="93"/>
      <c r="M7" s="93"/>
      <c r="N7" s="94"/>
      <c r="O7" s="95" t="s">
        <v>12</v>
      </c>
    </row>
    <row r="8" spans="1:15" ht="17.100000000000001" customHeight="1" x14ac:dyDescent="0.3">
      <c r="A8" s="96" t="s">
        <v>126</v>
      </c>
      <c r="B8" s="97"/>
      <c r="C8" s="97"/>
      <c r="D8" s="97"/>
      <c r="E8" s="97"/>
      <c r="F8" s="97"/>
      <c r="G8" s="97"/>
      <c r="H8" s="97"/>
      <c r="I8" s="98"/>
      <c r="J8" s="92" t="s">
        <v>13</v>
      </c>
      <c r="K8" s="93"/>
      <c r="L8" s="93"/>
      <c r="M8" s="93"/>
      <c r="N8" s="94"/>
      <c r="O8" s="95"/>
    </row>
    <row r="9" spans="1:15" ht="17.100000000000001" customHeight="1" x14ac:dyDescent="0.3">
      <c r="A9" s="99"/>
      <c r="B9" s="100"/>
      <c r="C9" s="100"/>
      <c r="D9" s="100"/>
      <c r="E9" s="100"/>
      <c r="F9" s="100"/>
      <c r="G9" s="100"/>
      <c r="H9" s="100"/>
      <c r="I9" s="101"/>
      <c r="J9" s="92" t="s">
        <v>14</v>
      </c>
      <c r="K9" s="93"/>
      <c r="L9" s="93"/>
      <c r="M9" s="93"/>
      <c r="N9" s="94"/>
      <c r="O9" s="95"/>
    </row>
    <row r="10" spans="1:15" ht="17.100000000000001" customHeight="1" x14ac:dyDescent="0.3">
      <c r="A10" s="99"/>
      <c r="B10" s="100"/>
      <c r="C10" s="100"/>
      <c r="D10" s="100"/>
      <c r="E10" s="100"/>
      <c r="F10" s="100"/>
      <c r="G10" s="100"/>
      <c r="H10" s="100"/>
      <c r="I10" s="101"/>
      <c r="J10" s="92" t="s">
        <v>15</v>
      </c>
      <c r="K10" s="93"/>
      <c r="L10" s="93"/>
      <c r="M10" s="93"/>
      <c r="N10" s="94"/>
      <c r="O10" s="95"/>
    </row>
    <row r="11" spans="1:15" ht="17.100000000000001" customHeight="1" x14ac:dyDescent="0.3">
      <c r="A11" s="99"/>
      <c r="B11" s="100"/>
      <c r="C11" s="100"/>
      <c r="D11" s="100"/>
      <c r="E11" s="100"/>
      <c r="F11" s="100"/>
      <c r="G11" s="100"/>
      <c r="H11" s="100"/>
      <c r="I11" s="101"/>
      <c r="J11" s="92" t="s">
        <v>50</v>
      </c>
      <c r="K11" s="93"/>
      <c r="L11" s="93"/>
      <c r="M11" s="93"/>
      <c r="N11" s="94"/>
      <c r="O11" s="95"/>
    </row>
    <row r="12" spans="1:15" ht="17.100000000000001" customHeight="1" x14ac:dyDescent="0.3">
      <c r="A12" s="99"/>
      <c r="B12" s="100"/>
      <c r="C12" s="100"/>
      <c r="D12" s="100"/>
      <c r="E12" s="100"/>
      <c r="F12" s="100"/>
      <c r="G12" s="100"/>
      <c r="H12" s="100"/>
      <c r="I12" s="101"/>
      <c r="J12" s="92" t="s">
        <v>83</v>
      </c>
      <c r="K12" s="93"/>
      <c r="L12" s="93"/>
      <c r="M12" s="93"/>
      <c r="N12" s="94"/>
      <c r="O12" s="95"/>
    </row>
    <row r="13" spans="1:15" ht="17.100000000000001" customHeight="1" x14ac:dyDescent="0.3">
      <c r="A13" s="102"/>
      <c r="B13" s="103"/>
      <c r="C13" s="103"/>
      <c r="D13" s="103"/>
      <c r="E13" s="103"/>
      <c r="F13" s="103"/>
      <c r="G13" s="103"/>
      <c r="H13" s="103"/>
      <c r="I13" s="104"/>
      <c r="J13" s="92" t="s">
        <v>84</v>
      </c>
      <c r="K13" s="93"/>
      <c r="L13" s="93"/>
      <c r="M13" s="93"/>
      <c r="N13" s="94"/>
      <c r="O13" s="95"/>
    </row>
    <row r="14" spans="1:15" ht="17.100000000000001" customHeight="1" x14ac:dyDescent="0.3">
      <c r="A14" s="119" t="s">
        <v>16</v>
      </c>
      <c r="B14" s="121" t="s">
        <v>17</v>
      </c>
      <c r="C14" s="121" t="s">
        <v>18</v>
      </c>
      <c r="D14" s="121" t="s">
        <v>19</v>
      </c>
      <c r="E14" s="121" t="s">
        <v>20</v>
      </c>
      <c r="F14" s="121" t="s">
        <v>21</v>
      </c>
      <c r="G14" s="121" t="s">
        <v>22</v>
      </c>
      <c r="H14" s="171" t="s">
        <v>23</v>
      </c>
      <c r="I14" s="171"/>
      <c r="J14" s="171"/>
      <c r="K14" s="171"/>
      <c r="L14" s="172"/>
      <c r="M14" s="121" t="s">
        <v>24</v>
      </c>
      <c r="N14" s="121" t="s">
        <v>25</v>
      </c>
      <c r="O14" s="95" t="s">
        <v>26</v>
      </c>
    </row>
    <row r="15" spans="1:15" ht="17.100000000000001" customHeight="1" x14ac:dyDescent="0.3">
      <c r="A15" s="120"/>
      <c r="B15" s="122"/>
      <c r="C15" s="122"/>
      <c r="D15" s="122"/>
      <c r="E15" s="122"/>
      <c r="F15" s="122"/>
      <c r="G15" s="122"/>
      <c r="H15" s="4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122"/>
      <c r="N15" s="122"/>
      <c r="O15" s="95"/>
    </row>
    <row r="16" spans="1:15" ht="17.100000000000001" customHeight="1" x14ac:dyDescent="0.3">
      <c r="A16" s="5">
        <v>1</v>
      </c>
      <c r="B16" s="6"/>
      <c r="C16" s="7"/>
      <c r="D16" s="7"/>
      <c r="E16" s="8" t="s">
        <v>31</v>
      </c>
      <c r="F16" s="9"/>
      <c r="G16" s="9"/>
      <c r="H16" s="51"/>
      <c r="I16" s="9"/>
      <c r="J16" s="9"/>
      <c r="K16" s="9"/>
      <c r="L16" s="9"/>
      <c r="M16" s="21">
        <f>SUM(M17:M36)</f>
        <v>121865.25406861524</v>
      </c>
      <c r="N16" s="10">
        <f>SUM(N17:N31)</f>
        <v>0.76386592844959034</v>
      </c>
      <c r="O16" s="95"/>
    </row>
    <row r="17" spans="1:15" ht="26.25" customHeight="1" x14ac:dyDescent="0.3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196</v>
      </c>
      <c r="H17" s="75">
        <v>49.57</v>
      </c>
      <c r="I17" s="14">
        <f>H17*0.2232</f>
        <v>11.064024</v>
      </c>
      <c r="J17" s="14">
        <f>H17+I17</f>
        <v>60.634023999999997</v>
      </c>
      <c r="K17" s="14">
        <f>J17*(0.03%)</f>
        <v>1.8190207199999999E-2</v>
      </c>
      <c r="L17" s="14">
        <f>J17-K17</f>
        <v>60.615833792799997</v>
      </c>
      <c r="M17" s="14">
        <f>L17*G17</f>
        <v>11880.703423388799</v>
      </c>
      <c r="N17" s="14">
        <f>M17/M$16</f>
        <v>9.7490490740695171E-2</v>
      </c>
      <c r="O17" s="118"/>
    </row>
    <row r="18" spans="1:15" ht="26.25" customHeight="1" x14ac:dyDescent="0.3">
      <c r="A18" s="180" t="s">
        <v>128</v>
      </c>
      <c r="B18" s="181"/>
      <c r="C18" s="181"/>
      <c r="D18" s="181"/>
      <c r="E18" s="182"/>
      <c r="F18" s="82" t="s">
        <v>35</v>
      </c>
      <c r="G18" s="83">
        <v>13</v>
      </c>
      <c r="H18" s="75">
        <v>49.57</v>
      </c>
      <c r="I18" s="84">
        <f>H18*0.2232</f>
        <v>11.064024</v>
      </c>
      <c r="J18" s="84">
        <f>H18+I18</f>
        <v>60.634023999999997</v>
      </c>
      <c r="K18" s="84">
        <f>J18*(0.03%)</f>
        <v>1.8190207199999999E-2</v>
      </c>
      <c r="L18" s="84">
        <f>J18-K18</f>
        <v>60.615833792799997</v>
      </c>
      <c r="M18" s="84">
        <f>L18*G18</f>
        <v>788.00583930639993</v>
      </c>
      <c r="N18" s="84">
        <f>M18/M$16</f>
        <v>6.4662060185154968E-3</v>
      </c>
      <c r="O18" s="118"/>
    </row>
    <row r="19" spans="1:15" ht="26.25" customHeight="1" x14ac:dyDescent="0.3">
      <c r="A19" s="17" t="s">
        <v>65</v>
      </c>
      <c r="B19" s="17" t="s">
        <v>33</v>
      </c>
      <c r="C19" s="11">
        <v>88267</v>
      </c>
      <c r="D19" s="11" t="s">
        <v>34</v>
      </c>
      <c r="E19" s="20" t="s">
        <v>55</v>
      </c>
      <c r="F19" s="13" t="s">
        <v>35</v>
      </c>
      <c r="G19" s="17">
        <v>196</v>
      </c>
      <c r="H19" s="75">
        <v>38.36</v>
      </c>
      <c r="I19" s="14">
        <f t="shared" ref="I19:I31" si="0">H19*0.2232</f>
        <v>8.5619519999999998</v>
      </c>
      <c r="J19" s="14">
        <f t="shared" ref="J19:J31" si="1">H19+I19</f>
        <v>46.921951999999997</v>
      </c>
      <c r="K19" s="14">
        <f t="shared" ref="K19:K31" si="2">J19*(0.03%)</f>
        <v>1.4076585599999998E-2</v>
      </c>
      <c r="L19" s="14">
        <f t="shared" ref="L19:L31" si="3">J19-K19</f>
        <v>46.907875414399996</v>
      </c>
      <c r="M19" s="14">
        <f t="shared" ref="M19:M31" si="4">L19*G19</f>
        <v>9193.9435812224001</v>
      </c>
      <c r="N19" s="14">
        <f t="shared" ref="N19:N31" si="5">M19/M$16</f>
        <v>7.5443518757576503E-2</v>
      </c>
      <c r="O19" s="118"/>
    </row>
    <row r="20" spans="1:15" ht="26.25" customHeight="1" x14ac:dyDescent="0.3">
      <c r="A20" s="180" t="s">
        <v>129</v>
      </c>
      <c r="B20" s="181"/>
      <c r="C20" s="181"/>
      <c r="D20" s="181"/>
      <c r="E20" s="182"/>
      <c r="F20" s="82" t="s">
        <v>35</v>
      </c>
      <c r="G20" s="83">
        <v>13</v>
      </c>
      <c r="H20" s="75">
        <v>38.36</v>
      </c>
      <c r="I20" s="84">
        <f t="shared" ref="I20" si="6">H20*0.2232</f>
        <v>8.5619519999999998</v>
      </c>
      <c r="J20" s="84">
        <f t="shared" ref="J20" si="7">H20+I20</f>
        <v>46.921951999999997</v>
      </c>
      <c r="K20" s="84">
        <f t="shared" ref="K20" si="8">J20*(0.03%)</f>
        <v>1.4076585599999998E-2</v>
      </c>
      <c r="L20" s="84">
        <f t="shared" ref="L20" si="9">J20-K20</f>
        <v>46.907875414399996</v>
      </c>
      <c r="M20" s="84">
        <f t="shared" ref="M20" si="10">L20*G20</f>
        <v>609.80238038719995</v>
      </c>
      <c r="N20" s="84">
        <f t="shared" ref="N20" si="11">M20/M$16</f>
        <v>5.0039068563698698E-3</v>
      </c>
      <c r="O20" s="118"/>
    </row>
    <row r="21" spans="1:15" ht="26.25" customHeight="1" x14ac:dyDescent="0.3">
      <c r="A21" s="17" t="s">
        <v>66</v>
      </c>
      <c r="B21" s="17" t="s">
        <v>33</v>
      </c>
      <c r="C21" s="11" t="s">
        <v>54</v>
      </c>
      <c r="D21" s="11" t="s">
        <v>34</v>
      </c>
      <c r="E21" s="20" t="s">
        <v>55</v>
      </c>
      <c r="F21" s="13" t="s">
        <v>35</v>
      </c>
      <c r="G21" s="17">
        <v>180</v>
      </c>
      <c r="H21" s="75">
        <v>38.36</v>
      </c>
      <c r="I21" s="14">
        <f t="shared" si="0"/>
        <v>8.5619519999999998</v>
      </c>
      <c r="J21" s="14">
        <f t="shared" si="1"/>
        <v>46.921951999999997</v>
      </c>
      <c r="K21" s="14">
        <f t="shared" si="2"/>
        <v>1.4076585599999998E-2</v>
      </c>
      <c r="L21" s="14">
        <f t="shared" si="3"/>
        <v>46.907875414399996</v>
      </c>
      <c r="M21" s="14">
        <f t="shared" si="4"/>
        <v>8443.4175745920002</v>
      </c>
      <c r="N21" s="14">
        <f t="shared" si="5"/>
        <v>6.9284864165121279E-2</v>
      </c>
      <c r="O21" s="118"/>
    </row>
    <row r="22" spans="1:15" ht="26.25" customHeight="1" x14ac:dyDescent="0.3">
      <c r="A22" s="17" t="s">
        <v>67</v>
      </c>
      <c r="B22" s="17" t="s">
        <v>33</v>
      </c>
      <c r="C22" s="11">
        <v>88248</v>
      </c>
      <c r="D22" s="11" t="s">
        <v>34</v>
      </c>
      <c r="E22" s="20" t="s">
        <v>57</v>
      </c>
      <c r="F22" s="13" t="s">
        <v>35</v>
      </c>
      <c r="G22" s="17">
        <v>180</v>
      </c>
      <c r="H22" s="75">
        <v>31.51</v>
      </c>
      <c r="I22" s="14">
        <f t="shared" si="0"/>
        <v>7.0330320000000004</v>
      </c>
      <c r="J22" s="14">
        <f t="shared" si="1"/>
        <v>38.543032000000004</v>
      </c>
      <c r="K22" s="14">
        <f t="shared" si="2"/>
        <v>1.1562909600000001E-2</v>
      </c>
      <c r="L22" s="14">
        <f t="shared" si="3"/>
        <v>38.531469090400002</v>
      </c>
      <c r="M22" s="14">
        <f t="shared" si="4"/>
        <v>6935.6644362719999</v>
      </c>
      <c r="N22" s="14">
        <f t="shared" si="5"/>
        <v>5.6912566992778191E-2</v>
      </c>
      <c r="O22" s="118"/>
    </row>
    <row r="23" spans="1:15" ht="26.25" customHeight="1" x14ac:dyDescent="0.3">
      <c r="A23" s="17" t="s">
        <v>68</v>
      </c>
      <c r="B23" s="17" t="s">
        <v>33</v>
      </c>
      <c r="C23" s="11" t="s">
        <v>56</v>
      </c>
      <c r="D23" s="11" t="s">
        <v>34</v>
      </c>
      <c r="E23" s="20" t="s">
        <v>57</v>
      </c>
      <c r="F23" s="13" t="s">
        <v>35</v>
      </c>
      <c r="G23" s="17">
        <v>180</v>
      </c>
      <c r="H23" s="75">
        <v>31.51</v>
      </c>
      <c r="I23" s="14">
        <f t="shared" si="0"/>
        <v>7.0330320000000004</v>
      </c>
      <c r="J23" s="14">
        <f t="shared" si="1"/>
        <v>38.543032000000004</v>
      </c>
      <c r="K23" s="14">
        <f t="shared" si="2"/>
        <v>1.1562909600000001E-2</v>
      </c>
      <c r="L23" s="14">
        <f t="shared" si="3"/>
        <v>38.531469090400002</v>
      </c>
      <c r="M23" s="14">
        <f t="shared" si="4"/>
        <v>6935.6644362719999</v>
      </c>
      <c r="N23" s="14">
        <f t="shared" si="5"/>
        <v>5.6912566992778191E-2</v>
      </c>
      <c r="O23" s="118"/>
    </row>
    <row r="24" spans="1:15" ht="26.25" customHeight="1" x14ac:dyDescent="0.3">
      <c r="A24" s="17" t="s">
        <v>69</v>
      </c>
      <c r="B24" s="17" t="s">
        <v>33</v>
      </c>
      <c r="C24" s="11">
        <v>88309</v>
      </c>
      <c r="D24" s="11" t="s">
        <v>34</v>
      </c>
      <c r="E24" s="20" t="s">
        <v>59</v>
      </c>
      <c r="F24" s="13" t="s">
        <v>35</v>
      </c>
      <c r="G24" s="17">
        <v>180</v>
      </c>
      <c r="H24" s="75">
        <v>34.08</v>
      </c>
      <c r="I24" s="14">
        <f t="shared" si="0"/>
        <v>7.6066560000000001</v>
      </c>
      <c r="J24" s="14">
        <f t="shared" si="1"/>
        <v>41.686655999999999</v>
      </c>
      <c r="K24" s="14">
        <f t="shared" si="2"/>
        <v>1.2505996799999999E-2</v>
      </c>
      <c r="L24" s="14">
        <f t="shared" si="3"/>
        <v>41.674150003199998</v>
      </c>
      <c r="M24" s="14">
        <f t="shared" si="4"/>
        <v>7501.3470005759991</v>
      </c>
      <c r="N24" s="14">
        <f t="shared" si="5"/>
        <v>6.1554436150868953E-2</v>
      </c>
      <c r="O24" s="118"/>
    </row>
    <row r="25" spans="1:15" ht="26.25" customHeight="1" x14ac:dyDescent="0.3">
      <c r="A25" s="17" t="s">
        <v>70</v>
      </c>
      <c r="B25" s="17" t="s">
        <v>33</v>
      </c>
      <c r="C25" s="11" t="s">
        <v>58</v>
      </c>
      <c r="D25" s="11" t="s">
        <v>34</v>
      </c>
      <c r="E25" s="20" t="s">
        <v>59</v>
      </c>
      <c r="F25" s="13" t="s">
        <v>35</v>
      </c>
      <c r="G25" s="17">
        <v>180</v>
      </c>
      <c r="H25" s="75">
        <v>34.08</v>
      </c>
      <c r="I25" s="14">
        <f t="shared" si="0"/>
        <v>7.6066560000000001</v>
      </c>
      <c r="J25" s="14">
        <f t="shared" si="1"/>
        <v>41.686655999999999</v>
      </c>
      <c r="K25" s="14">
        <f t="shared" si="2"/>
        <v>1.2505996799999999E-2</v>
      </c>
      <c r="L25" s="14">
        <f t="shared" si="3"/>
        <v>41.674150003199998</v>
      </c>
      <c r="M25" s="14">
        <f t="shared" si="4"/>
        <v>7501.3470005759991</v>
      </c>
      <c r="N25" s="14">
        <f t="shared" si="5"/>
        <v>6.1554436150868953E-2</v>
      </c>
      <c r="O25" s="118"/>
    </row>
    <row r="26" spans="1:15" ht="26.25" customHeight="1" x14ac:dyDescent="0.3">
      <c r="A26" s="17" t="s">
        <v>71</v>
      </c>
      <c r="B26" s="17" t="s">
        <v>33</v>
      </c>
      <c r="C26" s="11">
        <v>88242</v>
      </c>
      <c r="D26" s="11" t="s">
        <v>34</v>
      </c>
      <c r="E26" s="20" t="s">
        <v>61</v>
      </c>
      <c r="F26" s="13" t="s">
        <v>35</v>
      </c>
      <c r="G26" s="17">
        <v>180</v>
      </c>
      <c r="H26" s="75">
        <v>32.08</v>
      </c>
      <c r="I26" s="14">
        <f t="shared" si="0"/>
        <v>7.1602559999999995</v>
      </c>
      <c r="J26" s="14">
        <f t="shared" si="1"/>
        <v>39.240255999999995</v>
      </c>
      <c r="K26" s="14">
        <f t="shared" si="2"/>
        <v>1.1772076799999998E-2</v>
      </c>
      <c r="L26" s="14">
        <f t="shared" si="3"/>
        <v>39.228483923199995</v>
      </c>
      <c r="M26" s="14">
        <f t="shared" si="4"/>
        <v>7061.127106175999</v>
      </c>
      <c r="N26" s="14">
        <f t="shared" si="5"/>
        <v>5.7942086611498703E-2</v>
      </c>
      <c r="O26" s="118"/>
    </row>
    <row r="27" spans="1:15" ht="26.25" customHeight="1" x14ac:dyDescent="0.3">
      <c r="A27" s="183" t="s">
        <v>130</v>
      </c>
      <c r="B27" s="184"/>
      <c r="C27" s="184"/>
      <c r="D27" s="184"/>
      <c r="E27" s="185"/>
      <c r="F27" s="85" t="s">
        <v>35</v>
      </c>
      <c r="G27" s="86">
        <v>-24</v>
      </c>
      <c r="H27" s="87">
        <v>32.08</v>
      </c>
      <c r="I27" s="88">
        <f t="shared" ref="I27" si="12">H27*0.2232</f>
        <v>7.1602559999999995</v>
      </c>
      <c r="J27" s="88">
        <f t="shared" ref="J27" si="13">H27+I27</f>
        <v>39.240255999999995</v>
      </c>
      <c r="K27" s="88">
        <f t="shared" ref="K27" si="14">J27*(0.03%)</f>
        <v>1.1772076799999998E-2</v>
      </c>
      <c r="L27" s="88">
        <f t="shared" ref="L27" si="15">J27-K27</f>
        <v>39.228483923199995</v>
      </c>
      <c r="M27" s="88">
        <f t="shared" ref="M27" si="16">L27*G27</f>
        <v>-941.48361415679983</v>
      </c>
      <c r="N27" s="88">
        <f t="shared" ref="N27" si="17">M27/M$16</f>
        <v>-7.725611548199827E-3</v>
      </c>
      <c r="O27" s="118"/>
    </row>
    <row r="28" spans="1:15" ht="26.25" customHeight="1" x14ac:dyDescent="0.3">
      <c r="A28" s="17" t="s">
        <v>72</v>
      </c>
      <c r="B28" s="17" t="s">
        <v>33</v>
      </c>
      <c r="C28" s="11" t="s">
        <v>60</v>
      </c>
      <c r="D28" s="11" t="s">
        <v>34</v>
      </c>
      <c r="E28" s="20" t="s">
        <v>61</v>
      </c>
      <c r="F28" s="13" t="s">
        <v>35</v>
      </c>
      <c r="G28" s="17">
        <v>180</v>
      </c>
      <c r="H28" s="75">
        <v>32.08</v>
      </c>
      <c r="I28" s="14">
        <f t="shared" si="0"/>
        <v>7.1602559999999995</v>
      </c>
      <c r="J28" s="14">
        <f t="shared" si="1"/>
        <v>39.240255999999995</v>
      </c>
      <c r="K28" s="14">
        <f t="shared" si="2"/>
        <v>1.1772076799999998E-2</v>
      </c>
      <c r="L28" s="14">
        <f t="shared" si="3"/>
        <v>39.228483923199995</v>
      </c>
      <c r="M28" s="14">
        <f t="shared" si="4"/>
        <v>7061.127106175999</v>
      </c>
      <c r="N28" s="14">
        <f t="shared" si="5"/>
        <v>5.7942086611498703E-2</v>
      </c>
      <c r="O28" s="118"/>
    </row>
    <row r="29" spans="1:15" ht="26.25" customHeight="1" x14ac:dyDescent="0.3">
      <c r="A29" s="17" t="s">
        <v>73</v>
      </c>
      <c r="B29" s="17" t="s">
        <v>33</v>
      </c>
      <c r="C29" s="11" t="s">
        <v>60</v>
      </c>
      <c r="D29" s="11" t="s">
        <v>34</v>
      </c>
      <c r="E29" s="20" t="s">
        <v>61</v>
      </c>
      <c r="F29" s="13" t="s">
        <v>35</v>
      </c>
      <c r="G29" s="17">
        <v>180</v>
      </c>
      <c r="H29" s="75">
        <v>32.08</v>
      </c>
      <c r="I29" s="14">
        <f t="shared" si="0"/>
        <v>7.1602559999999995</v>
      </c>
      <c r="J29" s="14">
        <f t="shared" si="1"/>
        <v>39.240255999999995</v>
      </c>
      <c r="K29" s="14">
        <f t="shared" si="2"/>
        <v>1.1772076799999998E-2</v>
      </c>
      <c r="L29" s="14">
        <f t="shared" si="3"/>
        <v>39.228483923199995</v>
      </c>
      <c r="M29" s="14">
        <f t="shared" si="4"/>
        <v>7061.127106175999</v>
      </c>
      <c r="N29" s="14">
        <f t="shared" si="5"/>
        <v>5.7942086611498703E-2</v>
      </c>
      <c r="O29" s="118"/>
    </row>
    <row r="30" spans="1:15" ht="26.25" customHeight="1" x14ac:dyDescent="0.3">
      <c r="A30" s="17" t="s">
        <v>74</v>
      </c>
      <c r="B30" s="17" t="s">
        <v>33</v>
      </c>
      <c r="C30" s="11">
        <v>88241</v>
      </c>
      <c r="D30" s="11" t="s">
        <v>34</v>
      </c>
      <c r="E30" s="12" t="s">
        <v>64</v>
      </c>
      <c r="F30" s="13" t="s">
        <v>35</v>
      </c>
      <c r="G30" s="17">
        <v>180</v>
      </c>
      <c r="H30" s="75">
        <v>29.66</v>
      </c>
      <c r="I30" s="14">
        <f t="shared" si="0"/>
        <v>6.6201120000000007</v>
      </c>
      <c r="J30" s="14">
        <f t="shared" si="1"/>
        <v>36.280112000000003</v>
      </c>
      <c r="K30" s="14">
        <f t="shared" si="2"/>
        <v>1.0884033600000001E-2</v>
      </c>
      <c r="L30" s="14">
        <f t="shared" si="3"/>
        <v>36.269227966400003</v>
      </c>
      <c r="M30" s="14">
        <f t="shared" si="4"/>
        <v>6528.4610339520004</v>
      </c>
      <c r="N30" s="14">
        <f t="shared" si="5"/>
        <v>5.3571143668860725E-2</v>
      </c>
      <c r="O30" s="118"/>
    </row>
    <row r="31" spans="1:15" ht="26.25" customHeight="1" x14ac:dyDescent="0.3">
      <c r="A31" s="17" t="s">
        <v>75</v>
      </c>
      <c r="B31" s="17" t="s">
        <v>33</v>
      </c>
      <c r="C31" s="11" t="s">
        <v>63</v>
      </c>
      <c r="D31" s="11" t="s">
        <v>34</v>
      </c>
      <c r="E31" s="12" t="s">
        <v>64</v>
      </c>
      <c r="F31" s="13" t="s">
        <v>35</v>
      </c>
      <c r="G31" s="17">
        <v>180</v>
      </c>
      <c r="H31" s="75">
        <v>29.66</v>
      </c>
      <c r="I31" s="14">
        <f t="shared" si="0"/>
        <v>6.6201120000000007</v>
      </c>
      <c r="J31" s="14">
        <f t="shared" si="1"/>
        <v>36.280112000000003</v>
      </c>
      <c r="K31" s="14">
        <f t="shared" si="2"/>
        <v>1.0884033600000001E-2</v>
      </c>
      <c r="L31" s="14">
        <f t="shared" si="3"/>
        <v>36.269227966400003</v>
      </c>
      <c r="M31" s="14">
        <f t="shared" si="4"/>
        <v>6528.4610339520004</v>
      </c>
      <c r="N31" s="14">
        <f t="shared" si="5"/>
        <v>5.3571143668860725E-2</v>
      </c>
      <c r="O31" s="118"/>
    </row>
    <row r="32" spans="1:15" s="28" customFormat="1" ht="26.25" customHeight="1" x14ac:dyDescent="0.2">
      <c r="A32" s="32" t="s">
        <v>100</v>
      </c>
      <c r="B32" s="32" t="s">
        <v>33</v>
      </c>
      <c r="C32" s="32" t="s">
        <v>58</v>
      </c>
      <c r="D32" s="32" t="s">
        <v>34</v>
      </c>
      <c r="E32" s="33" t="s">
        <v>59</v>
      </c>
      <c r="F32" s="34" t="s">
        <v>35</v>
      </c>
      <c r="G32" s="11">
        <v>180</v>
      </c>
      <c r="H32" s="75">
        <v>34.08</v>
      </c>
      <c r="I32" s="35">
        <f>H32*0.2232</f>
        <v>7.6066560000000001</v>
      </c>
      <c r="J32" s="35">
        <f>H32+I32</f>
        <v>41.686655999999999</v>
      </c>
      <c r="K32" s="35">
        <f>J32*(0.03%)</f>
        <v>1.2505996799999999E-2</v>
      </c>
      <c r="L32" s="35">
        <f>J32-K32</f>
        <v>41.674150003199998</v>
      </c>
      <c r="M32" s="35">
        <f>L32*G32</f>
        <v>7501.3470005759991</v>
      </c>
      <c r="N32" s="35">
        <f>M32/M$16</f>
        <v>6.1554436150868953E-2</v>
      </c>
      <c r="O32" s="118"/>
    </row>
    <row r="33" spans="1:119" s="28" customFormat="1" ht="23.25" customHeight="1" x14ac:dyDescent="0.2">
      <c r="A33" s="32" t="s">
        <v>101</v>
      </c>
      <c r="B33" s="32" t="s">
        <v>33</v>
      </c>
      <c r="C33" s="32" t="s">
        <v>60</v>
      </c>
      <c r="D33" s="32" t="s">
        <v>34</v>
      </c>
      <c r="E33" s="33" t="s">
        <v>61</v>
      </c>
      <c r="F33" s="34" t="s">
        <v>35</v>
      </c>
      <c r="G33" s="11">
        <v>180</v>
      </c>
      <c r="H33" s="75">
        <v>32.08</v>
      </c>
      <c r="I33" s="35">
        <f>H33*0.2232</f>
        <v>7.1602559999999995</v>
      </c>
      <c r="J33" s="35">
        <f>H33+I33</f>
        <v>39.240255999999995</v>
      </c>
      <c r="K33" s="35">
        <f>J33*(0.03%)</f>
        <v>1.1772076799999998E-2</v>
      </c>
      <c r="L33" s="35">
        <f>J33-K33</f>
        <v>39.228483923199995</v>
      </c>
      <c r="M33" s="35">
        <f>L33*G33</f>
        <v>7061.127106175999</v>
      </c>
      <c r="N33" s="35">
        <f>M33/M$16</f>
        <v>5.7942086611498703E-2</v>
      </c>
      <c r="O33" s="118"/>
    </row>
    <row r="34" spans="1:119" s="28" customFormat="1" ht="23.25" customHeight="1" x14ac:dyDescent="0.2">
      <c r="A34" s="11" t="s">
        <v>102</v>
      </c>
      <c r="B34" s="11" t="s">
        <v>33</v>
      </c>
      <c r="C34" s="11">
        <v>88310</v>
      </c>
      <c r="D34" s="11" t="s">
        <v>34</v>
      </c>
      <c r="E34" s="20" t="s">
        <v>79</v>
      </c>
      <c r="F34" s="13" t="s">
        <v>35</v>
      </c>
      <c r="G34" s="11">
        <v>180</v>
      </c>
      <c r="H34" s="75">
        <v>36.82</v>
      </c>
      <c r="I34" s="14">
        <f>H34*0.2232</f>
        <v>8.2182240000000011</v>
      </c>
      <c r="J34" s="14">
        <f>H34+I34</f>
        <v>45.038224</v>
      </c>
      <c r="K34" s="14">
        <f>J34*(0.03%)</f>
        <v>1.3511467199999998E-2</v>
      </c>
      <c r="L34" s="14">
        <f>J34-K34</f>
        <v>45.024712532800002</v>
      </c>
      <c r="M34" s="14">
        <f>L34*G34</f>
        <v>8104.4482559040007</v>
      </c>
      <c r="N34" s="14">
        <f>M34/M$16</f>
        <v>6.6503355019806198E-2</v>
      </c>
      <c r="O34" s="118"/>
    </row>
    <row r="35" spans="1:119" s="28" customFormat="1" ht="23.25" customHeight="1" x14ac:dyDescent="0.2">
      <c r="A35" s="183" t="s">
        <v>131</v>
      </c>
      <c r="B35" s="184"/>
      <c r="C35" s="184"/>
      <c r="D35" s="184"/>
      <c r="E35" s="185"/>
      <c r="F35" s="85" t="s">
        <v>35</v>
      </c>
      <c r="G35" s="86">
        <v>-16</v>
      </c>
      <c r="H35" s="87">
        <v>36.82</v>
      </c>
      <c r="I35" s="88">
        <f>H35*0.2232</f>
        <v>8.2182240000000011</v>
      </c>
      <c r="J35" s="88">
        <f>H35+I35</f>
        <v>45.038224</v>
      </c>
      <c r="K35" s="88">
        <f>J35*(0.03%)</f>
        <v>1.3511467199999998E-2</v>
      </c>
      <c r="L35" s="88">
        <f>J35-K35</f>
        <v>45.024712532800002</v>
      </c>
      <c r="M35" s="88">
        <f>L35*G35</f>
        <v>-720.39540052480004</v>
      </c>
      <c r="N35" s="88">
        <f>M35/M$16</f>
        <v>-5.9114093350938843E-3</v>
      </c>
      <c r="O35" s="118"/>
    </row>
    <row r="36" spans="1:119" ht="26.25" customHeight="1" x14ac:dyDescent="0.3">
      <c r="A36" s="65" t="s">
        <v>103</v>
      </c>
      <c r="B36" s="66" t="s">
        <v>33</v>
      </c>
      <c r="C36" s="67">
        <v>88243</v>
      </c>
      <c r="D36" s="67" t="s">
        <v>34</v>
      </c>
      <c r="E36" s="68" t="s">
        <v>104</v>
      </c>
      <c r="F36" s="13" t="s">
        <v>35</v>
      </c>
      <c r="G36" s="11">
        <v>180</v>
      </c>
      <c r="H36" s="75">
        <v>31.03</v>
      </c>
      <c r="I36" s="14">
        <f>H36*0.2232</f>
        <v>6.9258960000000007</v>
      </c>
      <c r="J36" s="14">
        <f>H36+I36</f>
        <v>37.955896000000003</v>
      </c>
      <c r="K36" s="14">
        <f>J36*(0.03%)</f>
        <v>1.1386768800000001E-2</v>
      </c>
      <c r="L36" s="14">
        <f>J36-K36</f>
        <v>37.944509231200001</v>
      </c>
      <c r="M36" s="14">
        <f>L36*G36</f>
        <v>6830.0116616160003</v>
      </c>
      <c r="N36" s="14">
        <f>M36/M$16</f>
        <v>5.6045603103329338E-2</v>
      </c>
      <c r="O36" s="118"/>
    </row>
    <row r="37" spans="1:119" x14ac:dyDescent="0.3">
      <c r="A37" s="119" t="s">
        <v>16</v>
      </c>
      <c r="B37" s="121" t="s">
        <v>17</v>
      </c>
      <c r="C37" s="121" t="s">
        <v>18</v>
      </c>
      <c r="D37" s="121" t="s">
        <v>19</v>
      </c>
      <c r="E37" s="121" t="s">
        <v>20</v>
      </c>
      <c r="F37" s="121" t="s">
        <v>21</v>
      </c>
      <c r="G37" s="121" t="s">
        <v>22</v>
      </c>
      <c r="H37" s="171" t="s">
        <v>23</v>
      </c>
      <c r="I37" s="171"/>
      <c r="J37" s="171"/>
      <c r="K37" s="171"/>
      <c r="L37" s="172"/>
      <c r="M37" s="121" t="s">
        <v>24</v>
      </c>
      <c r="N37" s="121" t="s">
        <v>25</v>
      </c>
      <c r="O37" s="118"/>
    </row>
    <row r="38" spans="1:119" ht="17.100000000000001" customHeight="1" x14ac:dyDescent="0.3">
      <c r="A38" s="120"/>
      <c r="B38" s="122"/>
      <c r="C38" s="122"/>
      <c r="D38" s="122"/>
      <c r="E38" s="122"/>
      <c r="F38" s="122"/>
      <c r="G38" s="122"/>
      <c r="H38" s="4" t="s">
        <v>27</v>
      </c>
      <c r="I38" s="25" t="s">
        <v>36</v>
      </c>
      <c r="J38" s="3" t="s">
        <v>29</v>
      </c>
      <c r="K38" s="4" t="s">
        <v>52</v>
      </c>
      <c r="L38" s="3" t="s">
        <v>30</v>
      </c>
      <c r="M38" s="122"/>
      <c r="N38" s="122"/>
      <c r="O38" s="95"/>
    </row>
    <row r="39" spans="1:119" ht="17.100000000000001" customHeight="1" x14ac:dyDescent="0.3">
      <c r="A39" s="15">
        <v>2</v>
      </c>
      <c r="B39" s="176" t="s">
        <v>37</v>
      </c>
      <c r="C39" s="176"/>
      <c r="D39" s="177"/>
      <c r="E39" s="177"/>
      <c r="F39" s="177"/>
      <c r="G39" s="16"/>
      <c r="H39" s="52"/>
      <c r="I39" s="16"/>
      <c r="J39" s="16"/>
      <c r="K39" s="16"/>
      <c r="L39" s="16"/>
      <c r="M39" s="22">
        <f>SUM(M40:M47)</f>
        <v>34789.0192382772</v>
      </c>
      <c r="N39" s="16"/>
      <c r="O39" s="118"/>
    </row>
    <row r="40" spans="1:119" s="42" customFormat="1" ht="15" customHeight="1" x14ac:dyDescent="0.3">
      <c r="A40" s="18" t="s">
        <v>110</v>
      </c>
      <c r="B40" s="18" t="s">
        <v>81</v>
      </c>
      <c r="C40" s="18">
        <v>367</v>
      </c>
      <c r="D40" s="18" t="s">
        <v>34</v>
      </c>
      <c r="E40" s="43" t="s">
        <v>105</v>
      </c>
      <c r="F40" s="18" t="s">
        <v>106</v>
      </c>
      <c r="G40" s="18">
        <v>5</v>
      </c>
      <c r="H40" s="79">
        <v>86.11</v>
      </c>
      <c r="I40" s="14">
        <f t="shared" ref="I40:I44" si="18">H40*0.1532</f>
        <v>13.192052</v>
      </c>
      <c r="J40" s="14">
        <f t="shared" ref="J40:J43" si="19">H40+I40</f>
        <v>99.302052000000003</v>
      </c>
      <c r="K40" s="14">
        <f t="shared" ref="K40:K43" si="20">J40*(0.03%)</f>
        <v>2.9790615599999997E-2</v>
      </c>
      <c r="L40" s="14">
        <f t="shared" ref="L40:L43" si="21">J40-K40</f>
        <v>99.272261384399997</v>
      </c>
      <c r="M40" s="14">
        <f t="shared" ref="M40:M43" si="22">L40*G40</f>
        <v>496.36130692199998</v>
      </c>
      <c r="N40" s="14">
        <f t="shared" ref="N40:N44" si="23">M40/M39</f>
        <v>1.4267757981974672E-2</v>
      </c>
      <c r="O40" s="118"/>
    </row>
    <row r="41" spans="1:119" s="42" customFormat="1" ht="15" customHeight="1" x14ac:dyDescent="0.2">
      <c r="A41" s="18" t="s">
        <v>111</v>
      </c>
      <c r="B41" s="18" t="s">
        <v>81</v>
      </c>
      <c r="C41" s="18">
        <v>4720</v>
      </c>
      <c r="D41" s="18" t="s">
        <v>34</v>
      </c>
      <c r="E41" s="58" t="s">
        <v>109</v>
      </c>
      <c r="F41" s="18" t="s">
        <v>106</v>
      </c>
      <c r="G41" s="18">
        <v>5</v>
      </c>
      <c r="H41" s="80">
        <v>89.8</v>
      </c>
      <c r="I41" s="14">
        <f t="shared" si="18"/>
        <v>13.75736</v>
      </c>
      <c r="J41" s="14">
        <f t="shared" si="19"/>
        <v>103.55736</v>
      </c>
      <c r="K41" s="14">
        <f t="shared" si="20"/>
        <v>3.1067207999999999E-2</v>
      </c>
      <c r="L41" s="14">
        <f t="shared" si="21"/>
        <v>103.52629279200001</v>
      </c>
      <c r="M41" s="14">
        <f t="shared" si="22"/>
        <v>517.63146396000002</v>
      </c>
      <c r="N41" s="14">
        <f t="shared" si="23"/>
        <v>1.0428521658343979</v>
      </c>
      <c r="O41" s="118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</row>
    <row r="42" spans="1:119" s="42" customFormat="1" ht="15" customHeight="1" x14ac:dyDescent="0.3">
      <c r="A42" s="18" t="s">
        <v>112</v>
      </c>
      <c r="B42" s="18" t="s">
        <v>81</v>
      </c>
      <c r="C42" s="18">
        <v>1379</v>
      </c>
      <c r="D42" s="18" t="s">
        <v>34</v>
      </c>
      <c r="E42" s="60" t="s">
        <v>90</v>
      </c>
      <c r="F42" s="18" t="s">
        <v>21</v>
      </c>
      <c r="G42" s="18">
        <v>3000</v>
      </c>
      <c r="H42" s="80">
        <v>0.62</v>
      </c>
      <c r="I42" s="56">
        <f t="shared" si="18"/>
        <v>9.4983999999999999E-2</v>
      </c>
      <c r="J42" s="56">
        <f t="shared" si="19"/>
        <v>0.71498399999999995</v>
      </c>
      <c r="K42" s="56">
        <f t="shared" si="20"/>
        <v>2.1449519999999997E-4</v>
      </c>
      <c r="L42" s="56">
        <f t="shared" si="21"/>
        <v>0.7147695047999999</v>
      </c>
      <c r="M42" s="56">
        <f t="shared" si="22"/>
        <v>2144.3085143999997</v>
      </c>
      <c r="N42" s="14">
        <f t="shared" si="23"/>
        <v>4.1425389755011128</v>
      </c>
      <c r="O42" s="118"/>
    </row>
    <row r="43" spans="1:119" s="42" customFormat="1" ht="15" customHeight="1" x14ac:dyDescent="0.3">
      <c r="A43" s="18" t="s">
        <v>86</v>
      </c>
      <c r="B43" s="18" t="s">
        <v>81</v>
      </c>
      <c r="C43" s="18">
        <v>38124</v>
      </c>
      <c r="D43" s="18" t="s">
        <v>34</v>
      </c>
      <c r="E43" s="59" t="s">
        <v>113</v>
      </c>
      <c r="F43" s="18" t="s">
        <v>21</v>
      </c>
      <c r="G43" s="18">
        <v>12</v>
      </c>
      <c r="H43" s="78">
        <v>27.5</v>
      </c>
      <c r="I43" s="14">
        <f t="shared" si="18"/>
        <v>4.2130000000000001</v>
      </c>
      <c r="J43" s="14">
        <f t="shared" si="19"/>
        <v>31.713000000000001</v>
      </c>
      <c r="K43" s="14">
        <f t="shared" si="20"/>
        <v>9.5138999999999987E-3</v>
      </c>
      <c r="L43" s="14">
        <f t="shared" si="21"/>
        <v>31.703486099999999</v>
      </c>
      <c r="M43" s="14">
        <f t="shared" si="22"/>
        <v>380.44183320000002</v>
      </c>
      <c r="N43" s="14">
        <f t="shared" si="23"/>
        <v>0.17741935483870971</v>
      </c>
      <c r="O43" s="118"/>
    </row>
    <row r="44" spans="1:119" s="19" customFormat="1" ht="15" customHeight="1" x14ac:dyDescent="0.2">
      <c r="A44" s="18" t="s">
        <v>82</v>
      </c>
      <c r="B44" s="18" t="s">
        <v>81</v>
      </c>
      <c r="C44" s="45">
        <v>668</v>
      </c>
      <c r="D44" s="45" t="s">
        <v>34</v>
      </c>
      <c r="E44" s="58" t="s">
        <v>114</v>
      </c>
      <c r="F44" s="18" t="s">
        <v>21</v>
      </c>
      <c r="G44" s="45">
        <v>1334</v>
      </c>
      <c r="H44" s="81">
        <v>20.32</v>
      </c>
      <c r="I44" s="14">
        <f t="shared" si="18"/>
        <v>3.1130240000000002</v>
      </c>
      <c r="J44" s="56">
        <f t="shared" ref="J44" si="24">H44+I44</f>
        <v>23.433024</v>
      </c>
      <c r="K44" s="56">
        <f t="shared" ref="K44" si="25">J44*(0.03%)</f>
        <v>7.0299071999999994E-3</v>
      </c>
      <c r="L44" s="56">
        <f t="shared" ref="L44" si="26">J44-K44</f>
        <v>23.4259940928</v>
      </c>
      <c r="M44" s="56">
        <f t="shared" ref="M44" si="27">L44*G44</f>
        <v>31250.276119795199</v>
      </c>
      <c r="N44" s="14">
        <f t="shared" si="23"/>
        <v>82.142060606060596</v>
      </c>
      <c r="O44" s="118"/>
    </row>
    <row r="45" spans="1:119" s="42" customFormat="1" ht="17.25" customHeight="1" x14ac:dyDescent="0.3">
      <c r="A45" s="18"/>
      <c r="B45" s="18"/>
      <c r="C45" s="45"/>
      <c r="D45" s="45"/>
      <c r="E45" s="57"/>
      <c r="F45" s="18"/>
      <c r="G45" s="45"/>
      <c r="H45" s="46"/>
      <c r="I45" s="14"/>
      <c r="J45" s="14"/>
      <c r="K45" s="14"/>
      <c r="L45" s="14"/>
      <c r="M45" s="14"/>
      <c r="N45" s="14"/>
      <c r="O45" s="118"/>
    </row>
    <row r="46" spans="1:119" s="42" customFormat="1" ht="17.25" customHeight="1" x14ac:dyDescent="0.3">
      <c r="A46" s="18"/>
      <c r="B46" s="18"/>
      <c r="C46" s="18"/>
      <c r="D46" s="18"/>
      <c r="E46" s="43"/>
      <c r="F46" s="18"/>
      <c r="G46" s="18"/>
      <c r="H46" s="41"/>
      <c r="I46" s="14"/>
      <c r="J46" s="14"/>
      <c r="K46" s="14"/>
      <c r="L46" s="14"/>
      <c r="M46" s="14"/>
      <c r="N46" s="14"/>
      <c r="O46" s="118"/>
    </row>
    <row r="47" spans="1:119" s="19" customFormat="1" ht="17.25" customHeight="1" x14ac:dyDescent="0.2">
      <c r="A47" s="18"/>
      <c r="B47" s="18"/>
      <c r="C47" s="23"/>
      <c r="D47" s="18"/>
      <c r="E47" s="24"/>
      <c r="F47" s="18"/>
      <c r="G47" s="18"/>
      <c r="H47" s="26"/>
      <c r="I47" s="14"/>
      <c r="J47" s="14"/>
      <c r="K47" s="14"/>
      <c r="L47" s="14"/>
      <c r="M47" s="14"/>
      <c r="N47" s="14"/>
      <c r="O47" s="118"/>
    </row>
    <row r="48" spans="1:119" s="27" customFormat="1" ht="17.100000000000001" customHeight="1" x14ac:dyDescent="0.3">
      <c r="A48" s="178" t="s">
        <v>16</v>
      </c>
      <c r="B48" s="125" t="s">
        <v>17</v>
      </c>
      <c r="C48" s="125" t="s">
        <v>18</v>
      </c>
      <c r="D48" s="125" t="s">
        <v>19</v>
      </c>
      <c r="E48" s="125" t="s">
        <v>20</v>
      </c>
      <c r="F48" s="125" t="s">
        <v>21</v>
      </c>
      <c r="G48" s="125" t="s">
        <v>22</v>
      </c>
      <c r="H48" s="127" t="s">
        <v>23</v>
      </c>
      <c r="I48" s="127"/>
      <c r="J48" s="127"/>
      <c r="K48" s="127"/>
      <c r="L48" s="128"/>
      <c r="M48" s="125" t="s">
        <v>24</v>
      </c>
      <c r="N48" s="125" t="s">
        <v>25</v>
      </c>
      <c r="O48" s="95"/>
    </row>
    <row r="49" spans="1:15" s="27" customFormat="1" ht="17.100000000000001" customHeight="1" x14ac:dyDescent="0.3">
      <c r="A49" s="179"/>
      <c r="B49" s="126"/>
      <c r="C49" s="126"/>
      <c r="D49" s="126"/>
      <c r="E49" s="126"/>
      <c r="F49" s="126"/>
      <c r="G49" s="126"/>
      <c r="H49" s="4" t="s">
        <v>27</v>
      </c>
      <c r="I49" s="4" t="s">
        <v>28</v>
      </c>
      <c r="J49" s="4" t="s">
        <v>29</v>
      </c>
      <c r="K49" s="4" t="s">
        <v>53</v>
      </c>
      <c r="L49" s="4" t="s">
        <v>30</v>
      </c>
      <c r="M49" s="126"/>
      <c r="N49" s="126"/>
      <c r="O49" s="95"/>
    </row>
    <row r="50" spans="1:15" s="28" customFormat="1" ht="17.100000000000001" customHeight="1" x14ac:dyDescent="0.2">
      <c r="A50" s="29">
        <v>3</v>
      </c>
      <c r="B50" s="173" t="s">
        <v>38</v>
      </c>
      <c r="C50" s="174"/>
      <c r="D50" s="174"/>
      <c r="E50" s="174"/>
      <c r="F50" s="175"/>
      <c r="G50" s="30"/>
      <c r="H50" s="30"/>
      <c r="I50" s="30"/>
      <c r="J50" s="30"/>
      <c r="K50" s="30"/>
      <c r="L50" s="30"/>
      <c r="M50" s="31">
        <f>SUM(M51:M63)</f>
        <v>72282.2687424209</v>
      </c>
      <c r="N50" s="30"/>
      <c r="O50" s="95"/>
    </row>
    <row r="51" spans="1:15" s="28" customFormat="1" ht="23.25" customHeight="1" x14ac:dyDescent="0.2">
      <c r="A51" s="11" t="s">
        <v>76</v>
      </c>
      <c r="B51" s="17" t="s">
        <v>33</v>
      </c>
      <c r="C51" s="69">
        <v>93588</v>
      </c>
      <c r="D51" s="69" t="s">
        <v>34</v>
      </c>
      <c r="E51" s="70" t="s">
        <v>107</v>
      </c>
      <c r="F51" s="71" t="s">
        <v>108</v>
      </c>
      <c r="G51" s="69">
        <f>10*17</f>
        <v>170</v>
      </c>
      <c r="H51" s="76">
        <v>3.29</v>
      </c>
      <c r="I51" s="56">
        <f>H51*0.2232</f>
        <v>0.73432800000000009</v>
      </c>
      <c r="J51" s="56">
        <f>H51+I51</f>
        <v>4.0243280000000006</v>
      </c>
      <c r="K51" s="56">
        <f>J51*(0.03%)</f>
        <v>1.2072984E-3</v>
      </c>
      <c r="L51" s="56">
        <f>J51-K51</f>
        <v>4.0231207016000008</v>
      </c>
      <c r="M51" s="56">
        <f>L51*G51</f>
        <v>683.93051927200008</v>
      </c>
      <c r="N51" s="56">
        <f>M51/M50</f>
        <v>9.4619404062868881E-3</v>
      </c>
      <c r="O51" s="118"/>
    </row>
    <row r="52" spans="1:15" s="28" customFormat="1" ht="23.25" customHeight="1" x14ac:dyDescent="0.2">
      <c r="A52" s="123" t="s">
        <v>115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4"/>
      <c r="N52" s="35"/>
      <c r="O52" s="118"/>
    </row>
    <row r="53" spans="1:15" s="28" customFormat="1" ht="23.25" customHeight="1" x14ac:dyDescent="0.2">
      <c r="A53" s="40" t="s">
        <v>78</v>
      </c>
      <c r="B53" s="32" t="s">
        <v>33</v>
      </c>
      <c r="C53" s="54" t="s">
        <v>96</v>
      </c>
      <c r="D53" s="54" t="s">
        <v>34</v>
      </c>
      <c r="E53" s="55" t="s">
        <v>97</v>
      </c>
      <c r="F53" s="54" t="s">
        <v>87</v>
      </c>
      <c r="G53" s="54">
        <f>28.12+22.94+6.8+2+7.26+12.75+11.73+14.06+17.5+2.25+1.75+2.25+1.75</f>
        <v>131.16000000000003</v>
      </c>
      <c r="H53" s="77">
        <v>14.98</v>
      </c>
      <c r="I53" s="40">
        <f t="shared" ref="I53:I54" si="28">H53*0.2232</f>
        <v>3.3435360000000003</v>
      </c>
      <c r="J53" s="40">
        <f t="shared" ref="J53:J54" si="29">H53+I53</f>
        <v>18.323536000000001</v>
      </c>
      <c r="K53" s="40">
        <f t="shared" ref="K53:K54" si="30">J53*(0.03%)</f>
        <v>5.4970608000000001E-3</v>
      </c>
      <c r="L53" s="40">
        <f t="shared" ref="L53:L54" si="31">J53-K53</f>
        <v>18.318038939200001</v>
      </c>
      <c r="M53" s="40">
        <f t="shared" ref="M53:M54" si="32">L53*G53</f>
        <v>2402.5939872654726</v>
      </c>
      <c r="N53" s="35">
        <f t="shared" ref="N53:N54" si="33">M53/M$16</f>
        <v>1.9715168245681512E-2</v>
      </c>
      <c r="O53" s="118"/>
    </row>
    <row r="54" spans="1:15" s="28" customFormat="1" ht="23.25" customHeight="1" x14ac:dyDescent="0.2">
      <c r="A54" s="40" t="s">
        <v>77</v>
      </c>
      <c r="B54" s="32" t="s">
        <v>33</v>
      </c>
      <c r="C54" s="54">
        <v>88488</v>
      </c>
      <c r="D54" s="54" t="s">
        <v>34</v>
      </c>
      <c r="E54" s="55" t="s">
        <v>98</v>
      </c>
      <c r="F54" s="54" t="s">
        <v>93</v>
      </c>
      <c r="G54" s="54">
        <f>6.8+3.93+3.93</f>
        <v>14.66</v>
      </c>
      <c r="H54" s="77">
        <v>17.97</v>
      </c>
      <c r="I54" s="40">
        <f t="shared" si="28"/>
        <v>4.010904</v>
      </c>
      <c r="J54" s="40">
        <f t="shared" si="29"/>
        <v>21.980903999999999</v>
      </c>
      <c r="K54" s="40">
        <f t="shared" si="30"/>
        <v>6.5942711999999988E-3</v>
      </c>
      <c r="L54" s="40">
        <f t="shared" si="31"/>
        <v>21.974309728799998</v>
      </c>
      <c r="M54" s="40">
        <f t="shared" si="32"/>
        <v>322.14338062420796</v>
      </c>
      <c r="N54" s="35">
        <f t="shared" si="33"/>
        <v>2.6434391253377914E-3</v>
      </c>
      <c r="O54" s="118"/>
    </row>
    <row r="55" spans="1:15" s="28" customFormat="1" ht="23.25" customHeight="1" x14ac:dyDescent="0.2">
      <c r="A55" s="123" t="s">
        <v>116</v>
      </c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4"/>
      <c r="N55" s="14"/>
      <c r="O55" s="118"/>
    </row>
    <row r="56" spans="1:15" s="28" customFormat="1" ht="23.25" customHeight="1" x14ac:dyDescent="0.2">
      <c r="A56" s="40" t="s">
        <v>80</v>
      </c>
      <c r="B56" s="32" t="s">
        <v>33</v>
      </c>
      <c r="C56" s="54" t="s">
        <v>96</v>
      </c>
      <c r="D56" s="54" t="s">
        <v>34</v>
      </c>
      <c r="E56" s="55" t="s">
        <v>97</v>
      </c>
      <c r="F56" s="54" t="s">
        <v>87</v>
      </c>
      <c r="G56" s="54">
        <v>902</v>
      </c>
      <c r="H56" s="77">
        <v>14.98</v>
      </c>
      <c r="I56" s="40">
        <f t="shared" ref="I56:I57" si="34">H56*0.2232</f>
        <v>3.3435360000000003</v>
      </c>
      <c r="J56" s="40">
        <f t="shared" ref="J56:J57" si="35">H56+I56</f>
        <v>18.323536000000001</v>
      </c>
      <c r="K56" s="40">
        <f t="shared" ref="K56:K57" si="36">J56*(0.03%)</f>
        <v>5.4970608000000001E-3</v>
      </c>
      <c r="L56" s="40">
        <f t="shared" ref="L56:L57" si="37">J56-K56</f>
        <v>18.318038939200001</v>
      </c>
      <c r="M56" s="40">
        <f t="shared" ref="M56:M57" si="38">L56*G56</f>
        <v>16522.871123158402</v>
      </c>
      <c r="N56" s="35">
        <f t="shared" ref="N56:N57" si="39">M56/M$16</f>
        <v>0.13558311800552547</v>
      </c>
      <c r="O56" s="118"/>
    </row>
    <row r="57" spans="1:15" s="28" customFormat="1" ht="23.25" customHeight="1" x14ac:dyDescent="0.2">
      <c r="A57" s="40" t="s">
        <v>88</v>
      </c>
      <c r="B57" s="32" t="s">
        <v>33</v>
      </c>
      <c r="C57" s="54">
        <v>88488</v>
      </c>
      <c r="D57" s="54" t="s">
        <v>34</v>
      </c>
      <c r="E57" s="55" t="s">
        <v>98</v>
      </c>
      <c r="F57" s="54" t="s">
        <v>93</v>
      </c>
      <c r="G57" s="54">
        <v>89</v>
      </c>
      <c r="H57" s="77">
        <v>17.97</v>
      </c>
      <c r="I57" s="40">
        <f t="shared" si="34"/>
        <v>4.010904</v>
      </c>
      <c r="J57" s="40">
        <f t="shared" si="35"/>
        <v>21.980903999999999</v>
      </c>
      <c r="K57" s="40">
        <f t="shared" si="36"/>
        <v>6.5942711999999988E-3</v>
      </c>
      <c r="L57" s="40">
        <f t="shared" si="37"/>
        <v>21.974309728799998</v>
      </c>
      <c r="M57" s="40">
        <f t="shared" si="38"/>
        <v>1955.7135658631998</v>
      </c>
      <c r="N57" s="35">
        <f t="shared" si="39"/>
        <v>1.604816385778059E-2</v>
      </c>
      <c r="O57" s="118"/>
    </row>
    <row r="58" spans="1:15" s="28" customFormat="1" ht="23.25" customHeight="1" x14ac:dyDescent="0.2">
      <c r="A58" s="40" t="s">
        <v>89</v>
      </c>
      <c r="B58" s="32" t="s">
        <v>33</v>
      </c>
      <c r="C58" s="54">
        <v>102805</v>
      </c>
      <c r="D58" s="54" t="s">
        <v>34</v>
      </c>
      <c r="E58" s="64" t="s">
        <v>99</v>
      </c>
      <c r="F58" s="54" t="s">
        <v>93</v>
      </c>
      <c r="G58" s="54">
        <v>30</v>
      </c>
      <c r="H58" s="77">
        <v>74.11</v>
      </c>
      <c r="I58" s="40">
        <f>H58*0.2232</f>
        <v>16.541352</v>
      </c>
      <c r="J58" s="40">
        <f>H58+I58</f>
        <v>90.651352000000003</v>
      </c>
      <c r="K58" s="40">
        <f>J58*(0.03%)</f>
        <v>2.71954056E-2</v>
      </c>
      <c r="L58" s="40">
        <f>J58-K58</f>
        <v>90.624156594400006</v>
      </c>
      <c r="M58" s="40">
        <f>L58*G58</f>
        <v>2718.7246978319999</v>
      </c>
      <c r="N58" s="35">
        <f>M58/M$16</f>
        <v>2.2309268696894063E-2</v>
      </c>
      <c r="O58" s="118"/>
    </row>
    <row r="59" spans="1:15" s="28" customFormat="1" ht="23.25" customHeight="1" x14ac:dyDescent="0.2">
      <c r="A59" s="123" t="s">
        <v>122</v>
      </c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4"/>
      <c r="N59" s="35"/>
      <c r="O59" s="118"/>
    </row>
    <row r="60" spans="1:15" s="28" customFormat="1" ht="23.25" customHeight="1" x14ac:dyDescent="0.2">
      <c r="A60" s="40" t="s">
        <v>119</v>
      </c>
      <c r="B60" s="32" t="s">
        <v>33</v>
      </c>
      <c r="C60" s="72">
        <v>4716</v>
      </c>
      <c r="D60" s="72" t="s">
        <v>121</v>
      </c>
      <c r="E60" s="74" t="s">
        <v>123</v>
      </c>
      <c r="F60" s="72" t="s">
        <v>93</v>
      </c>
      <c r="G60" s="72">
        <v>115.01</v>
      </c>
      <c r="H60" s="77">
        <v>312.10000000000002</v>
      </c>
      <c r="I60" s="40">
        <f>H60*0.2232</f>
        <v>69.660720000000012</v>
      </c>
      <c r="J60" s="40">
        <f>H60+I60</f>
        <v>381.76072000000005</v>
      </c>
      <c r="K60" s="40">
        <f>J60*(0.03%)</f>
        <v>0.114528216</v>
      </c>
      <c r="L60" s="40">
        <f>J60-K60</f>
        <v>381.64619178400005</v>
      </c>
      <c r="M60" s="40">
        <f>L60*G60</f>
        <v>43893.12851707785</v>
      </c>
      <c r="N60" s="35">
        <f>M60/M$16</f>
        <v>0.36017754898672089</v>
      </c>
      <c r="O60" s="118"/>
    </row>
    <row r="61" spans="1:15" s="28" customFormat="1" ht="30.6" x14ac:dyDescent="0.2">
      <c r="A61" s="40" t="s">
        <v>120</v>
      </c>
      <c r="B61" s="32" t="s">
        <v>33</v>
      </c>
      <c r="C61" s="72">
        <v>100723</v>
      </c>
      <c r="D61" s="72" t="s">
        <v>34</v>
      </c>
      <c r="E61" s="73" t="s">
        <v>125</v>
      </c>
      <c r="F61" s="72" t="s">
        <v>93</v>
      </c>
      <c r="G61" s="72">
        <v>115.01</v>
      </c>
      <c r="H61" s="77">
        <v>14.03</v>
      </c>
      <c r="I61" s="40">
        <f>H61*0.2232</f>
        <v>3.1314959999999998</v>
      </c>
      <c r="J61" s="40">
        <f>H61+I61</f>
        <v>17.161496</v>
      </c>
      <c r="K61" s="40">
        <f>J61*(0.03%)</f>
        <v>5.1484487999999993E-3</v>
      </c>
      <c r="L61" s="40">
        <f>J61-K61</f>
        <v>17.1563475512</v>
      </c>
      <c r="M61" s="40">
        <f>L61*G61</f>
        <v>1973.151531863512</v>
      </c>
      <c r="N61" s="35">
        <f>M61/M$16</f>
        <v>1.6191256047048037E-2</v>
      </c>
      <c r="O61" s="118"/>
    </row>
    <row r="62" spans="1:15" s="28" customFormat="1" ht="30.6" x14ac:dyDescent="0.2">
      <c r="A62" s="40" t="s">
        <v>120</v>
      </c>
      <c r="B62" s="32" t="s">
        <v>33</v>
      </c>
      <c r="C62" s="72">
        <v>100739</v>
      </c>
      <c r="D62" s="72" t="s">
        <v>34</v>
      </c>
      <c r="E62" s="73" t="s">
        <v>124</v>
      </c>
      <c r="F62" s="72" t="s">
        <v>93</v>
      </c>
      <c r="G62" s="72">
        <v>115.01</v>
      </c>
      <c r="H62" s="77">
        <v>12.87</v>
      </c>
      <c r="I62" s="40">
        <f>H62*0.2232</f>
        <v>2.8725839999999998</v>
      </c>
      <c r="J62" s="40">
        <f>H62+I62</f>
        <v>15.742583999999999</v>
      </c>
      <c r="K62" s="40">
        <f>J62*(0.03%)</f>
        <v>4.7227751999999994E-3</v>
      </c>
      <c r="L62" s="40">
        <f>J62-K62</f>
        <v>15.7378612248</v>
      </c>
      <c r="M62" s="40">
        <f>L62*G62</f>
        <v>1810.0114194642481</v>
      </c>
      <c r="N62" s="35">
        <f>M62/M$16</f>
        <v>1.4852563458696242E-2</v>
      </c>
      <c r="O62" s="118"/>
    </row>
    <row r="63" spans="1:15" s="28" customFormat="1" ht="23.25" customHeight="1" x14ac:dyDescent="0.2">
      <c r="A63" s="47"/>
      <c r="B63" s="11"/>
      <c r="C63" s="48"/>
      <c r="D63" s="11"/>
      <c r="E63" s="49"/>
      <c r="F63" s="48"/>
      <c r="G63" s="48"/>
      <c r="H63" s="50"/>
      <c r="I63" s="14"/>
      <c r="J63" s="14"/>
      <c r="K63" s="14"/>
      <c r="L63" s="14"/>
      <c r="M63" s="14"/>
      <c r="N63" s="14"/>
      <c r="O63" s="118"/>
    </row>
    <row r="64" spans="1:15" s="39" customFormat="1" ht="17.100000000000001" customHeight="1" x14ac:dyDescent="0.2">
      <c r="A64" s="36"/>
      <c r="B64" s="36"/>
      <c r="C64" s="36"/>
      <c r="D64" s="36"/>
      <c r="E64" s="36"/>
      <c r="F64" s="36"/>
      <c r="G64" s="36"/>
      <c r="H64" s="53"/>
      <c r="I64" s="36"/>
      <c r="J64" s="36"/>
      <c r="K64" s="36"/>
      <c r="L64" s="36"/>
      <c r="M64" s="36"/>
      <c r="N64" s="36"/>
      <c r="O64" s="118"/>
    </row>
    <row r="65" spans="1:16" s="39" customFormat="1" ht="17.100000000000001" customHeight="1" x14ac:dyDescent="0.2">
      <c r="A65" s="129"/>
      <c r="B65" s="130"/>
      <c r="C65" s="130"/>
      <c r="D65" s="130"/>
      <c r="E65" s="130"/>
      <c r="F65" s="130"/>
      <c r="G65" s="130"/>
      <c r="H65" s="37" t="s">
        <v>39</v>
      </c>
      <c r="I65" s="38"/>
      <c r="J65" s="131">
        <f>M16+M39+M50</f>
        <v>228936.54204931331</v>
      </c>
      <c r="K65" s="132"/>
      <c r="L65" s="132"/>
      <c r="M65" s="132"/>
      <c r="N65" s="133"/>
      <c r="O65" s="95"/>
      <c r="P65" s="44"/>
    </row>
    <row r="66" spans="1:16" ht="17.100000000000001" customHeight="1" x14ac:dyDescent="0.3">
      <c r="A66" s="134" t="s">
        <v>85</v>
      </c>
      <c r="B66" s="100"/>
      <c r="C66" s="100"/>
      <c r="D66" s="100"/>
      <c r="E66" s="100"/>
      <c r="F66" s="100"/>
      <c r="G66" s="100"/>
      <c r="H66" s="97"/>
      <c r="I66" s="97"/>
      <c r="J66" s="97"/>
      <c r="K66" s="97"/>
      <c r="L66" s="97"/>
      <c r="M66" s="97"/>
      <c r="N66" s="98"/>
      <c r="O66" s="95"/>
    </row>
    <row r="67" spans="1:16" ht="17.100000000000001" customHeight="1" x14ac:dyDescent="0.3">
      <c r="A67" s="99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1"/>
      <c r="O67" s="95"/>
    </row>
    <row r="68" spans="1:16" ht="17.100000000000001" customHeight="1" x14ac:dyDescent="0.3">
      <c r="A68" s="99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1"/>
      <c r="O68" s="95"/>
    </row>
    <row r="69" spans="1:16" ht="17.100000000000001" customHeight="1" x14ac:dyDescent="0.3">
      <c r="A69" s="99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1"/>
      <c r="O69" s="95"/>
    </row>
    <row r="70" spans="1:16" ht="17.100000000000001" customHeight="1" x14ac:dyDescent="0.3">
      <c r="A70" s="99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1"/>
      <c r="O70" s="95"/>
    </row>
    <row r="71" spans="1:16" ht="17.100000000000001" customHeight="1" x14ac:dyDescent="0.3">
      <c r="A71" s="99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1"/>
      <c r="O71" s="95"/>
    </row>
    <row r="72" spans="1:16" ht="17.100000000000001" customHeight="1" x14ac:dyDescent="0.3">
      <c r="A72" s="102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4"/>
      <c r="O72" s="95"/>
    </row>
    <row r="73" spans="1:16" ht="17.100000000000001" customHeight="1" x14ac:dyDescent="0.3">
      <c r="A73" s="135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7"/>
    </row>
    <row r="74" spans="1:16" ht="17.100000000000001" customHeight="1" x14ac:dyDescent="0.3">
      <c r="A74" s="138" t="s">
        <v>40</v>
      </c>
      <c r="B74" s="139"/>
      <c r="C74" s="139"/>
      <c r="D74" s="139"/>
      <c r="E74" s="139"/>
      <c r="F74" s="139"/>
      <c r="G74" s="140" t="s">
        <v>41</v>
      </c>
      <c r="H74" s="140"/>
      <c r="I74" s="140"/>
      <c r="J74" s="140"/>
      <c r="K74" s="141"/>
      <c r="L74" s="142"/>
      <c r="M74" s="142"/>
      <c r="N74" s="143"/>
      <c r="O74" s="95" t="s">
        <v>42</v>
      </c>
    </row>
    <row r="75" spans="1:16" ht="17.100000000000001" customHeight="1" x14ac:dyDescent="0.3">
      <c r="A75" s="148" t="s">
        <v>43</v>
      </c>
      <c r="B75" s="149"/>
      <c r="C75" s="149"/>
      <c r="D75" s="149"/>
      <c r="E75" s="149"/>
      <c r="F75" s="150"/>
      <c r="G75" s="154" t="s">
        <v>44</v>
      </c>
      <c r="H75" s="149"/>
      <c r="I75" s="149"/>
      <c r="J75" s="150"/>
      <c r="K75" s="144"/>
      <c r="L75" s="145"/>
      <c r="M75" s="145"/>
      <c r="N75" s="146"/>
      <c r="O75" s="95"/>
    </row>
    <row r="76" spans="1:16" ht="17.100000000000001" customHeight="1" x14ac:dyDescent="0.3">
      <c r="A76" s="151"/>
      <c r="B76" s="152"/>
      <c r="C76" s="152"/>
      <c r="D76" s="152"/>
      <c r="E76" s="152"/>
      <c r="F76" s="153"/>
      <c r="G76" s="155"/>
      <c r="H76" s="152"/>
      <c r="I76" s="152"/>
      <c r="J76" s="153"/>
      <c r="K76" s="144"/>
      <c r="L76" s="145"/>
      <c r="M76" s="145"/>
      <c r="N76" s="146"/>
      <c r="O76" s="95"/>
    </row>
    <row r="77" spans="1:16" ht="17.100000000000001" customHeight="1" x14ac:dyDescent="0.3">
      <c r="A77" s="151"/>
      <c r="B77" s="152"/>
      <c r="C77" s="152"/>
      <c r="D77" s="152"/>
      <c r="E77" s="152"/>
      <c r="F77" s="153"/>
      <c r="G77" s="155"/>
      <c r="H77" s="152"/>
      <c r="I77" s="152"/>
      <c r="J77" s="153"/>
      <c r="K77" s="144"/>
      <c r="L77" s="145"/>
      <c r="M77" s="145"/>
      <c r="N77" s="146"/>
      <c r="O77" s="95"/>
    </row>
    <row r="78" spans="1:16" ht="17.100000000000001" customHeight="1" x14ac:dyDescent="0.3">
      <c r="A78" s="151"/>
      <c r="B78" s="152"/>
      <c r="C78" s="152"/>
      <c r="D78" s="152"/>
      <c r="E78" s="152"/>
      <c r="F78" s="153"/>
      <c r="G78" s="155"/>
      <c r="H78" s="152"/>
      <c r="I78" s="152"/>
      <c r="J78" s="153"/>
      <c r="K78" s="144"/>
      <c r="L78" s="145"/>
      <c r="M78" s="145"/>
      <c r="N78" s="146"/>
      <c r="O78" s="95"/>
    </row>
    <row r="79" spans="1:16" ht="17.100000000000001" customHeight="1" x14ac:dyDescent="0.3">
      <c r="A79" s="151"/>
      <c r="B79" s="152"/>
      <c r="C79" s="152"/>
      <c r="D79" s="152"/>
      <c r="E79" s="152"/>
      <c r="F79" s="153"/>
      <c r="G79" s="155"/>
      <c r="H79" s="152"/>
      <c r="I79" s="152"/>
      <c r="J79" s="153"/>
      <c r="K79" s="144"/>
      <c r="L79" s="145"/>
      <c r="M79" s="145"/>
      <c r="N79" s="146"/>
      <c r="O79" s="95"/>
    </row>
    <row r="80" spans="1:16" ht="17.100000000000001" customHeight="1" x14ac:dyDescent="0.3">
      <c r="A80" s="151"/>
      <c r="B80" s="152"/>
      <c r="C80" s="152"/>
      <c r="D80" s="152"/>
      <c r="E80" s="152"/>
      <c r="F80" s="153"/>
      <c r="G80" s="155"/>
      <c r="H80" s="152"/>
      <c r="I80" s="152"/>
      <c r="J80" s="153"/>
      <c r="K80" s="144"/>
      <c r="L80" s="145"/>
      <c r="M80" s="145"/>
      <c r="N80" s="146"/>
      <c r="O80" s="95"/>
    </row>
    <row r="81" spans="1:19" ht="17.100000000000001" customHeight="1" x14ac:dyDescent="0.3">
      <c r="A81" s="151"/>
      <c r="B81" s="152"/>
      <c r="C81" s="152"/>
      <c r="D81" s="152"/>
      <c r="E81" s="152"/>
      <c r="F81" s="153"/>
      <c r="G81" s="155"/>
      <c r="H81" s="152"/>
      <c r="I81" s="152"/>
      <c r="J81" s="153"/>
      <c r="K81" s="144"/>
      <c r="L81" s="145"/>
      <c r="M81" s="145"/>
      <c r="N81" s="146"/>
      <c r="O81" s="95"/>
    </row>
    <row r="82" spans="1:19" ht="17.100000000000001" customHeight="1" thickBot="1" x14ac:dyDescent="0.35">
      <c r="A82" s="151"/>
      <c r="B82" s="152"/>
      <c r="C82" s="152"/>
      <c r="D82" s="152"/>
      <c r="E82" s="152"/>
      <c r="F82" s="153"/>
      <c r="G82" s="155"/>
      <c r="H82" s="152"/>
      <c r="I82" s="152"/>
      <c r="J82" s="153"/>
      <c r="K82" s="144"/>
      <c r="L82" s="145"/>
      <c r="M82" s="145"/>
      <c r="N82" s="146"/>
      <c r="O82" s="147"/>
    </row>
    <row r="83" spans="1:19" ht="17.100000000000001" customHeight="1" thickBot="1" x14ac:dyDescent="0.35">
      <c r="A83" s="157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9"/>
    </row>
    <row r="84" spans="1:19" ht="17.100000000000001" customHeight="1" x14ac:dyDescent="0.3">
      <c r="A84" s="134" t="s">
        <v>45</v>
      </c>
      <c r="B84" s="100"/>
      <c r="C84" s="100"/>
      <c r="D84" s="101"/>
      <c r="E84" s="160" t="s">
        <v>46</v>
      </c>
      <c r="F84" s="100"/>
      <c r="G84" s="100"/>
      <c r="H84" s="100"/>
      <c r="I84" s="100"/>
      <c r="J84" s="100"/>
      <c r="K84" s="162" t="s">
        <v>47</v>
      </c>
      <c r="L84" s="136"/>
      <c r="M84" s="136"/>
      <c r="N84" s="136"/>
      <c r="O84" s="166" t="s">
        <v>48</v>
      </c>
    </row>
    <row r="85" spans="1:19" ht="17.100000000000001" customHeight="1" x14ac:dyDescent="0.3">
      <c r="A85" s="102"/>
      <c r="B85" s="103"/>
      <c r="C85" s="103"/>
      <c r="D85" s="104"/>
      <c r="E85" s="161"/>
      <c r="F85" s="103"/>
      <c r="G85" s="103"/>
      <c r="H85" s="103"/>
      <c r="I85" s="103"/>
      <c r="J85" s="103"/>
      <c r="K85" s="163"/>
      <c r="L85" s="136"/>
      <c r="M85" s="136"/>
      <c r="N85" s="136"/>
      <c r="O85" s="167"/>
    </row>
    <row r="86" spans="1:19" ht="17.100000000000001" customHeight="1" x14ac:dyDescent="0.3">
      <c r="A86" s="96" t="s">
        <v>49</v>
      </c>
      <c r="B86" s="97"/>
      <c r="C86" s="97"/>
      <c r="D86" s="97"/>
      <c r="E86" s="97"/>
      <c r="F86" s="97"/>
      <c r="G86" s="97"/>
      <c r="H86" s="97"/>
      <c r="I86" s="97"/>
      <c r="J86" s="97"/>
      <c r="K86" s="163"/>
      <c r="L86" s="136"/>
      <c r="M86" s="136"/>
      <c r="N86" s="136"/>
      <c r="O86" s="167"/>
    </row>
    <row r="87" spans="1:19" ht="17.100000000000001" customHeight="1" x14ac:dyDescent="0.3">
      <c r="A87" s="99"/>
      <c r="B87" s="100"/>
      <c r="C87" s="100"/>
      <c r="D87" s="100"/>
      <c r="E87" s="100"/>
      <c r="F87" s="100"/>
      <c r="G87" s="100"/>
      <c r="H87" s="100"/>
      <c r="I87" s="100"/>
      <c r="J87" s="100"/>
      <c r="K87" s="163"/>
      <c r="L87" s="136"/>
      <c r="M87" s="136"/>
      <c r="N87" s="136"/>
      <c r="O87" s="167"/>
    </row>
    <row r="88" spans="1:19" ht="17.100000000000001" customHeight="1" x14ac:dyDescent="0.3">
      <c r="A88" s="99"/>
      <c r="B88" s="100"/>
      <c r="C88" s="100"/>
      <c r="D88" s="100"/>
      <c r="E88" s="100"/>
      <c r="F88" s="100"/>
      <c r="G88" s="100"/>
      <c r="H88" s="100"/>
      <c r="I88" s="100"/>
      <c r="J88" s="100"/>
      <c r="K88" s="163"/>
      <c r="L88" s="136"/>
      <c r="M88" s="136"/>
      <c r="N88" s="136"/>
      <c r="O88" s="167"/>
    </row>
    <row r="89" spans="1:19" ht="17.100000000000001" customHeight="1" x14ac:dyDescent="0.3">
      <c r="A89" s="99"/>
      <c r="B89" s="100"/>
      <c r="C89" s="100"/>
      <c r="D89" s="100"/>
      <c r="E89" s="100"/>
      <c r="F89" s="100"/>
      <c r="G89" s="100"/>
      <c r="H89" s="100"/>
      <c r="I89" s="100"/>
      <c r="J89" s="100"/>
      <c r="K89" s="163"/>
      <c r="L89" s="136"/>
      <c r="M89" s="136"/>
      <c r="N89" s="136"/>
      <c r="O89" s="167"/>
    </row>
    <row r="90" spans="1:19" ht="17.100000000000001" customHeight="1" thickBot="1" x14ac:dyDescent="0.35">
      <c r="A90" s="169"/>
      <c r="B90" s="170"/>
      <c r="C90" s="170"/>
      <c r="D90" s="170"/>
      <c r="E90" s="170"/>
      <c r="F90" s="170"/>
      <c r="G90" s="170"/>
      <c r="H90" s="170"/>
      <c r="I90" s="170"/>
      <c r="J90" s="170"/>
      <c r="K90" s="164"/>
      <c r="L90" s="165"/>
      <c r="M90" s="165"/>
      <c r="N90" s="165"/>
      <c r="O90" s="168"/>
    </row>
    <row r="91" spans="1:19" ht="14.1" customHeight="1" x14ac:dyDescent="0.3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</row>
    <row r="92" spans="1:19" ht="14.1" customHeight="1" x14ac:dyDescent="0.3"/>
    <row r="93" spans="1:19" ht="14.1" customHeight="1" x14ac:dyDescent="0.3"/>
    <row r="94" spans="1:19" ht="14.1" customHeight="1" x14ac:dyDescent="0.3"/>
  </sheetData>
  <sortState xmlns:xlrd2="http://schemas.microsoft.com/office/spreadsheetml/2017/richdata2" ref="A36:N80">
    <sortCondition ref="E36:E80"/>
  </sortState>
  <mergeCells count="79">
    <mergeCell ref="N14:N15"/>
    <mergeCell ref="N37:N38"/>
    <mergeCell ref="B39:F39"/>
    <mergeCell ref="A48:A49"/>
    <mergeCell ref="B48:B49"/>
    <mergeCell ref="C48:C49"/>
    <mergeCell ref="D48:D49"/>
    <mergeCell ref="E14:E15"/>
    <mergeCell ref="A18:E18"/>
    <mergeCell ref="A20:E20"/>
    <mergeCell ref="A27:E27"/>
    <mergeCell ref="A35:E35"/>
    <mergeCell ref="E48:E49"/>
    <mergeCell ref="F48:F49"/>
    <mergeCell ref="G48:G49"/>
    <mergeCell ref="A52:M52"/>
    <mergeCell ref="A14:A15"/>
    <mergeCell ref="H37:L37"/>
    <mergeCell ref="M37:M38"/>
    <mergeCell ref="F14:F15"/>
    <mergeCell ref="G14:G15"/>
    <mergeCell ref="H14:L14"/>
    <mergeCell ref="M14:M15"/>
    <mergeCell ref="G37:G38"/>
    <mergeCell ref="B50:F50"/>
    <mergeCell ref="C14:C15"/>
    <mergeCell ref="D14:D15"/>
    <mergeCell ref="A91:J91"/>
    <mergeCell ref="K91:S91"/>
    <mergeCell ref="A83:O83"/>
    <mergeCell ref="A84:D85"/>
    <mergeCell ref="E84:J85"/>
    <mergeCell ref="K84:N90"/>
    <mergeCell ref="O84:O90"/>
    <mergeCell ref="A86:J90"/>
    <mergeCell ref="A73:O73"/>
    <mergeCell ref="A74:F74"/>
    <mergeCell ref="G74:J74"/>
    <mergeCell ref="K74:N82"/>
    <mergeCell ref="O74:O82"/>
    <mergeCell ref="A75:F82"/>
    <mergeCell ref="G75:J82"/>
    <mergeCell ref="O14:O72"/>
    <mergeCell ref="A37:A38"/>
    <mergeCell ref="B37:B38"/>
    <mergeCell ref="C37:C38"/>
    <mergeCell ref="D37:D38"/>
    <mergeCell ref="E37:E38"/>
    <mergeCell ref="F37:F38"/>
    <mergeCell ref="A55:M55"/>
    <mergeCell ref="A59:M59"/>
    <mergeCell ref="N48:N49"/>
    <mergeCell ref="H48:L48"/>
    <mergeCell ref="M48:M49"/>
    <mergeCell ref="B14:B15"/>
    <mergeCell ref="A65:G65"/>
    <mergeCell ref="J65:N65"/>
    <mergeCell ref="A66:N72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2" type="noConversion"/>
  <hyperlinks>
    <hyperlink ref="E41" r:id="rId1" display="VALVULA DE DESCARGA EM METAL CROMADO PARA MICTORIO COM ACIONAMENTO POR PRESSAO E FECHAMENTO AUTOMATICO" xr:uid="{00000000-0004-0000-0000-000000000000}"/>
  </hyperlinks>
  <pageMargins left="0.25" right="0.25" top="0.75" bottom="0.75" header="0.3" footer="0.3"/>
  <pageSetup paperSize="9" scale="5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I23"/>
  <sheetViews>
    <sheetView topLeftCell="A4" workbookViewId="0">
      <selection activeCell="F11" sqref="F11"/>
    </sheetView>
  </sheetViews>
  <sheetFormatPr defaultRowHeight="14.4" x14ac:dyDescent="0.3"/>
  <cols>
    <col min="4" max="8" width="18.6640625" customWidth="1"/>
    <col min="9" max="9" width="26.44140625" bestFit="1" customWidth="1"/>
  </cols>
  <sheetData>
    <row r="2" spans="4:9" x14ac:dyDescent="0.3">
      <c r="D2" s="61"/>
      <c r="E2" s="186" t="s">
        <v>127</v>
      </c>
      <c r="F2" s="186"/>
      <c r="G2" s="186"/>
      <c r="H2" s="186"/>
    </row>
    <row r="3" spans="4:9" x14ac:dyDescent="0.3">
      <c r="D3" s="62" t="s">
        <v>91</v>
      </c>
      <c r="E3" s="62" t="s">
        <v>92</v>
      </c>
      <c r="F3" s="62" t="s">
        <v>117</v>
      </c>
      <c r="G3" s="62" t="s">
        <v>118</v>
      </c>
      <c r="H3" s="62" t="s">
        <v>93</v>
      </c>
      <c r="I3" s="62" t="s">
        <v>94</v>
      </c>
    </row>
    <row r="4" spans="4:9" x14ac:dyDescent="0.3">
      <c r="D4" s="61"/>
      <c r="E4" s="61">
        <v>2</v>
      </c>
      <c r="F4" s="61">
        <v>1470</v>
      </c>
      <c r="G4" s="61">
        <v>4170</v>
      </c>
      <c r="H4" s="61">
        <f>E4*F4*G4/1000000</f>
        <v>12.2598</v>
      </c>
      <c r="I4" s="61"/>
    </row>
    <row r="5" spans="4:9" x14ac:dyDescent="0.3">
      <c r="D5" s="61"/>
      <c r="E5" s="61">
        <v>2</v>
      </c>
      <c r="F5" s="61">
        <v>1470</v>
      </c>
      <c r="G5" s="61">
        <v>4030</v>
      </c>
      <c r="H5" s="61">
        <f t="shared" ref="H5:H20" si="0">E5*F5*G5/1000000</f>
        <v>11.8482</v>
      </c>
      <c r="I5" s="61"/>
    </row>
    <row r="6" spans="4:9" x14ac:dyDescent="0.3">
      <c r="D6" s="61"/>
      <c r="E6" s="61">
        <v>2</v>
      </c>
      <c r="F6" s="61">
        <v>1470</v>
      </c>
      <c r="G6" s="61">
        <v>2600</v>
      </c>
      <c r="H6" s="61">
        <f t="shared" si="0"/>
        <v>7.6440000000000001</v>
      </c>
      <c r="I6" s="61"/>
    </row>
    <row r="7" spans="4:9" x14ac:dyDescent="0.3">
      <c r="D7" s="61"/>
      <c r="E7" s="61">
        <v>2</v>
      </c>
      <c r="F7" s="61">
        <v>1470</v>
      </c>
      <c r="G7" s="61">
        <v>1400</v>
      </c>
      <c r="H7" s="61">
        <f t="shared" si="0"/>
        <v>4.1159999999999997</v>
      </c>
      <c r="I7" s="61"/>
    </row>
    <row r="8" spans="4:9" x14ac:dyDescent="0.3">
      <c r="D8" s="61"/>
      <c r="E8" s="61">
        <v>2</v>
      </c>
      <c r="F8" s="61">
        <v>1470</v>
      </c>
      <c r="G8" s="61">
        <v>3860</v>
      </c>
      <c r="H8" s="61">
        <f t="shared" si="0"/>
        <v>11.3484</v>
      </c>
      <c r="I8" s="61"/>
    </row>
    <row r="9" spans="4:9" x14ac:dyDescent="0.3">
      <c r="D9" s="61"/>
      <c r="E9" s="61">
        <v>2</v>
      </c>
      <c r="F9" s="61">
        <v>1470</v>
      </c>
      <c r="G9" s="61">
        <v>3850</v>
      </c>
      <c r="H9" s="61">
        <f t="shared" si="0"/>
        <v>11.319000000000001</v>
      </c>
      <c r="I9" s="61"/>
    </row>
    <row r="10" spans="4:9" x14ac:dyDescent="0.3">
      <c r="D10" s="61"/>
      <c r="E10" s="61">
        <v>2</v>
      </c>
      <c r="F10" s="61">
        <v>1470</v>
      </c>
      <c r="G10" s="61">
        <v>4060</v>
      </c>
      <c r="H10" s="61">
        <f t="shared" si="0"/>
        <v>11.936400000000001</v>
      </c>
      <c r="I10" s="61"/>
    </row>
    <row r="11" spans="4:9" x14ac:dyDescent="0.3">
      <c r="D11" s="61"/>
      <c r="E11" s="61">
        <v>2</v>
      </c>
      <c r="F11" s="61">
        <v>1470</v>
      </c>
      <c r="G11" s="61">
        <v>2340</v>
      </c>
      <c r="H11" s="61">
        <f t="shared" si="0"/>
        <v>6.8795999999999999</v>
      </c>
      <c r="I11" s="61"/>
    </row>
    <row r="12" spans="4:9" x14ac:dyDescent="0.3">
      <c r="D12" s="61"/>
      <c r="E12" s="61">
        <v>2</v>
      </c>
      <c r="F12" s="61">
        <v>1470</v>
      </c>
      <c r="G12" s="61">
        <v>1540</v>
      </c>
      <c r="H12" s="61">
        <f t="shared" si="0"/>
        <v>4.5275999999999996</v>
      </c>
      <c r="I12" s="61"/>
    </row>
    <row r="13" spans="4:9" x14ac:dyDescent="0.3">
      <c r="D13" s="61"/>
      <c r="E13" s="61">
        <v>2</v>
      </c>
      <c r="F13" s="61">
        <v>1470</v>
      </c>
      <c r="G13" s="61">
        <v>760</v>
      </c>
      <c r="H13" s="61">
        <f t="shared" si="0"/>
        <v>2.2343999999999999</v>
      </c>
      <c r="I13" s="61"/>
    </row>
    <row r="14" spans="4:9" x14ac:dyDescent="0.3">
      <c r="D14" s="61"/>
      <c r="E14" s="61">
        <v>2</v>
      </c>
      <c r="F14" s="61">
        <v>1470</v>
      </c>
      <c r="G14" s="61">
        <v>270</v>
      </c>
      <c r="H14" s="61">
        <f t="shared" si="0"/>
        <v>0.79379999999999995</v>
      </c>
      <c r="I14" s="61"/>
    </row>
    <row r="15" spans="4:9" x14ac:dyDescent="0.3">
      <c r="D15" s="61"/>
      <c r="E15" s="61">
        <v>1</v>
      </c>
      <c r="F15" s="61">
        <v>1470</v>
      </c>
      <c r="G15" s="61">
        <v>790</v>
      </c>
      <c r="H15" s="61">
        <f t="shared" si="0"/>
        <v>1.1613</v>
      </c>
      <c r="I15" s="61"/>
    </row>
    <row r="16" spans="4:9" x14ac:dyDescent="0.3">
      <c r="D16" s="61"/>
      <c r="E16" s="61">
        <v>1</v>
      </c>
      <c r="F16" s="61">
        <v>770</v>
      </c>
      <c r="G16" s="61">
        <v>3340</v>
      </c>
      <c r="H16" s="61">
        <f t="shared" si="0"/>
        <v>2.5718000000000001</v>
      </c>
      <c r="I16" s="61"/>
    </row>
    <row r="17" spans="4:9" x14ac:dyDescent="0.3">
      <c r="D17" s="61"/>
      <c r="E17" s="61">
        <v>1</v>
      </c>
      <c r="F17" s="61">
        <v>770</v>
      </c>
      <c r="G17" s="61">
        <v>2620</v>
      </c>
      <c r="H17" s="61">
        <f t="shared" si="0"/>
        <v>2.0173999999999999</v>
      </c>
      <c r="I17" s="61"/>
    </row>
    <row r="18" spans="4:9" x14ac:dyDescent="0.3">
      <c r="D18" s="61"/>
      <c r="E18" s="61">
        <v>1</v>
      </c>
      <c r="F18" s="61">
        <v>770</v>
      </c>
      <c r="G18" s="61">
        <v>3370</v>
      </c>
      <c r="H18" s="61">
        <f t="shared" si="0"/>
        <v>2.5949</v>
      </c>
      <c r="I18" s="61"/>
    </row>
    <row r="19" spans="4:9" x14ac:dyDescent="0.3">
      <c r="D19" s="61"/>
      <c r="E19" s="61">
        <v>2</v>
      </c>
      <c r="F19" s="61">
        <v>1600</v>
      </c>
      <c r="G19" s="61">
        <v>2800</v>
      </c>
      <c r="H19" s="61">
        <f t="shared" si="0"/>
        <v>8.9600000000000009</v>
      </c>
      <c r="I19" s="61"/>
    </row>
    <row r="20" spans="4:9" x14ac:dyDescent="0.3">
      <c r="D20" s="61"/>
      <c r="E20" s="61">
        <v>2</v>
      </c>
      <c r="F20" s="61">
        <v>2000</v>
      </c>
      <c r="G20" s="61">
        <v>3200</v>
      </c>
      <c r="H20" s="61">
        <f t="shared" si="0"/>
        <v>12.8</v>
      </c>
      <c r="I20" s="61"/>
    </row>
    <row r="21" spans="4:9" x14ac:dyDescent="0.3">
      <c r="D21" s="61"/>
      <c r="E21" s="61"/>
      <c r="F21" s="61"/>
      <c r="G21" s="61"/>
      <c r="H21" s="61">
        <f t="shared" ref="H21:H22" si="1">E21*F21*G21/10000</f>
        <v>0</v>
      </c>
      <c r="I21" s="61"/>
    </row>
    <row r="22" spans="4:9" x14ac:dyDescent="0.3">
      <c r="D22" s="61"/>
      <c r="E22" s="61"/>
      <c r="F22" s="61"/>
      <c r="G22" s="61"/>
      <c r="H22" s="61">
        <f t="shared" si="1"/>
        <v>0</v>
      </c>
      <c r="I22" s="61"/>
    </row>
    <row r="23" spans="4:9" x14ac:dyDescent="0.3">
      <c r="D23" s="187" t="s">
        <v>95</v>
      </c>
      <c r="E23" s="188"/>
      <c r="F23" s="188"/>
      <c r="G23" s="189"/>
      <c r="H23" s="63">
        <f>SUM(H4:H22)</f>
        <v>115.01259999999998</v>
      </c>
    </row>
  </sheetData>
  <mergeCells count="2">
    <mergeCell ref="E2:H2"/>
    <mergeCell ref="D23:G2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4B8DCC0-EF68-4A1F-800B-2DA1271C1F6F}"/>
</file>

<file path=customXml/itemProps2.xml><?xml version="1.0" encoding="utf-8"?>
<ds:datastoreItem xmlns:ds="http://schemas.openxmlformats.org/officeDocument/2006/customXml" ds:itemID="{8114C74B-B968-4263-93CB-0057D7A6EB72}"/>
</file>

<file path=customXml/itemProps3.xml><?xml version="1.0" encoding="utf-8"?>
<ds:datastoreItem xmlns:ds="http://schemas.openxmlformats.org/officeDocument/2006/customXml" ds:itemID="{87A9D329-C138-4B3E-9EE8-897C18666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GRADES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2025-11-13T11:39:32Z</cp:lastPrinted>
  <dcterms:created xsi:type="dcterms:W3CDTF">2022-01-02T19:12:46Z</dcterms:created>
  <dcterms:modified xsi:type="dcterms:W3CDTF">2025-11-13T11:43:44Z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