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7-Junho-25\"/>
    </mc:Choice>
  </mc:AlternateContent>
  <bookViews>
    <workbookView xWindow="0" yWindow="0" windowWidth="20490" windowHeight="7050"/>
  </bookViews>
  <sheets>
    <sheet name="São Carlos" sheetId="1" r:id="rId1"/>
  </sheets>
  <definedNames>
    <definedName name="_xlnm.Print_Area" localSheetId="0">'São Carlos'!$A$1:$O$102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9" i="1" l="1"/>
  <c r="J69" i="1"/>
  <c r="K69" i="1" s="1"/>
  <c r="G69" i="1"/>
  <c r="G68" i="1"/>
  <c r="I68" i="1"/>
  <c r="J68" i="1"/>
  <c r="K68" i="1" s="1"/>
  <c r="L68" i="1" s="1"/>
  <c r="M68" i="1" s="1"/>
  <c r="I67" i="1"/>
  <c r="J67" i="1" s="1"/>
  <c r="I66" i="1"/>
  <c r="J66" i="1" s="1"/>
  <c r="I57" i="1"/>
  <c r="J57" i="1" s="1"/>
  <c r="I58" i="1"/>
  <c r="J58" i="1" s="1"/>
  <c r="K58" i="1" s="1"/>
  <c r="I46" i="1"/>
  <c r="J46" i="1" s="1"/>
  <c r="L69" i="1" l="1"/>
  <c r="M69" i="1" s="1"/>
  <c r="K67" i="1"/>
  <c r="L67" i="1" s="1"/>
  <c r="M67" i="1" s="1"/>
  <c r="K66" i="1"/>
  <c r="L66" i="1" s="1"/>
  <c r="M66" i="1" s="1"/>
  <c r="K57" i="1"/>
  <c r="L57" i="1" s="1"/>
  <c r="M57" i="1" s="1"/>
  <c r="L58" i="1"/>
  <c r="M58" i="1" s="1"/>
  <c r="K46" i="1"/>
  <c r="L46" i="1" s="1"/>
  <c r="M46" i="1" s="1"/>
  <c r="I45" i="1" l="1"/>
  <c r="J45" i="1" s="1"/>
  <c r="I44" i="1"/>
  <c r="J44" i="1" s="1"/>
  <c r="I43" i="1"/>
  <c r="J43" i="1" s="1"/>
  <c r="I41" i="1"/>
  <c r="J41" i="1" s="1"/>
  <c r="I42" i="1"/>
  <c r="J42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K38" i="1" l="1"/>
  <c r="L38" i="1" s="1"/>
  <c r="M38" i="1" s="1"/>
  <c r="K45" i="1"/>
  <c r="L45" i="1" s="1"/>
  <c r="M45" i="1" s="1"/>
  <c r="K44" i="1"/>
  <c r="L44" i="1" s="1"/>
  <c r="M44" i="1" s="1"/>
  <c r="K43" i="1"/>
  <c r="L43" i="1" s="1"/>
  <c r="M43" i="1" s="1"/>
  <c r="K41" i="1"/>
  <c r="L41" i="1" s="1"/>
  <c r="M41" i="1" s="1"/>
  <c r="K42" i="1"/>
  <c r="L42" i="1" s="1"/>
  <c r="M42" i="1" s="1"/>
  <c r="K40" i="1"/>
  <c r="L40" i="1" s="1"/>
  <c r="M40" i="1" s="1"/>
  <c r="K39" i="1"/>
  <c r="L39" i="1" s="1"/>
  <c r="M39" i="1" s="1"/>
  <c r="K34" i="1"/>
  <c r="L34" i="1" s="1"/>
  <c r="M34" i="1" s="1"/>
  <c r="K36" i="1"/>
  <c r="L36" i="1" s="1"/>
  <c r="M36" i="1" s="1"/>
  <c r="K35" i="1"/>
  <c r="L35" i="1" s="1"/>
  <c r="M35" i="1" s="1"/>
  <c r="K37" i="1"/>
  <c r="L37" i="1" s="1"/>
  <c r="M37" i="1" s="1"/>
  <c r="K32" i="1"/>
  <c r="L32" i="1" s="1"/>
  <c r="M32" i="1" s="1"/>
  <c r="K33" i="1"/>
  <c r="L33" i="1" s="1"/>
  <c r="M33" i="1" s="1"/>
  <c r="N33" i="1" s="1"/>
  <c r="N40" i="1" l="1"/>
  <c r="N36" i="1"/>
  <c r="N43" i="1"/>
  <c r="N39" i="1"/>
  <c r="N41" i="1"/>
  <c r="N34" i="1"/>
  <c r="N42" i="1"/>
  <c r="N46" i="1"/>
  <c r="N45" i="1"/>
  <c r="N37" i="1"/>
  <c r="N44" i="1"/>
  <c r="N35" i="1"/>
  <c r="N38" i="1"/>
  <c r="I74" i="1" l="1"/>
  <c r="J74" i="1" s="1"/>
  <c r="I73" i="1"/>
  <c r="J73" i="1" s="1"/>
  <c r="I72" i="1"/>
  <c r="J72" i="1" s="1"/>
  <c r="K72" i="1" l="1"/>
  <c r="L72" i="1" s="1"/>
  <c r="M72" i="1" s="1"/>
  <c r="K73" i="1"/>
  <c r="L73" i="1" s="1"/>
  <c r="M73" i="1" s="1"/>
  <c r="K74" i="1"/>
  <c r="L74" i="1" s="1"/>
  <c r="M74" i="1" s="1"/>
  <c r="I71" i="1"/>
  <c r="J71" i="1" s="1"/>
  <c r="I62" i="1"/>
  <c r="J62" i="1" s="1"/>
  <c r="I64" i="1"/>
  <c r="J64" i="1" s="1"/>
  <c r="I63" i="1"/>
  <c r="J63" i="1" s="1"/>
  <c r="I60" i="1"/>
  <c r="J60" i="1" s="1"/>
  <c r="I59" i="1"/>
  <c r="J59" i="1" s="1"/>
  <c r="K71" i="1" l="1"/>
  <c r="L71" i="1" s="1"/>
  <c r="M71" i="1" s="1"/>
  <c r="K62" i="1"/>
  <c r="L62" i="1" s="1"/>
  <c r="M62" i="1" s="1"/>
  <c r="K63" i="1"/>
  <c r="L63" i="1" s="1"/>
  <c r="M63" i="1" s="1"/>
  <c r="K64" i="1"/>
  <c r="L64" i="1" s="1"/>
  <c r="M64" i="1" s="1"/>
  <c r="K60" i="1"/>
  <c r="L60" i="1" s="1"/>
  <c r="M60" i="1" s="1"/>
  <c r="K59" i="1"/>
  <c r="L59" i="1" s="1"/>
  <c r="M59" i="1" s="1"/>
  <c r="I55" i="1" l="1"/>
  <c r="J55" i="1" s="1"/>
  <c r="I53" i="1"/>
  <c r="J53" i="1" s="1"/>
  <c r="I54" i="1"/>
  <c r="J54" i="1" s="1"/>
  <c r="K54" i="1" s="1"/>
  <c r="K55" i="1" l="1"/>
  <c r="L55" i="1" s="1"/>
  <c r="M55" i="1" s="1"/>
  <c r="K53" i="1"/>
  <c r="L53" i="1" s="1"/>
  <c r="M53" i="1" s="1"/>
  <c r="L54" i="1"/>
  <c r="M54" i="1" s="1"/>
  <c r="M52" i="1" l="1"/>
  <c r="M31" i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66" i="1" l="1"/>
  <c r="N69" i="1"/>
  <c r="N68" i="1"/>
  <c r="N67" i="1"/>
  <c r="N58" i="1"/>
  <c r="N57" i="1"/>
  <c r="N74" i="1"/>
  <c r="N72" i="1"/>
  <c r="N73" i="1"/>
  <c r="N71" i="1"/>
  <c r="N62" i="1"/>
  <c r="N60" i="1"/>
  <c r="N59" i="1"/>
  <c r="N63" i="1"/>
  <c r="N64" i="1"/>
  <c r="N53" i="1"/>
  <c r="N55" i="1"/>
  <c r="N54" i="1"/>
  <c r="N19" i="1"/>
  <c r="N18" i="1"/>
  <c r="N23" i="1"/>
  <c r="N21" i="1"/>
  <c r="N26" i="1"/>
  <c r="N20" i="1"/>
  <c r="N27" i="1"/>
  <c r="N25" i="1"/>
  <c r="N24" i="1"/>
  <c r="N28" i="1"/>
  <c r="N22" i="1"/>
  <c r="N17" i="1"/>
  <c r="J77" i="1"/>
  <c r="N16" i="1" l="1"/>
</calcChain>
</file>

<file path=xl/sharedStrings.xml><?xml version="1.0" encoding="utf-8"?>
<sst xmlns="http://schemas.openxmlformats.org/spreadsheetml/2006/main" count="329" uniqueCount="161">
  <si>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</si>
  <si>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</si>
  <si>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</si>
  <si>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</si>
  <si>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</si>
  <si>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</si>
  <si>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</si>
  <si>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</si>
  <si>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</si>
  <si>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</si>
  <si>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</si>
  <si>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</si>
  <si>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</si>
  <si>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</si>
  <si>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</si>
  <si>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</si>
  <si>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</si>
  <si>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</si>
  <si>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</si>
  <si>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</si>
  <si>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</si>
  <si>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</si>
  <si>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</si>
  <si>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</si>
  <si>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</si>
  <si>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</si>
  <si>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</si>
  <si>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</si>
  <si>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</si>
  <si>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</si>
  <si>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</si>
  <si>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</si>
  <si>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</si>
  <si>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</si>
  <si>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</si>
  <si>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</si>
  <si>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</si>
  <si>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</si>
  <si>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</si>
  <si>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</si>
  <si>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</si>
  <si>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</si>
  <si>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</si>
  <si>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</si>
  <si>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</si>
  <si>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</si>
  <si>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</si>
  <si>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</si>
  <si>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</si>
  <si>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</si>
  <si>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</si>
  <si>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</si>
  <si>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</si>
  <si>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</si>
  <si>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</si>
  <si>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</si>
  <si>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</si>
  <si>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</si>
  <si>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</si>
  <si>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</si>
  <si>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</si>
  <si>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</si>
  <si>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</si>
  <si>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</si>
  <si>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</si>
  <si>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</si>
  <si>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</si>
  <si>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</si>
  <si>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</si>
  <si>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</si>
  <si>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</si>
  <si>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</si>
  <si>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</si>
  <si>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</si>
  <si>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</si>
  <si>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</si>
  <si>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</si>
  <si>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</si>
  <si>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</si>
  <si>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</si>
  <si>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</si>
  <si>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</si>
  <si>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2.5</t>
  </si>
  <si>
    <t>2.11</t>
  </si>
  <si>
    <t>2.15</t>
  </si>
  <si>
    <t>2.10</t>
  </si>
  <si>
    <t>2.1</t>
  </si>
  <si>
    <t>2.3</t>
  </si>
  <si>
    <t>2.7</t>
  </si>
  <si>
    <t>2.9</t>
  </si>
  <si>
    <t>2.12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</si>
  <si>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</si>
  <si>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</si>
  <si>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</si>
  <si>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2.6</t>
  </si>
  <si>
    <t>2.4</t>
  </si>
  <si>
    <t>2.2</t>
  </si>
  <si>
    <t>2.8</t>
  </si>
  <si>
    <t>2.13</t>
  </si>
  <si>
    <t>2.14</t>
  </si>
  <si>
    <t>M</t>
  </si>
  <si>
    <t>3.5</t>
  </si>
  <si>
    <t>m²</t>
  </si>
  <si>
    <t>FDE</t>
  </si>
  <si>
    <t>3.7</t>
  </si>
  <si>
    <t>RUFO EM CHAPA DE AÇO GALVANIZADO NÚMERO 24, CORTE DE 25 CM, INCLUSO TRANSPORTE VERTICAL. AF_07/2019</t>
  </si>
  <si>
    <t>3.8</t>
  </si>
  <si>
    <t>TELHADISTA COM ENCARGOS COMPLEMENTARES</t>
  </si>
  <si>
    <t>H</t>
  </si>
  <si>
    <t>3.9</t>
  </si>
  <si>
    <t>SERVENTE COM ENCARGOS COMPLEMENTARES</t>
  </si>
  <si>
    <t>3.6</t>
  </si>
  <si>
    <t>REMOÇÃO CALHAS E RUFOS, DE FORMA MANUAL, SEM REAPROVEITAMENTO. AF_09/2023</t>
  </si>
  <si>
    <t>CALHA EM CHAPA DE AÇO GALVANIZADO NÚMERO 24, DESENVOLVIMENTO DE 100 CM, INCLUSO TRANSPORTE VERTICAL. AF_07/2019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</si>
  <si>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</si>
  <si>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</si>
  <si>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</si>
  <si>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</si>
  <si>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</si>
  <si>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</si>
  <si>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</si>
  <si>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</si>
  <si>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</si>
  <si>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 xml:space="preserve"> 88489 </t>
  </si>
  <si>
    <t>PINTURA LÁTEX ACRÍLICA PREMIUM, APLICAÇÃO MANUAL EM PAREDES, DUAS DEMÃOS. AF_04/2023</t>
  </si>
  <si>
    <t>PAREDE COM PLACAS DE GESSO ACARTONADO (DRYWALL), PARA USO INTERNO COM DUAS FACES DUPLAS E ESTRUTURA METÁLICA COM GUIAS DUPLAS, SEM VÃOS. AF_06/2017</t>
  </si>
  <si>
    <t>APLICAÇÃO MANUAL DE MASSA ACRÍLICA EM PAREDES EXTERNAS DE CASAS, DUAS DEMÃOS. AF_05/2017</t>
  </si>
  <si>
    <t>REMOÇÃO DE VIDRO TEMPERADO FIXADO EM PERFIL U. AF_01/202</t>
  </si>
  <si>
    <t>Fechamento parede Engenharia MEC</t>
  </si>
  <si>
    <t>LUVA PVC SOLDAVEL, 25 MM, PARA AGUA FRIA PREDIAL</t>
  </si>
  <si>
    <t>LUVA PVC SOLDAVEL, 32 MM, PARA AGUA FRIA PREDIAL</t>
  </si>
  <si>
    <t>LUVA PVC SOLDAVEL, 50 MM, PARA AGUA FRIA PREDIAL</t>
  </si>
  <si>
    <t>LUVA PVC SOLDAVEL, 60 MM, PARA AGUA FRIA PREDIAL</t>
  </si>
  <si>
    <t>LUVA PVC SOLDAVEL, 75 MM, PARA AGUA FRIA PREDIAL</t>
  </si>
  <si>
    <t>LUVA PVC SOLDAVEL, 85 MM, PARA AGUA FRIA PREDIAL</t>
  </si>
  <si>
    <t>LUVA PVC SOLDAVEL, 110 MM, PARA AGUA FRIA PREDIAL</t>
  </si>
  <si>
    <t>LUVA SOLDAVEL COM BUCHA DE LATAO, PVC, 25 MM X 1/2"</t>
  </si>
  <si>
    <t>LUVA DE CORRER PARA TUBO SOLDAVEL, PVC, 25 MM, PARA AGUA FRIA PREDIAL</t>
  </si>
  <si>
    <t>LUVA DE CORRER PARA TUBO SOLDAVEL, PVC, 50 MM, PARA AGUA FRIA PREDIAL</t>
  </si>
  <si>
    <t>LUVA DE CORRER PARA TUBO SOLDAVEL, PVC, 32 MM, PARA AGUA FRIA PREDIAL</t>
  </si>
  <si>
    <t>LUVA DE CORRER PARA TUBO SOLDAVEL, PVC, 60 MM, PARA AGUA FRIA PREDIAL</t>
  </si>
  <si>
    <t>LUVA DE CORRER PVC PBA, JE, DN 75 / DE 85 MM, PARA REDE DE AGUA</t>
  </si>
  <si>
    <t>TE SOLDAVEL, PVC, 90 GRAUS, 32 MM, PARA AGUA FRIA PREDIAL (NBR 5648)</t>
  </si>
  <si>
    <t>8.01.02</t>
  </si>
  <si>
    <t>ALUGUEL CAÇAMBA 4M3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</si>
  <si>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</t>
    </r>
    <r>
      <rPr>
        <b/>
        <sz val="8"/>
        <color rgb="FFFF0000"/>
        <rFont val="Arial"/>
        <family val="2"/>
      </rPr>
      <t>PERIODO DE 01/06/2025 a 13/06/2025</t>
    </r>
  </si>
  <si>
    <t>Manutenção NUCLEO EXTENSÃO- Calhas</t>
  </si>
  <si>
    <t>TROCA DE CALHAS SENDO SENDO O TOTAL DE 9 CALHAS (39,50 METROS LINEARES)</t>
  </si>
  <si>
    <t>PINTURA DOS RUFOS PARTE SUPERIOR COM GALVIT 100%</t>
  </si>
  <si>
    <t>VEDAÇÃO NOS RUFOS</t>
  </si>
  <si>
    <t>MANUTENÇÃO GERAL NO TELHADO</t>
  </si>
  <si>
    <t>Manutenção SETOR EDUARDO NEVES - Calhas</t>
  </si>
  <si>
    <t>INSTALAÇÃO DE RUFOS DE ENCOSTO SOBRE O TELHADO BRASILIT</t>
  </si>
  <si>
    <t>INSTALAÇÃO DE RUFOS LATERAIS</t>
  </si>
  <si>
    <t>VEDAÇÃO NOS RUFOS E PARAFUSOS TELHADO</t>
  </si>
  <si>
    <t>PORTA DE MADEIRA PARA VERNIZ, SEMI-OCA (LEVE OU MÉDIA), 90X210CM, ESPESSURA DE 3,5CM, INCLUSO DOBRADIÇAS - FORNECIMENTO E INSTALAÇÃO. AF_12/2019</t>
  </si>
  <si>
    <t>Instalação de portas com visor - Gerontologia</t>
  </si>
  <si>
    <t>MARCENEIRO COM ENCARGOS COMPLEMENTARES</t>
  </si>
  <si>
    <t xml:space="preserve">INSTALAÇÃO DE VIDRO LISO INCOLOR, E = 3 MM, EM ESQUADRIA DE ALUMÍNIO OU PVC, FIXADO COM BAGUETE. AF_01/2021_PS </t>
  </si>
  <si>
    <t>REMOÇÃO DE PORTAS, DE FORMA MANUAL, SEM REAPROVEITAMENTO. AF_09/2023</t>
  </si>
  <si>
    <t>MARCENEIRO PARA CORTE DAS PORTAS E ENCABEÇAMENTO - VISORES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</si>
</sst>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2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color rgb="FFFF0000"/>
      <name val="Calibri"/>
      <family val="2"/>
      <scheme val="minor"/>
    </font>
    <font>
      <sz val="8"/>
      <color rgb="FF000000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1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5" fillId="4" borderId="1" applyProtection="0"/>
    <xf numFmtId="0" fontId="16" fillId="0" borderId="0" applyBorder="0" applyProtection="0"/>
    <xf numFmtId="0" fontId="21" fillId="0" borderId="0"/>
    <xf numFmtId="164" fontId="21" fillId="0" borderId="0" applyBorder="0" applyProtection="0"/>
    <xf numFmtId="0" fontId="22" fillId="0" borderId="0" applyBorder="0" applyProtection="0"/>
    <xf numFmtId="0" fontId="15" fillId="4" borderId="1" applyProtection="0"/>
    <xf numFmtId="0" fontId="23" fillId="0" borderId="0"/>
  </cellStyleXfs>
  <cellXfs count="161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12" fillId="2" borderId="25" xfId="1" applyFont="1" applyBorder="1" applyAlignment="1">
      <alignment horizontal="center" vertical="center"/>
    </xf>
    <xf numFmtId="0" fontId="17" fillId="2" borderId="27" xfId="1" applyFont="1" applyBorder="1" applyAlignment="1">
      <alignment horizontal="center" vertical="center"/>
    </xf>
    <xf numFmtId="44" fontId="17" fillId="2" borderId="27" xfId="3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4" xfId="2" applyFont="1" applyFill="1" applyBorder="1" applyAlignment="1" applyProtection="1">
      <alignment horizontal="left" vertical="center" wrapText="1"/>
    </xf>
    <xf numFmtId="0" fontId="12" fillId="0" borderId="24" xfId="2" applyFont="1" applyBorder="1" applyAlignment="1" applyProtection="1">
      <alignment horizontal="center" vertical="center"/>
    </xf>
    <xf numFmtId="4" fontId="12" fillId="0" borderId="24" xfId="2" applyNumberFormat="1" applyFont="1" applyBorder="1" applyAlignment="1" applyProtection="1">
      <alignment horizontal="center" vertical="center"/>
    </xf>
    <xf numFmtId="0" fontId="18" fillId="2" borderId="24" xfId="1" applyFont="1" applyBorder="1"/>
    <xf numFmtId="0" fontId="17" fillId="0" borderId="39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4" fillId="0" borderId="0" xfId="0" applyFont="1"/>
    <xf numFmtId="4" fontId="12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24" xfId="0" applyFont="1" applyBorder="1" applyAlignment="1">
      <alignment vertical="center"/>
    </xf>
    <xf numFmtId="0" fontId="24" fillId="0" borderId="0" xfId="0" applyFont="1"/>
    <xf numFmtId="43" fontId="14" fillId="0" borderId="0" xfId="0" applyNumberFormat="1" applyFont="1"/>
    <xf numFmtId="0" fontId="9" fillId="0" borderId="24" xfId="0" applyFont="1" applyFill="1" applyBorder="1" applyAlignment="1">
      <alignment horizontal="center" vertical="center" wrapText="1"/>
    </xf>
    <xf numFmtId="4" fontId="12" fillId="0" borderId="16" xfId="2" applyNumberFormat="1" applyFont="1" applyFill="1" applyBorder="1" applyAlignment="1" applyProtection="1">
      <alignment horizontal="center" vertical="center"/>
    </xf>
    <xf numFmtId="0" fontId="20" fillId="5" borderId="24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left" vertical="center" wrapText="1"/>
    </xf>
    <xf numFmtId="4" fontId="8" fillId="5" borderId="24" xfId="0" applyNumberFormat="1" applyFont="1" applyFill="1" applyBorder="1" applyAlignment="1">
      <alignment horizontal="center" vertical="center" wrapText="1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7" fillId="2" borderId="24" xfId="1" applyFont="1" applyBorder="1"/>
    <xf numFmtId="0" fontId="9" fillId="0" borderId="24" xfId="0" applyFont="1" applyFill="1" applyBorder="1"/>
    <xf numFmtId="0" fontId="25" fillId="0" borderId="24" xfId="0" applyFont="1" applyFill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left" vertical="top" wrapText="1"/>
    </xf>
    <xf numFmtId="0" fontId="5" fillId="0" borderId="24" xfId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left" vertical="center" wrapText="1"/>
    </xf>
    <xf numFmtId="0" fontId="12" fillId="0" borderId="0" xfId="0" applyFont="1" applyFill="1"/>
    <xf numFmtId="0" fontId="9" fillId="0" borderId="24" xfId="0" applyFont="1" applyFill="1" applyBorder="1" applyAlignment="1">
      <alignment horizontal="center" vertical="center"/>
    </xf>
    <xf numFmtId="0" fontId="9" fillId="0" borderId="24" xfId="2" applyFont="1" applyFill="1" applyBorder="1" applyAlignment="1" applyProtection="1">
      <alignment horizontal="center"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4" fontId="10" fillId="0" borderId="24" xfId="2" applyNumberFormat="1" applyFont="1" applyFill="1" applyBorder="1" applyAlignment="1" applyProtection="1">
      <alignment horizontal="center" vertical="center"/>
    </xf>
    <xf numFmtId="4" fontId="10" fillId="0" borderId="15" xfId="0" applyNumberFormat="1" applyFont="1" applyFill="1" applyBorder="1" applyAlignment="1">
      <alignment horizontal="center" vertical="center" wrapText="1"/>
    </xf>
    <xf numFmtId="4" fontId="10" fillId="0" borderId="24" xfId="0" applyNumberFormat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28" xfId="1" applyFont="1" applyBorder="1" applyAlignment="1">
      <alignment horizontal="center" vertical="center" textRotation="90"/>
    </xf>
    <xf numFmtId="0" fontId="17" fillId="2" borderId="26" xfId="1" applyFont="1" applyBorder="1" applyAlignment="1">
      <alignment horizontal="center" vertical="center"/>
    </xf>
    <xf numFmtId="0" fontId="17" fillId="2" borderId="18" xfId="1" applyFont="1" applyBorder="1" applyAlignment="1">
      <alignment horizontal="center" vertical="center"/>
    </xf>
    <xf numFmtId="0" fontId="17" fillId="2" borderId="44" xfId="1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43" fontId="19" fillId="0" borderId="11" xfId="0" applyNumberFormat="1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11">
    <cellStyle name="Excel Built-in Explanatory Text" xfId="5"/>
    <cellStyle name="Excel Built-in Output" xfId="4"/>
    <cellStyle name="Excel Built-in Output 2" xfId="9"/>
    <cellStyle name="Hiperlink 2" xfId="8"/>
    <cellStyle name="Moeda" xfId="3" builtinId="4"/>
    <cellStyle name="Moeda 2" xfId="7"/>
    <cellStyle name="Normal" xfId="0" builtinId="0"/>
    <cellStyle name="Normal 2" xfId="6"/>
    <cellStyle name="Normal 3" xfId="1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/Users/anivaldo/AppData/Roaming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tabSelected="1" topLeftCell="A66" zoomScale="90" zoomScaleNormal="90" workbookViewId="0">
      <selection activeCell="O96" sqref="A1:O102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style="27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6" max="16" width="12.85546875" customWidth="1"/>
  </cols>
  <sheetData>
    <row r="1" spans="1:15" ht="17.100000000000001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4"/>
      <c r="J1" s="151" t="s">
        <v>1</v>
      </c>
      <c r="K1" s="151"/>
      <c r="L1" s="151"/>
      <c r="M1" s="151"/>
      <c r="N1" s="151"/>
      <c r="O1" s="152"/>
    </row>
    <row r="2" spans="1:15" ht="17.100000000000001" customHeight="1" x14ac:dyDescent="0.25">
      <c r="A2" s="145"/>
      <c r="B2" s="146"/>
      <c r="C2" s="146"/>
      <c r="D2" s="146"/>
      <c r="E2" s="146"/>
      <c r="F2" s="146"/>
      <c r="G2" s="146"/>
      <c r="H2" s="146"/>
      <c r="I2" s="147"/>
      <c r="J2" s="153" t="s">
        <v>2</v>
      </c>
      <c r="K2" s="153"/>
      <c r="L2" s="153"/>
      <c r="M2" s="153"/>
      <c r="N2" s="153"/>
      <c r="O2" s="154"/>
    </row>
    <row r="3" spans="1:15" ht="17.100000000000001" customHeight="1" x14ac:dyDescent="0.25">
      <c r="A3" s="145"/>
      <c r="B3" s="146"/>
      <c r="C3" s="146"/>
      <c r="D3" s="146"/>
      <c r="E3" s="146"/>
      <c r="F3" s="146"/>
      <c r="G3" s="146"/>
      <c r="H3" s="146"/>
      <c r="I3" s="147"/>
      <c r="J3" s="153" t="s">
        <v>3</v>
      </c>
      <c r="K3" s="153"/>
      <c r="L3" s="153"/>
      <c r="M3" s="153" t="s">
        <v>4</v>
      </c>
      <c r="N3" s="153"/>
      <c r="O3" s="1"/>
    </row>
    <row r="4" spans="1:15" ht="17.100000000000001" customHeight="1" x14ac:dyDescent="0.25">
      <c r="A4" s="145"/>
      <c r="B4" s="146"/>
      <c r="C4" s="146"/>
      <c r="D4" s="146"/>
      <c r="E4" s="146"/>
      <c r="F4" s="146"/>
      <c r="G4" s="146"/>
      <c r="H4" s="146"/>
      <c r="I4" s="147"/>
      <c r="J4" s="153" t="s">
        <v>5</v>
      </c>
      <c r="K4" s="153"/>
      <c r="L4" s="153"/>
      <c r="M4" s="153" t="s">
        <v>6</v>
      </c>
      <c r="N4" s="153"/>
      <c r="O4" s="2"/>
    </row>
    <row r="5" spans="1:15" ht="17.100000000000001" customHeight="1" x14ac:dyDescent="0.25">
      <c r="A5" s="145"/>
      <c r="B5" s="146"/>
      <c r="C5" s="146"/>
      <c r="D5" s="146"/>
      <c r="E5" s="146"/>
      <c r="F5" s="146"/>
      <c r="G5" s="146"/>
      <c r="H5" s="146"/>
      <c r="I5" s="147"/>
      <c r="J5" s="153" t="s">
        <v>7</v>
      </c>
      <c r="K5" s="153"/>
      <c r="L5" s="153"/>
      <c r="M5" s="153" t="s">
        <v>8</v>
      </c>
      <c r="N5" s="153"/>
      <c r="O5" s="1"/>
    </row>
    <row r="6" spans="1:15" ht="17.100000000000001" customHeight="1" x14ac:dyDescent="0.25">
      <c r="A6" s="148"/>
      <c r="B6" s="149"/>
      <c r="C6" s="149"/>
      <c r="D6" s="149"/>
      <c r="E6" s="149"/>
      <c r="F6" s="149"/>
      <c r="G6" s="149"/>
      <c r="H6" s="149"/>
      <c r="I6" s="150"/>
      <c r="J6" s="153" t="s">
        <v>9</v>
      </c>
      <c r="K6" s="153"/>
      <c r="L6" s="153"/>
      <c r="M6" s="153" t="s">
        <v>10</v>
      </c>
      <c r="N6" s="153"/>
      <c r="O6" s="1"/>
    </row>
    <row r="7" spans="1:15" ht="17.100000000000001" customHeight="1" x14ac:dyDescent="0.25">
      <c r="A7" s="155" t="s">
        <v>11</v>
      </c>
      <c r="B7" s="156"/>
      <c r="C7" s="156"/>
      <c r="D7" s="156"/>
      <c r="E7" s="156"/>
      <c r="F7" s="156"/>
      <c r="G7" s="156"/>
      <c r="H7" s="156"/>
      <c r="I7" s="157"/>
      <c r="J7" s="158" t="s">
        <v>51</v>
      </c>
      <c r="K7" s="159"/>
      <c r="L7" s="159"/>
      <c r="M7" s="159"/>
      <c r="N7" s="160"/>
      <c r="O7" s="80" t="s">
        <v>12</v>
      </c>
    </row>
    <row r="8" spans="1:15" ht="17.100000000000001" customHeight="1" x14ac:dyDescent="0.25">
      <c r="A8" s="115" t="s">
        <v>145</v>
      </c>
      <c r="B8" s="92"/>
      <c r="C8" s="92"/>
      <c r="D8" s="92"/>
      <c r="E8" s="92"/>
      <c r="F8" s="92"/>
      <c r="G8" s="92"/>
      <c r="H8" s="92"/>
      <c r="I8" s="93"/>
      <c r="J8" s="158" t="s">
        <v>13</v>
      </c>
      <c r="K8" s="159"/>
      <c r="L8" s="159"/>
      <c r="M8" s="159"/>
      <c r="N8" s="160"/>
      <c r="O8" s="80"/>
    </row>
    <row r="9" spans="1:15" ht="17.100000000000001" customHeight="1" x14ac:dyDescent="0.25">
      <c r="A9" s="94"/>
      <c r="B9" s="91"/>
      <c r="C9" s="91"/>
      <c r="D9" s="91"/>
      <c r="E9" s="91"/>
      <c r="F9" s="91"/>
      <c r="G9" s="91"/>
      <c r="H9" s="91"/>
      <c r="I9" s="95"/>
      <c r="J9" s="158" t="s">
        <v>14</v>
      </c>
      <c r="K9" s="159"/>
      <c r="L9" s="159"/>
      <c r="M9" s="159"/>
      <c r="N9" s="160"/>
      <c r="O9" s="80"/>
    </row>
    <row r="10" spans="1:15" ht="17.100000000000001" customHeight="1" x14ac:dyDescent="0.25">
      <c r="A10" s="94"/>
      <c r="B10" s="91"/>
      <c r="C10" s="91"/>
      <c r="D10" s="91"/>
      <c r="E10" s="91"/>
      <c r="F10" s="91"/>
      <c r="G10" s="91"/>
      <c r="H10" s="91"/>
      <c r="I10" s="95"/>
      <c r="J10" s="158" t="s">
        <v>15</v>
      </c>
      <c r="K10" s="159"/>
      <c r="L10" s="159"/>
      <c r="M10" s="159"/>
      <c r="N10" s="160"/>
      <c r="O10" s="80"/>
    </row>
    <row r="11" spans="1:15" ht="17.100000000000001" customHeight="1" x14ac:dyDescent="0.25">
      <c r="A11" s="94"/>
      <c r="B11" s="91"/>
      <c r="C11" s="91"/>
      <c r="D11" s="91"/>
      <c r="E11" s="91"/>
      <c r="F11" s="91"/>
      <c r="G11" s="91"/>
      <c r="H11" s="91"/>
      <c r="I11" s="95"/>
      <c r="J11" s="158" t="s">
        <v>50</v>
      </c>
      <c r="K11" s="159"/>
      <c r="L11" s="159"/>
      <c r="M11" s="159"/>
      <c r="N11" s="160"/>
      <c r="O11" s="80"/>
    </row>
    <row r="12" spans="1:15" ht="17.100000000000001" customHeight="1" x14ac:dyDescent="0.25">
      <c r="A12" s="94"/>
      <c r="B12" s="91"/>
      <c r="C12" s="91"/>
      <c r="D12" s="91"/>
      <c r="E12" s="91"/>
      <c r="F12" s="91"/>
      <c r="G12" s="91"/>
      <c r="H12" s="91"/>
      <c r="I12" s="95"/>
      <c r="J12" s="158" t="s">
        <v>93</v>
      </c>
      <c r="K12" s="159"/>
      <c r="L12" s="159"/>
      <c r="M12" s="159"/>
      <c r="N12" s="160"/>
      <c r="O12" s="80"/>
    </row>
    <row r="13" spans="1:15" ht="17.100000000000001" customHeight="1" x14ac:dyDescent="0.25">
      <c r="A13" s="96"/>
      <c r="B13" s="97"/>
      <c r="C13" s="97"/>
      <c r="D13" s="97"/>
      <c r="E13" s="97"/>
      <c r="F13" s="97"/>
      <c r="G13" s="97"/>
      <c r="H13" s="97"/>
      <c r="I13" s="98"/>
      <c r="J13" s="158" t="s">
        <v>92</v>
      </c>
      <c r="K13" s="159"/>
      <c r="L13" s="159"/>
      <c r="M13" s="159"/>
      <c r="N13" s="160"/>
      <c r="O13" s="80"/>
    </row>
    <row r="14" spans="1:15" ht="17.100000000000001" customHeight="1" x14ac:dyDescent="0.25">
      <c r="A14" s="72" t="s">
        <v>16</v>
      </c>
      <c r="B14" s="76" t="s">
        <v>17</v>
      </c>
      <c r="C14" s="76" t="s">
        <v>18</v>
      </c>
      <c r="D14" s="76" t="s">
        <v>19</v>
      </c>
      <c r="E14" s="76" t="s">
        <v>20</v>
      </c>
      <c r="F14" s="76" t="s">
        <v>21</v>
      </c>
      <c r="G14" s="76" t="s">
        <v>22</v>
      </c>
      <c r="H14" s="74" t="s">
        <v>23</v>
      </c>
      <c r="I14" s="74"/>
      <c r="J14" s="74"/>
      <c r="K14" s="74"/>
      <c r="L14" s="75"/>
      <c r="M14" s="76" t="s">
        <v>24</v>
      </c>
      <c r="N14" s="76" t="s">
        <v>25</v>
      </c>
      <c r="O14" s="80" t="s">
        <v>26</v>
      </c>
    </row>
    <row r="15" spans="1:15" ht="17.100000000000001" customHeight="1" x14ac:dyDescent="0.25">
      <c r="A15" s="73"/>
      <c r="B15" s="77"/>
      <c r="C15" s="77"/>
      <c r="D15" s="77"/>
      <c r="E15" s="77"/>
      <c r="F15" s="77"/>
      <c r="G15" s="77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77"/>
      <c r="N15" s="77"/>
      <c r="O15" s="80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51"/>
      <c r="I16" s="9"/>
      <c r="J16" s="9"/>
      <c r="K16" s="9"/>
      <c r="L16" s="9"/>
      <c r="M16" s="21">
        <f>SUM(M17:M28)</f>
        <v>34062.014329199999</v>
      </c>
      <c r="N16" s="10">
        <f>SUM(N17:N28)</f>
        <v>1</v>
      </c>
      <c r="O16" s="80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80</v>
      </c>
      <c r="H17" s="64">
        <v>49.57</v>
      </c>
      <c r="I17" s="14">
        <f>H17*0.2232</f>
        <v>11.064024</v>
      </c>
      <c r="J17" s="14">
        <f>H17+I17</f>
        <v>60.634023999999997</v>
      </c>
      <c r="K17" s="14">
        <f>J17*(0.03%)</f>
        <v>1.8190207199999999E-2</v>
      </c>
      <c r="L17" s="14">
        <f>J17-K17</f>
        <v>60.615833792799997</v>
      </c>
      <c r="M17" s="14">
        <f>L17*G17</f>
        <v>4849.2667034239994</v>
      </c>
      <c r="N17" s="14">
        <f>M17/M$16</f>
        <v>0.14236582301202655</v>
      </c>
      <c r="O17" s="81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80</v>
      </c>
      <c r="H18" s="64">
        <v>38.36</v>
      </c>
      <c r="I18" s="14">
        <f t="shared" ref="I18:I28" si="0">H18*0.2232</f>
        <v>8.5619519999999998</v>
      </c>
      <c r="J18" s="14">
        <f t="shared" ref="J18:J28" si="1">H18+I18</f>
        <v>46.921951999999997</v>
      </c>
      <c r="K18" s="14">
        <f t="shared" ref="K18:K28" si="2">J18*(0.03%)</f>
        <v>1.4076585599999998E-2</v>
      </c>
      <c r="L18" s="14">
        <f t="shared" ref="L18:L28" si="3">J18-K18</f>
        <v>46.907875414399996</v>
      </c>
      <c r="M18" s="14">
        <f t="shared" ref="M18:M28" si="4">L18*G18</f>
        <v>3752.6300331519997</v>
      </c>
      <c r="N18" s="14">
        <f t="shared" ref="N18:N28" si="5">M18/M$16</f>
        <v>0.11017052593789266</v>
      </c>
      <c r="O18" s="81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80</v>
      </c>
      <c r="H19" s="64">
        <v>38.36</v>
      </c>
      <c r="I19" s="14">
        <f t="shared" si="0"/>
        <v>8.5619519999999998</v>
      </c>
      <c r="J19" s="14">
        <f t="shared" si="1"/>
        <v>46.921951999999997</v>
      </c>
      <c r="K19" s="14">
        <f t="shared" si="2"/>
        <v>1.4076585599999998E-2</v>
      </c>
      <c r="L19" s="14">
        <f t="shared" si="3"/>
        <v>46.907875414399996</v>
      </c>
      <c r="M19" s="14">
        <f t="shared" si="4"/>
        <v>3752.6300331519997</v>
      </c>
      <c r="N19" s="14">
        <f t="shared" si="5"/>
        <v>0.11017052593789266</v>
      </c>
      <c r="O19" s="81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80</v>
      </c>
      <c r="H20" s="64">
        <v>31.51</v>
      </c>
      <c r="I20" s="14">
        <f t="shared" si="0"/>
        <v>7.0330320000000004</v>
      </c>
      <c r="J20" s="14">
        <f t="shared" si="1"/>
        <v>38.543032000000004</v>
      </c>
      <c r="K20" s="14">
        <f t="shared" si="2"/>
        <v>1.1562909600000001E-2</v>
      </c>
      <c r="L20" s="14">
        <f t="shared" si="3"/>
        <v>38.531469090400002</v>
      </c>
      <c r="M20" s="14">
        <f t="shared" si="4"/>
        <v>3082.5175272320002</v>
      </c>
      <c r="N20" s="14">
        <f t="shared" si="5"/>
        <v>9.0497217734697544E-2</v>
      </c>
      <c r="O20" s="81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80</v>
      </c>
      <c r="H21" s="64">
        <v>31.51</v>
      </c>
      <c r="I21" s="14">
        <f t="shared" si="0"/>
        <v>7.0330320000000004</v>
      </c>
      <c r="J21" s="14">
        <f t="shared" si="1"/>
        <v>38.543032000000004</v>
      </c>
      <c r="K21" s="14">
        <f t="shared" si="2"/>
        <v>1.1562909600000001E-2</v>
      </c>
      <c r="L21" s="14">
        <f t="shared" si="3"/>
        <v>38.531469090400002</v>
      </c>
      <c r="M21" s="14">
        <f t="shared" si="4"/>
        <v>3082.5175272320002</v>
      </c>
      <c r="N21" s="14">
        <f t="shared" si="5"/>
        <v>9.0497217734697544E-2</v>
      </c>
      <c r="O21" s="81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80</v>
      </c>
      <c r="H22" s="64">
        <v>34.08</v>
      </c>
      <c r="I22" s="14">
        <f t="shared" si="0"/>
        <v>7.6066560000000001</v>
      </c>
      <c r="J22" s="14">
        <f t="shared" si="1"/>
        <v>41.686655999999999</v>
      </c>
      <c r="K22" s="14">
        <f t="shared" si="2"/>
        <v>1.2505996799999999E-2</v>
      </c>
      <c r="L22" s="14">
        <f t="shared" si="3"/>
        <v>41.674150003199998</v>
      </c>
      <c r="M22" s="14">
        <f t="shared" si="4"/>
        <v>3333.9320002559998</v>
      </c>
      <c r="N22" s="14">
        <f t="shared" si="5"/>
        <v>9.7878298330640809E-2</v>
      </c>
      <c r="O22" s="81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80</v>
      </c>
      <c r="H23" s="64">
        <v>34.08</v>
      </c>
      <c r="I23" s="14">
        <f t="shared" si="0"/>
        <v>7.6066560000000001</v>
      </c>
      <c r="J23" s="14">
        <f t="shared" si="1"/>
        <v>41.686655999999999</v>
      </c>
      <c r="K23" s="14">
        <f t="shared" si="2"/>
        <v>1.2505996799999999E-2</v>
      </c>
      <c r="L23" s="14">
        <f t="shared" si="3"/>
        <v>41.674150003199998</v>
      </c>
      <c r="M23" s="14">
        <f t="shared" si="4"/>
        <v>3333.9320002559998</v>
      </c>
      <c r="N23" s="14">
        <f t="shared" si="5"/>
        <v>9.7878298330640809E-2</v>
      </c>
      <c r="O23" s="81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50</v>
      </c>
      <c r="H24" s="64">
        <v>32.08</v>
      </c>
      <c r="I24" s="14">
        <f t="shared" si="0"/>
        <v>7.1602559999999995</v>
      </c>
      <c r="J24" s="14">
        <f t="shared" si="1"/>
        <v>39.240255999999995</v>
      </c>
      <c r="K24" s="14">
        <f t="shared" si="2"/>
        <v>1.1772076799999998E-2</v>
      </c>
      <c r="L24" s="14">
        <f t="shared" si="3"/>
        <v>39.228483923199995</v>
      </c>
      <c r="M24" s="14">
        <f t="shared" si="4"/>
        <v>1961.4241961599998</v>
      </c>
      <c r="N24" s="14">
        <f t="shared" si="5"/>
        <v>5.7583916711541908E-2</v>
      </c>
      <c r="O24" s="81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50</v>
      </c>
      <c r="H25" s="64">
        <v>32.08</v>
      </c>
      <c r="I25" s="14">
        <f t="shared" si="0"/>
        <v>7.1602559999999995</v>
      </c>
      <c r="J25" s="14">
        <f t="shared" si="1"/>
        <v>39.240255999999995</v>
      </c>
      <c r="K25" s="14">
        <f t="shared" si="2"/>
        <v>1.1772076799999998E-2</v>
      </c>
      <c r="L25" s="14">
        <f t="shared" si="3"/>
        <v>39.228483923199995</v>
      </c>
      <c r="M25" s="14">
        <f t="shared" si="4"/>
        <v>1961.4241961599998</v>
      </c>
      <c r="N25" s="14">
        <f t="shared" si="5"/>
        <v>5.7583916711541908E-2</v>
      </c>
      <c r="O25" s="81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80</v>
      </c>
      <c r="H26" s="64">
        <v>32.08</v>
      </c>
      <c r="I26" s="14">
        <f t="shared" si="0"/>
        <v>7.1602559999999995</v>
      </c>
      <c r="J26" s="14">
        <f t="shared" si="1"/>
        <v>39.240255999999995</v>
      </c>
      <c r="K26" s="14">
        <f t="shared" si="2"/>
        <v>1.1772076799999998E-2</v>
      </c>
      <c r="L26" s="14">
        <f t="shared" si="3"/>
        <v>39.228483923199995</v>
      </c>
      <c r="M26" s="14">
        <f t="shared" si="4"/>
        <v>3138.2787138559997</v>
      </c>
      <c r="N26" s="14">
        <f t="shared" si="5"/>
        <v>9.2134266738467058E-2</v>
      </c>
      <c r="O26" s="81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17">
        <v>50</v>
      </c>
      <c r="H27" s="64">
        <v>29.66</v>
      </c>
      <c r="I27" s="14">
        <f t="shared" si="0"/>
        <v>6.6201120000000007</v>
      </c>
      <c r="J27" s="14">
        <f t="shared" si="1"/>
        <v>36.280112000000003</v>
      </c>
      <c r="K27" s="14">
        <f t="shared" si="2"/>
        <v>1.0884033600000001E-2</v>
      </c>
      <c r="L27" s="14">
        <f t="shared" si="3"/>
        <v>36.269227966400003</v>
      </c>
      <c r="M27" s="14">
        <f t="shared" si="4"/>
        <v>1813.4613983200002</v>
      </c>
      <c r="N27" s="14">
        <f t="shared" si="5"/>
        <v>5.3239992819960516E-2</v>
      </c>
      <c r="O27" s="81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17">
        <v>0</v>
      </c>
      <c r="H28" s="64">
        <v>29.66</v>
      </c>
      <c r="I28" s="14">
        <f t="shared" si="0"/>
        <v>6.6201120000000007</v>
      </c>
      <c r="J28" s="14">
        <f t="shared" si="1"/>
        <v>36.280112000000003</v>
      </c>
      <c r="K28" s="14">
        <f t="shared" si="2"/>
        <v>1.0884033600000001E-2</v>
      </c>
      <c r="L28" s="14">
        <f t="shared" si="3"/>
        <v>36.269227966400003</v>
      </c>
      <c r="M28" s="14">
        <f t="shared" si="4"/>
        <v>0</v>
      </c>
      <c r="N28" s="14">
        <f t="shared" si="5"/>
        <v>0</v>
      </c>
      <c r="O28" s="81"/>
    </row>
    <row r="29" spans="1:15" x14ac:dyDescent="0.25">
      <c r="A29" s="72" t="s">
        <v>16</v>
      </c>
      <c r="B29" s="76" t="s">
        <v>17</v>
      </c>
      <c r="C29" s="76" t="s">
        <v>18</v>
      </c>
      <c r="D29" s="76" t="s">
        <v>19</v>
      </c>
      <c r="E29" s="76" t="s">
        <v>20</v>
      </c>
      <c r="F29" s="76" t="s">
        <v>21</v>
      </c>
      <c r="G29" s="76" t="s">
        <v>22</v>
      </c>
      <c r="H29" s="74" t="s">
        <v>23</v>
      </c>
      <c r="I29" s="74"/>
      <c r="J29" s="74"/>
      <c r="K29" s="74"/>
      <c r="L29" s="75"/>
      <c r="M29" s="76" t="s">
        <v>24</v>
      </c>
      <c r="N29" s="76" t="s">
        <v>25</v>
      </c>
      <c r="O29" s="81"/>
    </row>
    <row r="30" spans="1:15" ht="17.100000000000001" customHeight="1" x14ac:dyDescent="0.25">
      <c r="A30" s="73"/>
      <c r="B30" s="77"/>
      <c r="C30" s="77"/>
      <c r="D30" s="77"/>
      <c r="E30" s="77"/>
      <c r="F30" s="77"/>
      <c r="G30" s="77"/>
      <c r="H30" s="4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77"/>
      <c r="N30" s="77"/>
      <c r="O30" s="80"/>
    </row>
    <row r="31" spans="1:15" ht="17.100000000000001" customHeight="1" x14ac:dyDescent="0.25">
      <c r="A31" s="15">
        <v>2</v>
      </c>
      <c r="B31" s="78" t="s">
        <v>37</v>
      </c>
      <c r="C31" s="78"/>
      <c r="D31" s="79"/>
      <c r="E31" s="79"/>
      <c r="F31" s="79"/>
      <c r="G31" s="16"/>
      <c r="H31" s="52"/>
      <c r="I31" s="16"/>
      <c r="J31" s="16"/>
      <c r="K31" s="16"/>
      <c r="L31" s="16"/>
      <c r="M31" s="22">
        <f>SUM(M32:M49)</f>
        <v>3319.6086225587997</v>
      </c>
      <c r="N31" s="16"/>
      <c r="O31" s="81"/>
    </row>
    <row r="32" spans="1:15" s="19" customFormat="1" ht="17.100000000000001" customHeight="1" x14ac:dyDescent="0.2">
      <c r="A32" s="18" t="s">
        <v>86</v>
      </c>
      <c r="B32" s="18" t="s">
        <v>81</v>
      </c>
      <c r="C32" s="18">
        <v>3904</v>
      </c>
      <c r="D32" s="18" t="s">
        <v>34</v>
      </c>
      <c r="E32" s="54" t="s">
        <v>129</v>
      </c>
      <c r="F32" s="18" t="s">
        <v>21</v>
      </c>
      <c r="G32" s="18">
        <v>15</v>
      </c>
      <c r="H32" s="68">
        <v>0.86</v>
      </c>
      <c r="I32" s="14">
        <f t="shared" ref="I32:I45" si="6">H32*0.1532</f>
        <v>0.13175200000000001</v>
      </c>
      <c r="J32" s="14">
        <f t="shared" ref="J32:J45" si="7">H32+I32</f>
        <v>0.99175199999999997</v>
      </c>
      <c r="K32" s="14">
        <f t="shared" ref="K32:K45" si="8">J32*(0.03%)</f>
        <v>2.9752559999999997E-4</v>
      </c>
      <c r="L32" s="14">
        <f t="shared" ref="L32:L45" si="9">J32-K32</f>
        <v>0.99145447440000001</v>
      </c>
      <c r="M32" s="14">
        <f t="shared" ref="M32:M45" si="10">L32*G32</f>
        <v>14.871817116000001</v>
      </c>
      <c r="N32" s="14">
        <f>M32/M31</f>
        <v>4.4799911094750081E-3</v>
      </c>
      <c r="O32" s="81"/>
    </row>
    <row r="33" spans="1:15" s="19" customFormat="1" ht="17.100000000000001" customHeight="1" x14ac:dyDescent="0.2">
      <c r="A33" s="18" t="s">
        <v>96</v>
      </c>
      <c r="B33" s="18" t="s">
        <v>81</v>
      </c>
      <c r="C33" s="18">
        <v>3903</v>
      </c>
      <c r="D33" s="18" t="s">
        <v>34</v>
      </c>
      <c r="E33" s="43" t="s">
        <v>130</v>
      </c>
      <c r="F33" s="18" t="s">
        <v>21</v>
      </c>
      <c r="G33" s="18">
        <v>10</v>
      </c>
      <c r="H33" s="69">
        <v>2.09</v>
      </c>
      <c r="I33" s="14">
        <f t="shared" si="6"/>
        <v>0.32018799999999997</v>
      </c>
      <c r="J33" s="14">
        <f t="shared" si="7"/>
        <v>2.4101879999999998</v>
      </c>
      <c r="K33" s="14">
        <f t="shared" si="8"/>
        <v>7.2305639999999984E-4</v>
      </c>
      <c r="L33" s="14">
        <f t="shared" si="9"/>
        <v>2.4094649435999997</v>
      </c>
      <c r="M33" s="14">
        <f t="shared" si="10"/>
        <v>24.094649435999997</v>
      </c>
      <c r="N33" s="14">
        <f t="shared" ref="N33:N45" si="11">M33/M32</f>
        <v>1.6201550387596897</v>
      </c>
      <c r="O33" s="81"/>
    </row>
    <row r="34" spans="1:15" s="19" customFormat="1" ht="17.100000000000001" customHeight="1" x14ac:dyDescent="0.2">
      <c r="A34" s="18" t="s">
        <v>87</v>
      </c>
      <c r="B34" s="18" t="s">
        <v>81</v>
      </c>
      <c r="C34" s="18">
        <v>3863</v>
      </c>
      <c r="D34" s="18" t="s">
        <v>34</v>
      </c>
      <c r="E34" s="24" t="s">
        <v>131</v>
      </c>
      <c r="F34" s="57" t="s">
        <v>21</v>
      </c>
      <c r="G34" s="18">
        <v>10</v>
      </c>
      <c r="H34" s="68">
        <v>4.5599999999999996</v>
      </c>
      <c r="I34" s="14">
        <f t="shared" si="6"/>
        <v>0.69859199999999999</v>
      </c>
      <c r="J34" s="14">
        <f t="shared" si="7"/>
        <v>5.2585919999999993</v>
      </c>
      <c r="K34" s="14">
        <f t="shared" si="8"/>
        <v>1.5775775999999997E-3</v>
      </c>
      <c r="L34" s="14">
        <f t="shared" si="9"/>
        <v>5.2570144223999993</v>
      </c>
      <c r="M34" s="14">
        <f t="shared" si="10"/>
        <v>52.570144223999989</v>
      </c>
      <c r="N34" s="14">
        <f t="shared" si="11"/>
        <v>2.1818181818181817</v>
      </c>
      <c r="O34" s="81"/>
    </row>
    <row r="35" spans="1:15" s="19" customFormat="1" ht="17.100000000000001" customHeight="1" x14ac:dyDescent="0.2">
      <c r="A35" s="18" t="s">
        <v>95</v>
      </c>
      <c r="B35" s="18" t="s">
        <v>81</v>
      </c>
      <c r="C35" s="18">
        <v>3864</v>
      </c>
      <c r="D35" s="18" t="s">
        <v>34</v>
      </c>
      <c r="E35" s="43" t="s">
        <v>132</v>
      </c>
      <c r="F35" s="18" t="s">
        <v>21</v>
      </c>
      <c r="G35" s="18">
        <v>5</v>
      </c>
      <c r="H35" s="69">
        <v>13.96</v>
      </c>
      <c r="I35" s="14">
        <f t="shared" si="6"/>
        <v>2.1386720000000001</v>
      </c>
      <c r="J35" s="14">
        <f t="shared" si="7"/>
        <v>16.098672000000001</v>
      </c>
      <c r="K35" s="14">
        <f t="shared" si="8"/>
        <v>4.8296015999999995E-3</v>
      </c>
      <c r="L35" s="14">
        <f t="shared" si="9"/>
        <v>16.0938423984</v>
      </c>
      <c r="M35" s="14">
        <f t="shared" si="10"/>
        <v>80.469211991999998</v>
      </c>
      <c r="N35" s="14">
        <f t="shared" si="11"/>
        <v>1.5307017543859651</v>
      </c>
      <c r="O35" s="81"/>
    </row>
    <row r="36" spans="1:15" s="19" customFormat="1" ht="17.100000000000001" customHeight="1" x14ac:dyDescent="0.2">
      <c r="A36" s="18" t="s">
        <v>82</v>
      </c>
      <c r="B36" s="18" t="s">
        <v>81</v>
      </c>
      <c r="C36" s="18">
        <v>3865</v>
      </c>
      <c r="D36" s="18" t="s">
        <v>34</v>
      </c>
      <c r="E36" s="43" t="s">
        <v>133</v>
      </c>
      <c r="F36" s="18" t="s">
        <v>21</v>
      </c>
      <c r="G36" s="18">
        <v>5</v>
      </c>
      <c r="H36" s="69">
        <v>20.41</v>
      </c>
      <c r="I36" s="14">
        <f t="shared" si="6"/>
        <v>3.1268120000000001</v>
      </c>
      <c r="J36" s="14">
        <f t="shared" si="7"/>
        <v>23.536812000000001</v>
      </c>
      <c r="K36" s="14">
        <f t="shared" si="8"/>
        <v>7.0610435999999997E-3</v>
      </c>
      <c r="L36" s="14">
        <f t="shared" si="9"/>
        <v>23.529750956400001</v>
      </c>
      <c r="M36" s="14">
        <f t="shared" si="10"/>
        <v>117.648754782</v>
      </c>
      <c r="N36" s="14">
        <f t="shared" si="11"/>
        <v>1.4620343839541547</v>
      </c>
      <c r="O36" s="81"/>
    </row>
    <row r="37" spans="1:15" s="19" customFormat="1" ht="17.100000000000001" customHeight="1" x14ac:dyDescent="0.2">
      <c r="A37" s="18" t="s">
        <v>94</v>
      </c>
      <c r="B37" s="18" t="s">
        <v>81</v>
      </c>
      <c r="C37" s="18">
        <v>3866</v>
      </c>
      <c r="D37" s="18" t="s">
        <v>34</v>
      </c>
      <c r="E37" s="43" t="s">
        <v>134</v>
      </c>
      <c r="F37" s="18" t="s">
        <v>21</v>
      </c>
      <c r="G37" s="18">
        <v>5</v>
      </c>
      <c r="H37" s="69">
        <v>45.83</v>
      </c>
      <c r="I37" s="14">
        <f t="shared" si="6"/>
        <v>7.0211559999999995</v>
      </c>
      <c r="J37" s="14">
        <f t="shared" si="7"/>
        <v>52.851155999999996</v>
      </c>
      <c r="K37" s="14">
        <f t="shared" si="8"/>
        <v>1.5855346799999996E-2</v>
      </c>
      <c r="L37" s="14">
        <f t="shared" si="9"/>
        <v>52.835300653199994</v>
      </c>
      <c r="M37" s="14">
        <f t="shared" si="10"/>
        <v>264.17650326599994</v>
      </c>
      <c r="N37" s="14">
        <f t="shared" si="11"/>
        <v>2.2454679078882895</v>
      </c>
      <c r="O37" s="81"/>
    </row>
    <row r="38" spans="1:15" s="42" customFormat="1" ht="17.25" customHeight="1" x14ac:dyDescent="0.25">
      <c r="A38" s="18" t="s">
        <v>88</v>
      </c>
      <c r="B38" s="18" t="s">
        <v>81</v>
      </c>
      <c r="C38" s="18">
        <v>3867</v>
      </c>
      <c r="D38" s="18" t="s">
        <v>34</v>
      </c>
      <c r="E38" s="43" t="s">
        <v>135</v>
      </c>
      <c r="F38" s="18" t="s">
        <v>21</v>
      </c>
      <c r="G38" s="18">
        <v>5</v>
      </c>
      <c r="H38" s="69">
        <v>77.819999999999993</v>
      </c>
      <c r="I38" s="14">
        <f t="shared" si="6"/>
        <v>11.922023999999999</v>
      </c>
      <c r="J38" s="14">
        <f t="shared" si="7"/>
        <v>89.742023999999986</v>
      </c>
      <c r="K38" s="14">
        <f t="shared" si="8"/>
        <v>2.6922607199999993E-2</v>
      </c>
      <c r="L38" s="14">
        <f t="shared" si="9"/>
        <v>89.71510139279998</v>
      </c>
      <c r="M38" s="14">
        <f t="shared" si="10"/>
        <v>448.57550696399989</v>
      </c>
      <c r="N38" s="14">
        <f t="shared" si="11"/>
        <v>1.6980144010473488</v>
      </c>
      <c r="O38" s="81"/>
    </row>
    <row r="39" spans="1:15" s="19" customFormat="1" ht="17.100000000000001" customHeight="1" x14ac:dyDescent="0.2">
      <c r="A39" s="18" t="s">
        <v>97</v>
      </c>
      <c r="B39" s="18" t="s">
        <v>81</v>
      </c>
      <c r="C39" s="18">
        <v>3874</v>
      </c>
      <c r="D39" s="18" t="s">
        <v>34</v>
      </c>
      <c r="E39" s="43" t="s">
        <v>136</v>
      </c>
      <c r="F39" s="18" t="s">
        <v>21</v>
      </c>
      <c r="G39" s="18">
        <v>20</v>
      </c>
      <c r="H39" s="69">
        <v>6.25</v>
      </c>
      <c r="I39" s="14">
        <f t="shared" si="6"/>
        <v>0.95750000000000002</v>
      </c>
      <c r="J39" s="14">
        <f t="shared" si="7"/>
        <v>7.2074999999999996</v>
      </c>
      <c r="K39" s="14">
        <f t="shared" si="8"/>
        <v>2.1622499999999997E-3</v>
      </c>
      <c r="L39" s="14">
        <f t="shared" si="9"/>
        <v>7.20533775</v>
      </c>
      <c r="M39" s="14">
        <f t="shared" si="10"/>
        <v>144.10675499999999</v>
      </c>
      <c r="N39" s="14">
        <f t="shared" si="11"/>
        <v>0.32125417630429204</v>
      </c>
      <c r="O39" s="81"/>
    </row>
    <row r="40" spans="1:15" s="19" customFormat="1" ht="17.100000000000001" customHeight="1" x14ac:dyDescent="0.2">
      <c r="A40" s="18" t="s">
        <v>89</v>
      </c>
      <c r="B40" s="18" t="s">
        <v>81</v>
      </c>
      <c r="C40" s="23">
        <v>3873</v>
      </c>
      <c r="D40" s="18" t="s">
        <v>34</v>
      </c>
      <c r="E40" s="24" t="s">
        <v>137</v>
      </c>
      <c r="F40" s="57" t="s">
        <v>21</v>
      </c>
      <c r="G40" s="18">
        <v>10</v>
      </c>
      <c r="H40" s="68">
        <v>12.9</v>
      </c>
      <c r="I40" s="14">
        <f t="shared" si="6"/>
        <v>1.97628</v>
      </c>
      <c r="J40" s="14">
        <f t="shared" si="7"/>
        <v>14.876280000000001</v>
      </c>
      <c r="K40" s="14">
        <f t="shared" si="8"/>
        <v>4.4628840000000003E-3</v>
      </c>
      <c r="L40" s="14">
        <f t="shared" si="9"/>
        <v>14.871817116000001</v>
      </c>
      <c r="M40" s="14">
        <f t="shared" si="10"/>
        <v>148.71817116</v>
      </c>
      <c r="N40" s="14">
        <f t="shared" si="11"/>
        <v>1.032</v>
      </c>
      <c r="O40" s="81"/>
    </row>
    <row r="41" spans="1:15" s="42" customFormat="1" ht="17.25" customHeight="1" x14ac:dyDescent="0.25">
      <c r="A41" s="18" t="s">
        <v>85</v>
      </c>
      <c r="B41" s="18" t="s">
        <v>81</v>
      </c>
      <c r="C41" s="18">
        <v>38021</v>
      </c>
      <c r="D41" s="18" t="s">
        <v>34</v>
      </c>
      <c r="E41" s="43" t="s">
        <v>139</v>
      </c>
      <c r="F41" s="18" t="s">
        <v>21</v>
      </c>
      <c r="G41" s="18">
        <v>5</v>
      </c>
      <c r="H41" s="69">
        <v>22.9</v>
      </c>
      <c r="I41" s="14">
        <f t="shared" si="6"/>
        <v>3.5082800000000001</v>
      </c>
      <c r="J41" s="14">
        <f t="shared" si="7"/>
        <v>26.408279999999998</v>
      </c>
      <c r="K41" s="14">
        <f t="shared" si="8"/>
        <v>7.9224839999999987E-3</v>
      </c>
      <c r="L41" s="14">
        <f t="shared" si="9"/>
        <v>26.400357515999996</v>
      </c>
      <c r="M41" s="14">
        <f t="shared" si="10"/>
        <v>132.00178757999998</v>
      </c>
      <c r="N41" s="14">
        <f t="shared" si="11"/>
        <v>0.88759689922480611</v>
      </c>
      <c r="O41" s="81"/>
    </row>
    <row r="42" spans="1:15" s="19" customFormat="1" ht="17.100000000000001" customHeight="1" x14ac:dyDescent="0.2">
      <c r="A42" s="18" t="s">
        <v>83</v>
      </c>
      <c r="B42" s="18" t="s">
        <v>81</v>
      </c>
      <c r="C42" s="18">
        <v>3847</v>
      </c>
      <c r="D42" s="18" t="s">
        <v>34</v>
      </c>
      <c r="E42" s="43" t="s">
        <v>138</v>
      </c>
      <c r="F42" s="18" t="s">
        <v>21</v>
      </c>
      <c r="G42" s="18">
        <v>10</v>
      </c>
      <c r="H42" s="69">
        <v>29.84</v>
      </c>
      <c r="I42" s="14">
        <f t="shared" si="6"/>
        <v>4.5714880000000004</v>
      </c>
      <c r="J42" s="14">
        <f t="shared" si="7"/>
        <v>34.411487999999999</v>
      </c>
      <c r="K42" s="14">
        <f t="shared" si="8"/>
        <v>1.0323446399999998E-2</v>
      </c>
      <c r="L42" s="14">
        <f t="shared" si="9"/>
        <v>34.401164553599997</v>
      </c>
      <c r="M42" s="14">
        <f t="shared" si="10"/>
        <v>344.01164553599995</v>
      </c>
      <c r="N42" s="14">
        <f t="shared" si="11"/>
        <v>2.6061135371179041</v>
      </c>
      <c r="O42" s="81"/>
    </row>
    <row r="43" spans="1:15" s="19" customFormat="1" ht="17.100000000000001" customHeight="1" x14ac:dyDescent="0.2">
      <c r="A43" s="18" t="s">
        <v>90</v>
      </c>
      <c r="B43" s="18" t="s">
        <v>81</v>
      </c>
      <c r="C43" s="18">
        <v>38022</v>
      </c>
      <c r="D43" s="18" t="s">
        <v>34</v>
      </c>
      <c r="E43" s="43" t="s">
        <v>140</v>
      </c>
      <c r="F43" s="57" t="s">
        <v>21</v>
      </c>
      <c r="G43" s="18">
        <v>5</v>
      </c>
      <c r="H43" s="69">
        <v>41.02</v>
      </c>
      <c r="I43" s="14">
        <f t="shared" si="6"/>
        <v>6.2842640000000003</v>
      </c>
      <c r="J43" s="14">
        <f t="shared" si="7"/>
        <v>47.304264000000003</v>
      </c>
      <c r="K43" s="14">
        <f t="shared" si="8"/>
        <v>1.41912792E-2</v>
      </c>
      <c r="L43" s="14">
        <f t="shared" si="9"/>
        <v>47.290072720800005</v>
      </c>
      <c r="M43" s="14">
        <f t="shared" si="10"/>
        <v>236.45036360400002</v>
      </c>
      <c r="N43" s="14">
        <f t="shared" si="11"/>
        <v>0.68733243967828439</v>
      </c>
      <c r="O43" s="81"/>
    </row>
    <row r="44" spans="1:15" s="42" customFormat="1" ht="17.25" customHeight="1" x14ac:dyDescent="0.25">
      <c r="A44" s="18" t="s">
        <v>98</v>
      </c>
      <c r="B44" s="18" t="s">
        <v>81</v>
      </c>
      <c r="C44" s="18">
        <v>3827</v>
      </c>
      <c r="D44" s="18" t="s">
        <v>34</v>
      </c>
      <c r="E44" s="43" t="s">
        <v>141</v>
      </c>
      <c r="F44" s="18" t="s">
        <v>21</v>
      </c>
      <c r="G44" s="18">
        <v>5</v>
      </c>
      <c r="H44" s="69">
        <v>35.369999999999997</v>
      </c>
      <c r="I44" s="14">
        <f t="shared" si="6"/>
        <v>5.4186839999999998</v>
      </c>
      <c r="J44" s="14">
        <f t="shared" si="7"/>
        <v>40.788683999999996</v>
      </c>
      <c r="K44" s="14">
        <f t="shared" si="8"/>
        <v>1.2236605199999999E-2</v>
      </c>
      <c r="L44" s="14">
        <f t="shared" si="9"/>
        <v>40.776447394799995</v>
      </c>
      <c r="M44" s="14">
        <f t="shared" si="10"/>
        <v>203.88223697399997</v>
      </c>
      <c r="N44" s="14">
        <f t="shared" si="11"/>
        <v>0.86226231106777163</v>
      </c>
      <c r="O44" s="81"/>
    </row>
    <row r="45" spans="1:15" s="19" customFormat="1" ht="17.100000000000001" customHeight="1" x14ac:dyDescent="0.2">
      <c r="A45" s="18" t="s">
        <v>99</v>
      </c>
      <c r="B45" s="18" t="s">
        <v>81</v>
      </c>
      <c r="C45" s="18">
        <v>7140</v>
      </c>
      <c r="D45" s="18" t="s">
        <v>34</v>
      </c>
      <c r="E45" s="43" t="s">
        <v>142</v>
      </c>
      <c r="F45" s="18" t="s">
        <v>21</v>
      </c>
      <c r="G45" s="18">
        <v>10</v>
      </c>
      <c r="H45" s="69">
        <v>3.94</v>
      </c>
      <c r="I45" s="14">
        <f t="shared" si="6"/>
        <v>0.60360800000000003</v>
      </c>
      <c r="J45" s="14">
        <f t="shared" si="7"/>
        <v>4.5436079999999999</v>
      </c>
      <c r="K45" s="14">
        <f t="shared" si="8"/>
        <v>1.3630823999999998E-3</v>
      </c>
      <c r="L45" s="14">
        <f t="shared" si="9"/>
        <v>4.5422449175999997</v>
      </c>
      <c r="M45" s="14">
        <f t="shared" si="10"/>
        <v>45.422449176000001</v>
      </c>
      <c r="N45" s="14">
        <f t="shared" si="11"/>
        <v>0.22278767316935261</v>
      </c>
      <c r="O45" s="81"/>
    </row>
    <row r="46" spans="1:15" s="42" customFormat="1" ht="17.25" customHeight="1" x14ac:dyDescent="0.25">
      <c r="A46" s="18" t="s">
        <v>84</v>
      </c>
      <c r="B46" s="18" t="s">
        <v>81</v>
      </c>
      <c r="C46" s="46" t="s">
        <v>143</v>
      </c>
      <c r="D46" s="46" t="s">
        <v>103</v>
      </c>
      <c r="E46" s="58" t="s">
        <v>144</v>
      </c>
      <c r="F46" s="18" t="s">
        <v>21</v>
      </c>
      <c r="G46" s="46">
        <v>2</v>
      </c>
      <c r="H46" s="67">
        <v>460.86</v>
      </c>
      <c r="I46" s="14">
        <f t="shared" ref="I46" si="12">H46*0.1532</f>
        <v>70.603752</v>
      </c>
      <c r="J46" s="14">
        <f t="shared" ref="J46" si="13">H46+I46</f>
        <v>531.463752</v>
      </c>
      <c r="K46" s="14">
        <f t="shared" ref="K46" si="14">J46*(0.03%)</f>
        <v>0.15943912559999998</v>
      </c>
      <c r="L46" s="14">
        <f t="shared" ref="L46" si="15">J46-K46</f>
        <v>531.30431287440001</v>
      </c>
      <c r="M46" s="14">
        <f t="shared" ref="M46" si="16">L46*G46</f>
        <v>1062.6086257488</v>
      </c>
      <c r="N46" s="14">
        <f>M46/M45</f>
        <v>23.393908629441626</v>
      </c>
      <c r="O46" s="81"/>
    </row>
    <row r="47" spans="1:15" s="42" customFormat="1" ht="17.25" customHeight="1" x14ac:dyDescent="0.25">
      <c r="A47" s="18"/>
      <c r="B47" s="18"/>
      <c r="C47" s="18"/>
      <c r="D47" s="18"/>
      <c r="E47" s="43"/>
      <c r="F47" s="18"/>
      <c r="G47" s="18"/>
      <c r="H47" s="41"/>
      <c r="I47" s="14"/>
      <c r="J47" s="14"/>
      <c r="K47" s="14"/>
      <c r="L47" s="14"/>
      <c r="M47" s="14"/>
      <c r="N47" s="14"/>
      <c r="O47" s="81"/>
    </row>
    <row r="48" spans="1:15" s="42" customFormat="1" ht="17.25" customHeight="1" x14ac:dyDescent="0.25">
      <c r="A48" s="18"/>
      <c r="B48" s="18"/>
      <c r="C48" s="18"/>
      <c r="D48" s="18"/>
      <c r="E48" s="43"/>
      <c r="F48" s="18"/>
      <c r="G48" s="18"/>
      <c r="H48" s="41"/>
      <c r="I48" s="14"/>
      <c r="J48" s="14"/>
      <c r="K48" s="14"/>
      <c r="L48" s="14"/>
      <c r="M48" s="14"/>
      <c r="N48" s="14"/>
      <c r="O48" s="81"/>
    </row>
    <row r="49" spans="1:16" s="19" customFormat="1" ht="17.25" customHeight="1" x14ac:dyDescent="0.2">
      <c r="A49" s="18"/>
      <c r="B49" s="18"/>
      <c r="C49" s="23"/>
      <c r="D49" s="18"/>
      <c r="E49" s="24"/>
      <c r="F49" s="18"/>
      <c r="G49" s="18"/>
      <c r="H49" s="26"/>
      <c r="I49" s="14"/>
      <c r="J49" s="14"/>
      <c r="K49" s="14"/>
      <c r="L49" s="14"/>
      <c r="M49" s="14"/>
      <c r="N49" s="14"/>
      <c r="O49" s="81"/>
    </row>
    <row r="50" spans="1:16" s="27" customFormat="1" ht="17.100000000000001" customHeight="1" x14ac:dyDescent="0.25">
      <c r="A50" s="138" t="s">
        <v>16</v>
      </c>
      <c r="B50" s="99" t="s">
        <v>17</v>
      </c>
      <c r="C50" s="99" t="s">
        <v>18</v>
      </c>
      <c r="D50" s="99" t="s">
        <v>19</v>
      </c>
      <c r="E50" s="99" t="s">
        <v>20</v>
      </c>
      <c r="F50" s="99" t="s">
        <v>21</v>
      </c>
      <c r="G50" s="99" t="s">
        <v>22</v>
      </c>
      <c r="H50" s="140" t="s">
        <v>23</v>
      </c>
      <c r="I50" s="140"/>
      <c r="J50" s="140"/>
      <c r="K50" s="140"/>
      <c r="L50" s="141"/>
      <c r="M50" s="99" t="s">
        <v>24</v>
      </c>
      <c r="N50" s="99" t="s">
        <v>25</v>
      </c>
      <c r="O50" s="80"/>
    </row>
    <row r="51" spans="1:16" s="27" customFormat="1" ht="17.100000000000001" customHeight="1" x14ac:dyDescent="0.25">
      <c r="A51" s="139"/>
      <c r="B51" s="100"/>
      <c r="C51" s="100"/>
      <c r="D51" s="100"/>
      <c r="E51" s="100"/>
      <c r="F51" s="100"/>
      <c r="G51" s="100"/>
      <c r="H51" s="4" t="s">
        <v>27</v>
      </c>
      <c r="I51" s="4" t="s">
        <v>28</v>
      </c>
      <c r="J51" s="4" t="s">
        <v>29</v>
      </c>
      <c r="K51" s="4" t="s">
        <v>53</v>
      </c>
      <c r="L51" s="4" t="s">
        <v>30</v>
      </c>
      <c r="M51" s="100"/>
      <c r="N51" s="100"/>
      <c r="O51" s="80"/>
    </row>
    <row r="52" spans="1:16" s="28" customFormat="1" ht="17.100000000000001" customHeight="1" x14ac:dyDescent="0.2">
      <c r="A52" s="29">
        <v>3</v>
      </c>
      <c r="B52" s="82" t="s">
        <v>38</v>
      </c>
      <c r="C52" s="83"/>
      <c r="D52" s="83"/>
      <c r="E52" s="83"/>
      <c r="F52" s="84"/>
      <c r="G52" s="30"/>
      <c r="H52" s="30"/>
      <c r="I52" s="30"/>
      <c r="J52" s="30"/>
      <c r="K52" s="30"/>
      <c r="L52" s="30"/>
      <c r="M52" s="31">
        <f>SUM(M53:M75)</f>
        <v>28152.164353438842</v>
      </c>
      <c r="N52" s="30"/>
      <c r="O52" s="80"/>
    </row>
    <row r="53" spans="1:16" s="28" customFormat="1" ht="26.25" customHeight="1" x14ac:dyDescent="0.2">
      <c r="A53" s="32" t="s">
        <v>76</v>
      </c>
      <c r="B53" s="32" t="s">
        <v>33</v>
      </c>
      <c r="C53" s="32" t="s">
        <v>58</v>
      </c>
      <c r="D53" s="32" t="s">
        <v>34</v>
      </c>
      <c r="E53" s="33" t="s">
        <v>59</v>
      </c>
      <c r="F53" s="34" t="s">
        <v>35</v>
      </c>
      <c r="G53" s="32">
        <v>80</v>
      </c>
      <c r="H53" s="64">
        <v>34.08</v>
      </c>
      <c r="I53" s="35">
        <f>H53*0.2232</f>
        <v>7.6066560000000001</v>
      </c>
      <c r="J53" s="35">
        <f>H53+I53</f>
        <v>41.686655999999999</v>
      </c>
      <c r="K53" s="35">
        <f>J53*(0.03%)</f>
        <v>1.2505996799999999E-2</v>
      </c>
      <c r="L53" s="35">
        <f>J53-K53</f>
        <v>41.674150003199998</v>
      </c>
      <c r="M53" s="35">
        <f>L53*G53</f>
        <v>3333.9320002559998</v>
      </c>
      <c r="N53" s="35">
        <f>M53/M$16</f>
        <v>9.7878298330640809E-2</v>
      </c>
      <c r="O53" s="81"/>
    </row>
    <row r="54" spans="1:16" s="28" customFormat="1" ht="23.25" customHeight="1" x14ac:dyDescent="0.2">
      <c r="A54" s="32" t="s">
        <v>78</v>
      </c>
      <c r="B54" s="32" t="s">
        <v>33</v>
      </c>
      <c r="C54" s="32" t="s">
        <v>60</v>
      </c>
      <c r="D54" s="32" t="s">
        <v>34</v>
      </c>
      <c r="E54" s="33" t="s">
        <v>61</v>
      </c>
      <c r="F54" s="34" t="s">
        <v>35</v>
      </c>
      <c r="G54" s="32">
        <v>80</v>
      </c>
      <c r="H54" s="64">
        <v>32.08</v>
      </c>
      <c r="I54" s="35">
        <f>H54*0.2232</f>
        <v>7.1602559999999995</v>
      </c>
      <c r="J54" s="35">
        <f>H54+I54</f>
        <v>39.240255999999995</v>
      </c>
      <c r="K54" s="35">
        <f>J54*(0.03%)</f>
        <v>1.1772076799999998E-2</v>
      </c>
      <c r="L54" s="35">
        <f>J54-K54</f>
        <v>39.228483923199995</v>
      </c>
      <c r="M54" s="35">
        <f>L54*G54</f>
        <v>3138.2787138559997</v>
      </c>
      <c r="N54" s="35">
        <f>M54/M$16</f>
        <v>9.2134266738467058E-2</v>
      </c>
      <c r="O54" s="81"/>
    </row>
    <row r="55" spans="1:16" s="28" customFormat="1" ht="23.25" customHeight="1" x14ac:dyDescent="0.2">
      <c r="A55" s="11" t="s">
        <v>77</v>
      </c>
      <c r="B55" s="11" t="s">
        <v>33</v>
      </c>
      <c r="C55" s="11">
        <v>88310</v>
      </c>
      <c r="D55" s="11" t="s">
        <v>34</v>
      </c>
      <c r="E55" s="20" t="s">
        <v>79</v>
      </c>
      <c r="F55" s="13" t="s">
        <v>35</v>
      </c>
      <c r="G55" s="11">
        <v>80</v>
      </c>
      <c r="H55" s="64">
        <v>36.82</v>
      </c>
      <c r="I55" s="14">
        <f>H55*0.2232</f>
        <v>8.2182240000000011</v>
      </c>
      <c r="J55" s="14">
        <f>H55+I55</f>
        <v>45.038224</v>
      </c>
      <c r="K55" s="14">
        <f>J55*(0.03%)</f>
        <v>1.3511467199999998E-2</v>
      </c>
      <c r="L55" s="14">
        <f>J55-K55</f>
        <v>45.024712532800002</v>
      </c>
      <c r="M55" s="14">
        <f>L55*G55</f>
        <v>3601.9770026240003</v>
      </c>
      <c r="N55" s="14">
        <f>M55/M$16</f>
        <v>0.10574762161191888</v>
      </c>
      <c r="O55" s="81"/>
    </row>
    <row r="56" spans="1:16" s="28" customFormat="1" ht="23.25" customHeight="1" x14ac:dyDescent="0.2">
      <c r="A56" s="70" t="s">
        <v>146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81"/>
      <c r="P56" s="44" t="s">
        <v>147</v>
      </c>
    </row>
    <row r="57" spans="1:16" s="28" customFormat="1" ht="23.25" customHeight="1" x14ac:dyDescent="0.2">
      <c r="A57" s="11" t="s">
        <v>80</v>
      </c>
      <c r="B57" s="11" t="s">
        <v>33</v>
      </c>
      <c r="C57" s="11">
        <v>104803</v>
      </c>
      <c r="D57" s="11" t="s">
        <v>34</v>
      </c>
      <c r="E57" s="20" t="s">
        <v>112</v>
      </c>
      <c r="F57" s="13" t="s">
        <v>100</v>
      </c>
      <c r="G57" s="11">
        <v>39.5</v>
      </c>
      <c r="H57" s="64">
        <v>6.08</v>
      </c>
      <c r="I57" s="14">
        <f t="shared" ref="I57:I58" si="17">H57*0.2232</f>
        <v>1.357056</v>
      </c>
      <c r="J57" s="14">
        <f t="shared" ref="J57:J58" si="18">H57+I57</f>
        <v>7.4370560000000001</v>
      </c>
      <c r="K57" s="14">
        <f t="shared" ref="K57:K58" si="19">J57*(0.03%)</f>
        <v>2.2311167999999998E-3</v>
      </c>
      <c r="L57" s="14">
        <f t="shared" ref="L57:L58" si="20">J57-K57</f>
        <v>7.4348248832000001</v>
      </c>
      <c r="M57" s="14">
        <f t="shared" ref="M57:M58" si="21">L57*G57</f>
        <v>293.67558288639998</v>
      </c>
      <c r="N57" s="14">
        <f t="shared" ref="N57:N58" si="22">M57/M$16</f>
        <v>8.6217914198528089E-3</v>
      </c>
      <c r="O57" s="81"/>
      <c r="P57" s="44" t="s">
        <v>150</v>
      </c>
    </row>
    <row r="58" spans="1:16" s="28" customFormat="1" ht="23.25" customHeight="1" x14ac:dyDescent="0.2">
      <c r="A58" s="11" t="s">
        <v>101</v>
      </c>
      <c r="B58" s="11" t="s">
        <v>33</v>
      </c>
      <c r="C58" s="11">
        <v>94229</v>
      </c>
      <c r="D58" s="11" t="s">
        <v>34</v>
      </c>
      <c r="E58" s="20" t="s">
        <v>113</v>
      </c>
      <c r="F58" s="13" t="s">
        <v>100</v>
      </c>
      <c r="G58" s="11">
        <v>39.5</v>
      </c>
      <c r="H58" s="64">
        <v>176.48</v>
      </c>
      <c r="I58" s="14">
        <f t="shared" si="17"/>
        <v>39.390335999999998</v>
      </c>
      <c r="J58" s="14">
        <f t="shared" si="18"/>
        <v>215.87033599999998</v>
      </c>
      <c r="K58" s="14">
        <f t="shared" si="19"/>
        <v>6.4761100799999985E-2</v>
      </c>
      <c r="L58" s="14">
        <f t="shared" si="20"/>
        <v>215.80557489919997</v>
      </c>
      <c r="M58" s="14">
        <f t="shared" si="21"/>
        <v>8524.3202085183984</v>
      </c>
      <c r="N58" s="14">
        <f t="shared" si="22"/>
        <v>0.25025884042362229</v>
      </c>
      <c r="O58" s="81"/>
      <c r="P58" s="44" t="s">
        <v>148</v>
      </c>
    </row>
    <row r="59" spans="1:16" s="28" customFormat="1" ht="23.25" customHeight="1" x14ac:dyDescent="0.2">
      <c r="A59" s="11" t="s">
        <v>111</v>
      </c>
      <c r="B59" s="11" t="s">
        <v>33</v>
      </c>
      <c r="C59" s="11">
        <v>88323</v>
      </c>
      <c r="D59" s="11" t="s">
        <v>34</v>
      </c>
      <c r="E59" s="20" t="s">
        <v>107</v>
      </c>
      <c r="F59" s="13" t="s">
        <v>108</v>
      </c>
      <c r="G59" s="11">
        <v>12</v>
      </c>
      <c r="H59" s="64">
        <v>33.619999999999997</v>
      </c>
      <c r="I59" s="14">
        <f t="shared" ref="I59:I60" si="23">H59*0.2232</f>
        <v>7.503984</v>
      </c>
      <c r="J59" s="14">
        <f t="shared" ref="J59:J60" si="24">H59+I59</f>
        <v>41.123984</v>
      </c>
      <c r="K59" s="14">
        <f t="shared" ref="K59:K60" si="25">J59*(0.03%)</f>
        <v>1.23371952E-2</v>
      </c>
      <c r="L59" s="14">
        <f t="shared" ref="L59:L60" si="26">J59-K59</f>
        <v>41.111646804800003</v>
      </c>
      <c r="M59" s="14">
        <f t="shared" ref="M59:M60" si="27">L59*G59</f>
        <v>493.33976165760004</v>
      </c>
      <c r="N59" s="14">
        <f t="shared" ref="N59:N60" si="28">M59/M$16</f>
        <v>1.4483575659666129E-2</v>
      </c>
      <c r="O59" s="81"/>
      <c r="P59" s="44" t="s">
        <v>149</v>
      </c>
    </row>
    <row r="60" spans="1:16" s="28" customFormat="1" ht="23.25" customHeight="1" x14ac:dyDescent="0.2">
      <c r="A60" s="11" t="s">
        <v>104</v>
      </c>
      <c r="B60" s="11" t="s">
        <v>33</v>
      </c>
      <c r="C60" s="11">
        <v>88316</v>
      </c>
      <c r="D60" s="11" t="s">
        <v>34</v>
      </c>
      <c r="E60" s="20" t="s">
        <v>110</v>
      </c>
      <c r="F60" s="13" t="s">
        <v>108</v>
      </c>
      <c r="G60" s="11">
        <v>12</v>
      </c>
      <c r="H60" s="64">
        <v>29.77</v>
      </c>
      <c r="I60" s="14">
        <f t="shared" si="23"/>
        <v>6.6446640000000006</v>
      </c>
      <c r="J60" s="14">
        <f t="shared" si="24"/>
        <v>36.414664000000002</v>
      </c>
      <c r="K60" s="14">
        <f t="shared" si="25"/>
        <v>1.0924399199999999E-2</v>
      </c>
      <c r="L60" s="14">
        <f t="shared" si="26"/>
        <v>36.403739600800002</v>
      </c>
      <c r="M60" s="14">
        <f t="shared" si="27"/>
        <v>436.84487520959999</v>
      </c>
      <c r="N60" s="14">
        <f t="shared" si="28"/>
        <v>1.2824986537425956E-2</v>
      </c>
      <c r="O60" s="81"/>
    </row>
    <row r="61" spans="1:16" s="28" customFormat="1" ht="23.25" customHeight="1" x14ac:dyDescent="0.2">
      <c r="A61" s="70" t="s">
        <v>151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81"/>
      <c r="P61" s="28" t="s">
        <v>152</v>
      </c>
    </row>
    <row r="62" spans="1:16" s="28" customFormat="1" ht="23.25" customHeight="1" x14ac:dyDescent="0.2">
      <c r="A62" s="11" t="s">
        <v>106</v>
      </c>
      <c r="B62" s="11" t="s">
        <v>33</v>
      </c>
      <c r="C62" s="11">
        <v>94231</v>
      </c>
      <c r="D62" s="11" t="s">
        <v>34</v>
      </c>
      <c r="E62" s="20" t="s">
        <v>105</v>
      </c>
      <c r="F62" s="13" t="s">
        <v>100</v>
      </c>
      <c r="G62" s="11">
        <v>30</v>
      </c>
      <c r="H62" s="64">
        <v>53.65</v>
      </c>
      <c r="I62" s="40">
        <f t="shared" ref="I62" si="29">H62*0.2232</f>
        <v>11.974679999999999</v>
      </c>
      <c r="J62" s="40">
        <f t="shared" ref="J62" si="30">H62+I62</f>
        <v>65.624679999999998</v>
      </c>
      <c r="K62" s="40">
        <f t="shared" ref="K62" si="31">J62*(0.03%)</f>
        <v>1.9687403999999999E-2</v>
      </c>
      <c r="L62" s="40">
        <f t="shared" ref="L62" si="32">J62-K62</f>
        <v>65.604992596000002</v>
      </c>
      <c r="M62" s="40">
        <f t="shared" ref="M62" si="33">L62*G62</f>
        <v>1968.1497778800001</v>
      </c>
      <c r="N62" s="35">
        <f t="shared" ref="N62" si="34">M62/M$16</f>
        <v>5.7781367797522888E-2</v>
      </c>
      <c r="O62" s="81"/>
      <c r="P62" s="28" t="s">
        <v>153</v>
      </c>
    </row>
    <row r="63" spans="1:16" s="28" customFormat="1" ht="23.25" customHeight="1" x14ac:dyDescent="0.2">
      <c r="A63" s="11" t="s">
        <v>109</v>
      </c>
      <c r="B63" s="11" t="s">
        <v>33</v>
      </c>
      <c r="C63" s="11">
        <v>88323</v>
      </c>
      <c r="D63" s="11" t="s">
        <v>34</v>
      </c>
      <c r="E63" s="20" t="s">
        <v>107</v>
      </c>
      <c r="F63" s="13" t="s">
        <v>108</v>
      </c>
      <c r="G63" s="11">
        <v>8</v>
      </c>
      <c r="H63" s="64">
        <v>33.619999999999997</v>
      </c>
      <c r="I63" s="14">
        <f t="shared" ref="I63:I64" si="35">H63*0.2232</f>
        <v>7.503984</v>
      </c>
      <c r="J63" s="14">
        <f t="shared" ref="J63:J64" si="36">H63+I63</f>
        <v>41.123984</v>
      </c>
      <c r="K63" s="14">
        <f t="shared" ref="K63:K64" si="37">J63*(0.03%)</f>
        <v>1.23371952E-2</v>
      </c>
      <c r="L63" s="14">
        <f t="shared" ref="L63:L64" si="38">J63-K63</f>
        <v>41.111646804800003</v>
      </c>
      <c r="M63" s="14">
        <f t="shared" ref="M63:M64" si="39">L63*G63</f>
        <v>328.89317443840002</v>
      </c>
      <c r="N63" s="14">
        <f t="shared" ref="N63:N64" si="40">M63/M$16</f>
        <v>9.6557171064440856E-3</v>
      </c>
      <c r="O63" s="81"/>
      <c r="P63" s="28" t="s">
        <v>154</v>
      </c>
    </row>
    <row r="64" spans="1:16" s="28" customFormat="1" ht="23.25" customHeight="1" x14ac:dyDescent="0.2">
      <c r="A64" s="11" t="s">
        <v>114</v>
      </c>
      <c r="B64" s="11" t="s">
        <v>33</v>
      </c>
      <c r="C64" s="11">
        <v>88316</v>
      </c>
      <c r="D64" s="11" t="s">
        <v>34</v>
      </c>
      <c r="E64" s="20" t="s">
        <v>110</v>
      </c>
      <c r="F64" s="13" t="s">
        <v>108</v>
      </c>
      <c r="G64" s="11">
        <v>8</v>
      </c>
      <c r="H64" s="64">
        <v>29.77</v>
      </c>
      <c r="I64" s="14">
        <f t="shared" si="35"/>
        <v>6.6446640000000006</v>
      </c>
      <c r="J64" s="14">
        <f t="shared" si="36"/>
        <v>36.414664000000002</v>
      </c>
      <c r="K64" s="14">
        <f t="shared" si="37"/>
        <v>1.0924399199999999E-2</v>
      </c>
      <c r="L64" s="14">
        <f t="shared" si="38"/>
        <v>36.403739600800002</v>
      </c>
      <c r="M64" s="14">
        <f t="shared" si="39"/>
        <v>291.22991680640001</v>
      </c>
      <c r="N64" s="14">
        <f t="shared" si="40"/>
        <v>8.5499910249506386E-3</v>
      </c>
      <c r="O64" s="81"/>
    </row>
    <row r="65" spans="1:16" s="28" customFormat="1" ht="23.25" customHeight="1" x14ac:dyDescent="0.2">
      <c r="A65" s="70" t="s">
        <v>156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81"/>
    </row>
    <row r="66" spans="1:16" s="28" customFormat="1" ht="23.25" customHeight="1" x14ac:dyDescent="0.2">
      <c r="A66" s="11" t="s">
        <v>115</v>
      </c>
      <c r="B66" s="11" t="s">
        <v>33</v>
      </c>
      <c r="C66" s="11">
        <v>91012</v>
      </c>
      <c r="D66" s="11" t="s">
        <v>34</v>
      </c>
      <c r="E66" s="20" t="s">
        <v>155</v>
      </c>
      <c r="F66" s="13" t="s">
        <v>21</v>
      </c>
      <c r="G66" s="11">
        <v>5</v>
      </c>
      <c r="H66" s="64">
        <v>529.84</v>
      </c>
      <c r="I66" s="14">
        <f t="shared" ref="I66:I69" si="41">H66*0.2232</f>
        <v>118.26028800000002</v>
      </c>
      <c r="J66" s="14">
        <f t="shared" ref="J66:J69" si="42">H66+I66</f>
        <v>648.10028800000009</v>
      </c>
      <c r="K66" s="14">
        <f t="shared" ref="K66:K69" si="43">J66*(0.03%)</f>
        <v>0.19443008640000001</v>
      </c>
      <c r="L66" s="14">
        <f t="shared" ref="L66:L69" si="44">J66-K66</f>
        <v>647.90585791360013</v>
      </c>
      <c r="M66" s="14">
        <f t="shared" ref="M66:M69" si="45">L66*G66</f>
        <v>3239.5292895680004</v>
      </c>
      <c r="N66" s="14">
        <f t="shared" ref="N66:N69" si="46">M66/M$16</f>
        <v>9.5106803087416994E-2</v>
      </c>
      <c r="O66" s="81"/>
    </row>
    <row r="67" spans="1:16" s="28" customFormat="1" ht="23.25" customHeight="1" x14ac:dyDescent="0.2">
      <c r="A67" s="11" t="s">
        <v>116</v>
      </c>
      <c r="B67" s="11" t="s">
        <v>33</v>
      </c>
      <c r="C67" s="11">
        <v>88273</v>
      </c>
      <c r="D67" s="11" t="s">
        <v>34</v>
      </c>
      <c r="E67" s="20" t="s">
        <v>157</v>
      </c>
      <c r="F67" s="13" t="s">
        <v>108</v>
      </c>
      <c r="G67" s="11">
        <v>20</v>
      </c>
      <c r="H67" s="64">
        <v>33.700000000000003</v>
      </c>
      <c r="I67" s="14">
        <f t="shared" si="41"/>
        <v>7.521840000000001</v>
      </c>
      <c r="J67" s="14">
        <f t="shared" si="42"/>
        <v>41.22184</v>
      </c>
      <c r="K67" s="14">
        <f t="shared" si="43"/>
        <v>1.2366551999999999E-2</v>
      </c>
      <c r="L67" s="14">
        <f t="shared" si="44"/>
        <v>41.209473447999997</v>
      </c>
      <c r="M67" s="14">
        <f t="shared" si="45"/>
        <v>824.18946895999989</v>
      </c>
      <c r="N67" s="14">
        <f t="shared" si="46"/>
        <v>2.4196733082031949E-2</v>
      </c>
      <c r="O67" s="81"/>
      <c r="P67" s="28" t="s">
        <v>160</v>
      </c>
    </row>
    <row r="68" spans="1:16" s="28" customFormat="1" ht="23.25" customHeight="1" x14ac:dyDescent="0.2">
      <c r="A68" s="11" t="s">
        <v>117</v>
      </c>
      <c r="B68" s="11" t="s">
        <v>33</v>
      </c>
      <c r="C68" s="11">
        <v>102161</v>
      </c>
      <c r="D68" s="11" t="s">
        <v>34</v>
      </c>
      <c r="E68" s="20" t="s">
        <v>158</v>
      </c>
      <c r="F68" s="13" t="s">
        <v>102</v>
      </c>
      <c r="G68" s="11">
        <f>0.15*0.5*6</f>
        <v>0.44999999999999996</v>
      </c>
      <c r="H68" s="64">
        <v>317.98</v>
      </c>
      <c r="I68" s="14">
        <f t="shared" si="41"/>
        <v>70.973136000000011</v>
      </c>
      <c r="J68" s="14">
        <f t="shared" si="42"/>
        <v>388.95313600000003</v>
      </c>
      <c r="K68" s="14">
        <f t="shared" si="43"/>
        <v>0.1166859408</v>
      </c>
      <c r="L68" s="14">
        <f t="shared" si="44"/>
        <v>388.83645005920005</v>
      </c>
      <c r="M68" s="14">
        <f t="shared" si="45"/>
        <v>174.97640252664002</v>
      </c>
      <c r="N68" s="14">
        <f t="shared" si="46"/>
        <v>5.1369951534733444E-3</v>
      </c>
      <c r="O68" s="81"/>
    </row>
    <row r="69" spans="1:16" s="28" customFormat="1" ht="23.25" customHeight="1" x14ac:dyDescent="0.2">
      <c r="A69" s="11" t="s">
        <v>118</v>
      </c>
      <c r="B69" s="11" t="s">
        <v>33</v>
      </c>
      <c r="C69" s="11">
        <v>97644</v>
      </c>
      <c r="D69" s="11" t="s">
        <v>34</v>
      </c>
      <c r="E69" s="20" t="s">
        <v>159</v>
      </c>
      <c r="F69" s="13" t="s">
        <v>102</v>
      </c>
      <c r="G69" s="11">
        <f>5*2.1*0.9</f>
        <v>9.4500000000000011</v>
      </c>
      <c r="H69" s="64">
        <v>12.85</v>
      </c>
      <c r="I69" s="14">
        <f t="shared" si="41"/>
        <v>2.8681200000000002</v>
      </c>
      <c r="J69" s="14">
        <f t="shared" si="42"/>
        <v>15.718119999999999</v>
      </c>
      <c r="K69" s="14">
        <f t="shared" si="43"/>
        <v>4.7154359999999991E-3</v>
      </c>
      <c r="L69" s="14">
        <f t="shared" si="44"/>
        <v>15.713404563999999</v>
      </c>
      <c r="M69" s="14">
        <f t="shared" si="45"/>
        <v>148.49167312980001</v>
      </c>
      <c r="N69" s="14">
        <f t="shared" si="46"/>
        <v>4.3594507269789987E-3</v>
      </c>
      <c r="O69" s="81"/>
    </row>
    <row r="70" spans="1:16" s="59" customFormat="1" ht="23.25" customHeight="1" x14ac:dyDescent="0.2">
      <c r="A70" s="71" t="s">
        <v>128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81"/>
    </row>
    <row r="71" spans="1:16" s="59" customFormat="1" ht="23.25" customHeight="1" x14ac:dyDescent="0.2">
      <c r="A71" s="60" t="s">
        <v>119</v>
      </c>
      <c r="B71" s="60" t="s">
        <v>33</v>
      </c>
      <c r="C71" s="60">
        <v>102192</v>
      </c>
      <c r="D71" s="60" t="s">
        <v>34</v>
      </c>
      <c r="E71" s="20" t="s">
        <v>127</v>
      </c>
      <c r="F71" s="61" t="s">
        <v>102</v>
      </c>
      <c r="G71" s="60">
        <v>2</v>
      </c>
      <c r="H71" s="65">
        <v>20.309999999999999</v>
      </c>
      <c r="I71" s="62">
        <f t="shared" ref="I71" si="47">H71*0.2232</f>
        <v>4.5331919999999997</v>
      </c>
      <c r="J71" s="62">
        <f t="shared" ref="J71" si="48">H71+I71</f>
        <v>24.843191999999998</v>
      </c>
      <c r="K71" s="62">
        <f t="shared" ref="K71" si="49">J71*(0.03%)</f>
        <v>7.452957599999999E-3</v>
      </c>
      <c r="L71" s="62">
        <f t="shared" ref="L71" si="50">J71-K71</f>
        <v>24.835739042399997</v>
      </c>
      <c r="M71" s="62">
        <f t="shared" ref="M71" si="51">L71*G71</f>
        <v>49.671478084799993</v>
      </c>
      <c r="N71" s="62">
        <f t="shared" ref="N71" si="52">M71/M$16</f>
        <v>1.4582660204631123E-3</v>
      </c>
      <c r="O71" s="81"/>
    </row>
    <row r="72" spans="1:16" s="59" customFormat="1" ht="23.25" customHeight="1" x14ac:dyDescent="0.2">
      <c r="A72" s="47" t="s">
        <v>120</v>
      </c>
      <c r="B72" s="63" t="s">
        <v>33</v>
      </c>
      <c r="C72" s="55">
        <v>96368</v>
      </c>
      <c r="D72" s="55" t="s">
        <v>34</v>
      </c>
      <c r="E72" s="56" t="s">
        <v>125</v>
      </c>
      <c r="F72" s="55" t="s">
        <v>102</v>
      </c>
      <c r="G72" s="55">
        <v>4</v>
      </c>
      <c r="H72" s="66">
        <v>170.69</v>
      </c>
      <c r="I72" s="40">
        <f>H72*0.2232</f>
        <v>38.098008</v>
      </c>
      <c r="J72" s="40">
        <f>H72+I72</f>
        <v>208.78800799999999</v>
      </c>
      <c r="K72" s="40">
        <f>J72*(0.03%)</f>
        <v>6.2636402399999985E-2</v>
      </c>
      <c r="L72" s="40">
        <f>J72-K72</f>
        <v>208.7253715976</v>
      </c>
      <c r="M72" s="40">
        <f>L72*G72</f>
        <v>834.90148639040001</v>
      </c>
      <c r="N72" s="40">
        <f>M72/M$16</f>
        <v>2.4511218811703466E-2</v>
      </c>
      <c r="O72" s="81"/>
    </row>
    <row r="73" spans="1:16" s="59" customFormat="1" ht="23.25" customHeight="1" x14ac:dyDescent="0.2">
      <c r="A73" s="47" t="s">
        <v>121</v>
      </c>
      <c r="B73" s="63" t="s">
        <v>33</v>
      </c>
      <c r="C73" s="55" t="s">
        <v>123</v>
      </c>
      <c r="D73" s="55" t="s">
        <v>34</v>
      </c>
      <c r="E73" s="56" t="s">
        <v>124</v>
      </c>
      <c r="F73" s="55" t="s">
        <v>102</v>
      </c>
      <c r="G73" s="55">
        <v>16</v>
      </c>
      <c r="H73" s="66">
        <v>14.98</v>
      </c>
      <c r="I73" s="40">
        <f>H73*0.2232</f>
        <v>3.3435360000000003</v>
      </c>
      <c r="J73" s="40">
        <f>H73+I73</f>
        <v>18.323536000000001</v>
      </c>
      <c r="K73" s="40">
        <f>J73*(0.03%)</f>
        <v>5.4970608000000001E-3</v>
      </c>
      <c r="L73" s="40">
        <f>J73-K73</f>
        <v>18.318038939200001</v>
      </c>
      <c r="M73" s="40">
        <f>L73*G73</f>
        <v>293.08862302720001</v>
      </c>
      <c r="N73" s="40">
        <f>M73/M$16</f>
        <v>8.6045593250762883E-3</v>
      </c>
      <c r="O73" s="81"/>
    </row>
    <row r="74" spans="1:16" s="59" customFormat="1" ht="23.25" customHeight="1" x14ac:dyDescent="0.2">
      <c r="A74" s="47" t="s">
        <v>122</v>
      </c>
      <c r="B74" s="63" t="s">
        <v>33</v>
      </c>
      <c r="C74" s="55">
        <v>96135</v>
      </c>
      <c r="D74" s="55" t="s">
        <v>34</v>
      </c>
      <c r="E74" s="56" t="s">
        <v>126</v>
      </c>
      <c r="F74" s="55" t="s">
        <v>102</v>
      </c>
      <c r="G74" s="55">
        <v>4</v>
      </c>
      <c r="H74" s="67">
        <v>36.119999999999997</v>
      </c>
      <c r="I74" s="40">
        <f>H74*0.2232</f>
        <v>8.0619839999999989</v>
      </c>
      <c r="J74" s="40">
        <f>H74+I74</f>
        <v>44.181984</v>
      </c>
      <c r="K74" s="40">
        <f>J74*(0.03%)</f>
        <v>1.3254595199999998E-2</v>
      </c>
      <c r="L74" s="40">
        <f>J74-K74</f>
        <v>44.168729404799997</v>
      </c>
      <c r="M74" s="40">
        <f>L74*G74</f>
        <v>176.67491761919999</v>
      </c>
      <c r="N74" s="40">
        <f>M74/M$16</f>
        <v>5.1868605277329023E-3</v>
      </c>
      <c r="O74" s="81"/>
    </row>
    <row r="75" spans="1:16" s="28" customFormat="1" ht="23.25" customHeight="1" x14ac:dyDescent="0.2">
      <c r="A75" s="47"/>
      <c r="B75" s="11"/>
      <c r="C75" s="48"/>
      <c r="D75" s="11"/>
      <c r="E75" s="49"/>
      <c r="F75" s="48"/>
      <c r="G75" s="48"/>
      <c r="H75" s="50"/>
      <c r="I75" s="14"/>
      <c r="J75" s="14"/>
      <c r="K75" s="14"/>
      <c r="L75" s="14"/>
      <c r="M75" s="14"/>
      <c r="N75" s="14"/>
      <c r="O75" s="81"/>
    </row>
    <row r="76" spans="1:16" s="39" customFormat="1" ht="17.100000000000001" customHeight="1" x14ac:dyDescent="0.2">
      <c r="A76" s="36"/>
      <c r="B76" s="36"/>
      <c r="C76" s="36"/>
      <c r="D76" s="36"/>
      <c r="E76" s="36"/>
      <c r="F76" s="36"/>
      <c r="G76" s="36"/>
      <c r="H76" s="53"/>
      <c r="I76" s="36"/>
      <c r="J76" s="36"/>
      <c r="K76" s="36"/>
      <c r="L76" s="36"/>
      <c r="M76" s="36"/>
      <c r="N76" s="36"/>
      <c r="O76" s="81"/>
    </row>
    <row r="77" spans="1:16" s="39" customFormat="1" ht="17.100000000000001" customHeight="1" x14ac:dyDescent="0.2">
      <c r="A77" s="85"/>
      <c r="B77" s="86"/>
      <c r="C77" s="86"/>
      <c r="D77" s="86"/>
      <c r="E77" s="86"/>
      <c r="F77" s="86"/>
      <c r="G77" s="86"/>
      <c r="H77" s="37" t="s">
        <v>39</v>
      </c>
      <c r="I77" s="38"/>
      <c r="J77" s="87">
        <f>M16+M31+M52</f>
        <v>65533.787305197642</v>
      </c>
      <c r="K77" s="88"/>
      <c r="L77" s="88"/>
      <c r="M77" s="88"/>
      <c r="N77" s="89"/>
      <c r="O77" s="80"/>
      <c r="P77" s="45"/>
    </row>
    <row r="78" spans="1:16" ht="17.100000000000001" customHeight="1" x14ac:dyDescent="0.25">
      <c r="A78" s="90" t="s">
        <v>91</v>
      </c>
      <c r="B78" s="91"/>
      <c r="C78" s="91"/>
      <c r="D78" s="91"/>
      <c r="E78" s="91"/>
      <c r="F78" s="91"/>
      <c r="G78" s="91"/>
      <c r="H78" s="92"/>
      <c r="I78" s="92"/>
      <c r="J78" s="92"/>
      <c r="K78" s="92"/>
      <c r="L78" s="92"/>
      <c r="M78" s="92"/>
      <c r="N78" s="93"/>
      <c r="O78" s="80"/>
    </row>
    <row r="79" spans="1:16" ht="17.100000000000001" customHeight="1" x14ac:dyDescent="0.25">
      <c r="A79" s="94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5"/>
      <c r="O79" s="80"/>
    </row>
    <row r="80" spans="1:16" ht="17.100000000000001" customHeight="1" x14ac:dyDescent="0.25">
      <c r="A80" s="94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5"/>
      <c r="O80" s="80"/>
    </row>
    <row r="81" spans="1:15" ht="17.100000000000001" customHeight="1" x14ac:dyDescent="0.25">
      <c r="A81" s="94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5"/>
      <c r="O81" s="80"/>
    </row>
    <row r="82" spans="1:15" ht="17.100000000000001" customHeight="1" x14ac:dyDescent="0.25">
      <c r="A82" s="94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5"/>
      <c r="O82" s="80"/>
    </row>
    <row r="83" spans="1:15" ht="17.100000000000001" customHeight="1" x14ac:dyDescent="0.25">
      <c r="A83" s="94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5"/>
      <c r="O83" s="80"/>
    </row>
    <row r="84" spans="1:15" ht="17.100000000000001" customHeight="1" x14ac:dyDescent="0.25">
      <c r="A84" s="96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8"/>
      <c r="O84" s="80"/>
    </row>
    <row r="85" spans="1:15" ht="17.100000000000001" customHeight="1" x14ac:dyDescent="0.25">
      <c r="A85" s="11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19"/>
    </row>
    <row r="86" spans="1:15" ht="17.100000000000001" customHeight="1" x14ac:dyDescent="0.25">
      <c r="A86" s="120" t="s">
        <v>40</v>
      </c>
      <c r="B86" s="121"/>
      <c r="C86" s="121"/>
      <c r="D86" s="121"/>
      <c r="E86" s="121"/>
      <c r="F86" s="121"/>
      <c r="G86" s="122" t="s">
        <v>41</v>
      </c>
      <c r="H86" s="122"/>
      <c r="I86" s="122"/>
      <c r="J86" s="122"/>
      <c r="K86" s="123"/>
      <c r="L86" s="124"/>
      <c r="M86" s="124"/>
      <c r="N86" s="125"/>
      <c r="O86" s="80" t="s">
        <v>42</v>
      </c>
    </row>
    <row r="87" spans="1:15" ht="17.100000000000001" customHeight="1" x14ac:dyDescent="0.25">
      <c r="A87" s="130" t="s">
        <v>43</v>
      </c>
      <c r="B87" s="131"/>
      <c r="C87" s="131"/>
      <c r="D87" s="131"/>
      <c r="E87" s="131"/>
      <c r="F87" s="132"/>
      <c r="G87" s="136" t="s">
        <v>44</v>
      </c>
      <c r="H87" s="131"/>
      <c r="I87" s="131"/>
      <c r="J87" s="132"/>
      <c r="K87" s="126"/>
      <c r="L87" s="127"/>
      <c r="M87" s="127"/>
      <c r="N87" s="128"/>
      <c r="O87" s="80"/>
    </row>
    <row r="88" spans="1:15" ht="17.100000000000001" customHeight="1" x14ac:dyDescent="0.25">
      <c r="A88" s="133"/>
      <c r="B88" s="134"/>
      <c r="C88" s="134"/>
      <c r="D88" s="134"/>
      <c r="E88" s="134"/>
      <c r="F88" s="135"/>
      <c r="G88" s="137"/>
      <c r="H88" s="134"/>
      <c r="I88" s="134"/>
      <c r="J88" s="135"/>
      <c r="K88" s="126"/>
      <c r="L88" s="127"/>
      <c r="M88" s="127"/>
      <c r="N88" s="128"/>
      <c r="O88" s="80"/>
    </row>
    <row r="89" spans="1:15" ht="17.100000000000001" customHeight="1" x14ac:dyDescent="0.25">
      <c r="A89" s="133"/>
      <c r="B89" s="134"/>
      <c r="C89" s="134"/>
      <c r="D89" s="134"/>
      <c r="E89" s="134"/>
      <c r="F89" s="135"/>
      <c r="G89" s="137"/>
      <c r="H89" s="134"/>
      <c r="I89" s="134"/>
      <c r="J89" s="135"/>
      <c r="K89" s="126"/>
      <c r="L89" s="127"/>
      <c r="M89" s="127"/>
      <c r="N89" s="128"/>
      <c r="O89" s="80"/>
    </row>
    <row r="90" spans="1:15" ht="17.100000000000001" customHeight="1" x14ac:dyDescent="0.25">
      <c r="A90" s="133"/>
      <c r="B90" s="134"/>
      <c r="C90" s="134"/>
      <c r="D90" s="134"/>
      <c r="E90" s="134"/>
      <c r="F90" s="135"/>
      <c r="G90" s="137"/>
      <c r="H90" s="134"/>
      <c r="I90" s="134"/>
      <c r="J90" s="135"/>
      <c r="K90" s="126"/>
      <c r="L90" s="127"/>
      <c r="M90" s="127"/>
      <c r="N90" s="128"/>
      <c r="O90" s="80"/>
    </row>
    <row r="91" spans="1:15" ht="17.100000000000001" customHeight="1" x14ac:dyDescent="0.25">
      <c r="A91" s="133"/>
      <c r="B91" s="134"/>
      <c r="C91" s="134"/>
      <c r="D91" s="134"/>
      <c r="E91" s="134"/>
      <c r="F91" s="135"/>
      <c r="G91" s="137"/>
      <c r="H91" s="134"/>
      <c r="I91" s="134"/>
      <c r="J91" s="135"/>
      <c r="K91" s="126"/>
      <c r="L91" s="127"/>
      <c r="M91" s="127"/>
      <c r="N91" s="128"/>
      <c r="O91" s="80"/>
    </row>
    <row r="92" spans="1:15" ht="17.100000000000001" customHeight="1" x14ac:dyDescent="0.25">
      <c r="A92" s="133"/>
      <c r="B92" s="134"/>
      <c r="C92" s="134"/>
      <c r="D92" s="134"/>
      <c r="E92" s="134"/>
      <c r="F92" s="135"/>
      <c r="G92" s="137"/>
      <c r="H92" s="134"/>
      <c r="I92" s="134"/>
      <c r="J92" s="135"/>
      <c r="K92" s="126"/>
      <c r="L92" s="127"/>
      <c r="M92" s="127"/>
      <c r="N92" s="128"/>
      <c r="O92" s="80"/>
    </row>
    <row r="93" spans="1:15" ht="17.100000000000001" customHeight="1" x14ac:dyDescent="0.25">
      <c r="A93" s="133"/>
      <c r="B93" s="134"/>
      <c r="C93" s="134"/>
      <c r="D93" s="134"/>
      <c r="E93" s="134"/>
      <c r="F93" s="135"/>
      <c r="G93" s="137"/>
      <c r="H93" s="134"/>
      <c r="I93" s="134"/>
      <c r="J93" s="135"/>
      <c r="K93" s="126"/>
      <c r="L93" s="127"/>
      <c r="M93" s="127"/>
      <c r="N93" s="128"/>
      <c r="O93" s="80"/>
    </row>
    <row r="94" spans="1:15" ht="17.100000000000001" customHeight="1" thickBot="1" x14ac:dyDescent="0.3">
      <c r="A94" s="133"/>
      <c r="B94" s="134"/>
      <c r="C94" s="134"/>
      <c r="D94" s="134"/>
      <c r="E94" s="134"/>
      <c r="F94" s="135"/>
      <c r="G94" s="137"/>
      <c r="H94" s="134"/>
      <c r="I94" s="134"/>
      <c r="J94" s="135"/>
      <c r="K94" s="126"/>
      <c r="L94" s="127"/>
      <c r="M94" s="127"/>
      <c r="N94" s="128"/>
      <c r="O94" s="129"/>
    </row>
    <row r="95" spans="1:15" ht="17.100000000000001" customHeight="1" thickBot="1" x14ac:dyDescent="0.3">
      <c r="A95" s="102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4"/>
    </row>
    <row r="96" spans="1:15" ht="17.100000000000001" customHeight="1" x14ac:dyDescent="0.25">
      <c r="A96" s="90" t="s">
        <v>45</v>
      </c>
      <c r="B96" s="91"/>
      <c r="C96" s="91"/>
      <c r="D96" s="95"/>
      <c r="E96" s="105" t="s">
        <v>46</v>
      </c>
      <c r="F96" s="91"/>
      <c r="G96" s="91"/>
      <c r="H96" s="91"/>
      <c r="I96" s="91"/>
      <c r="J96" s="91"/>
      <c r="K96" s="107" t="s">
        <v>47</v>
      </c>
      <c r="L96" s="108"/>
      <c r="M96" s="108"/>
      <c r="N96" s="108"/>
      <c r="O96" s="112" t="s">
        <v>48</v>
      </c>
    </row>
    <row r="97" spans="1:19" ht="17.100000000000001" customHeight="1" x14ac:dyDescent="0.25">
      <c r="A97" s="96"/>
      <c r="B97" s="97"/>
      <c r="C97" s="97"/>
      <c r="D97" s="98"/>
      <c r="E97" s="106"/>
      <c r="F97" s="97"/>
      <c r="G97" s="97"/>
      <c r="H97" s="97"/>
      <c r="I97" s="97"/>
      <c r="J97" s="97"/>
      <c r="K97" s="109"/>
      <c r="L97" s="108"/>
      <c r="M97" s="108"/>
      <c r="N97" s="108"/>
      <c r="O97" s="113"/>
    </row>
    <row r="98" spans="1:19" ht="17.100000000000001" customHeight="1" x14ac:dyDescent="0.25">
      <c r="A98" s="115" t="s">
        <v>49</v>
      </c>
      <c r="B98" s="92"/>
      <c r="C98" s="92"/>
      <c r="D98" s="92"/>
      <c r="E98" s="92"/>
      <c r="F98" s="92"/>
      <c r="G98" s="92"/>
      <c r="H98" s="92"/>
      <c r="I98" s="92"/>
      <c r="J98" s="92"/>
      <c r="K98" s="109"/>
      <c r="L98" s="108"/>
      <c r="M98" s="108"/>
      <c r="N98" s="108"/>
      <c r="O98" s="113"/>
    </row>
    <row r="99" spans="1:19" ht="17.100000000000001" customHeight="1" x14ac:dyDescent="0.25">
      <c r="A99" s="94"/>
      <c r="B99" s="91"/>
      <c r="C99" s="91"/>
      <c r="D99" s="91"/>
      <c r="E99" s="91"/>
      <c r="F99" s="91"/>
      <c r="G99" s="91"/>
      <c r="H99" s="91"/>
      <c r="I99" s="91"/>
      <c r="J99" s="91"/>
      <c r="K99" s="109"/>
      <c r="L99" s="108"/>
      <c r="M99" s="108"/>
      <c r="N99" s="108"/>
      <c r="O99" s="113"/>
    </row>
    <row r="100" spans="1:19" ht="17.100000000000001" customHeight="1" x14ac:dyDescent="0.25">
      <c r="A100" s="94"/>
      <c r="B100" s="91"/>
      <c r="C100" s="91"/>
      <c r="D100" s="91"/>
      <c r="E100" s="91"/>
      <c r="F100" s="91"/>
      <c r="G100" s="91"/>
      <c r="H100" s="91"/>
      <c r="I100" s="91"/>
      <c r="J100" s="91"/>
      <c r="K100" s="109"/>
      <c r="L100" s="108"/>
      <c r="M100" s="108"/>
      <c r="N100" s="108"/>
      <c r="O100" s="113"/>
    </row>
    <row r="101" spans="1:19" ht="17.100000000000001" customHeight="1" x14ac:dyDescent="0.25">
      <c r="A101" s="94"/>
      <c r="B101" s="91"/>
      <c r="C101" s="91"/>
      <c r="D101" s="91"/>
      <c r="E101" s="91"/>
      <c r="F101" s="91"/>
      <c r="G101" s="91"/>
      <c r="H101" s="91"/>
      <c r="I101" s="91"/>
      <c r="J101" s="91"/>
      <c r="K101" s="109"/>
      <c r="L101" s="108"/>
      <c r="M101" s="108"/>
      <c r="N101" s="108"/>
      <c r="O101" s="113"/>
    </row>
    <row r="102" spans="1:19" ht="17.100000000000001" customHeight="1" thickBot="1" x14ac:dyDescent="0.3">
      <c r="A102" s="116"/>
      <c r="B102" s="117"/>
      <c r="C102" s="117"/>
      <c r="D102" s="117"/>
      <c r="E102" s="117"/>
      <c r="F102" s="117"/>
      <c r="G102" s="117"/>
      <c r="H102" s="117"/>
      <c r="I102" s="117"/>
      <c r="J102" s="117"/>
      <c r="K102" s="110"/>
      <c r="L102" s="111"/>
      <c r="M102" s="111"/>
      <c r="N102" s="111"/>
      <c r="O102" s="114"/>
    </row>
    <row r="103" spans="1:19" ht="14.1" customHeight="1" x14ac:dyDescent="0.25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</row>
    <row r="104" spans="1:19" ht="14.1" customHeight="1" x14ac:dyDescent="0.25"/>
    <row r="105" spans="1:19" ht="14.1" customHeight="1" x14ac:dyDescent="0.25"/>
    <row r="106" spans="1:19" ht="14.1" customHeight="1" x14ac:dyDescent="0.25"/>
  </sheetData>
  <sortState ref="A32:N76">
    <sortCondition ref="E32:E76"/>
  </sortState>
  <mergeCells count="76">
    <mergeCell ref="O7:O13"/>
    <mergeCell ref="A8:I13"/>
    <mergeCell ref="J8:N8"/>
    <mergeCell ref="J9:N9"/>
    <mergeCell ref="J10:N10"/>
    <mergeCell ref="J11:N11"/>
    <mergeCell ref="J12:N12"/>
    <mergeCell ref="J13:N13"/>
    <mergeCell ref="B14:B15"/>
    <mergeCell ref="C14:C15"/>
    <mergeCell ref="D14:D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C50:C51"/>
    <mergeCell ref="D50:D51"/>
    <mergeCell ref="N50:N51"/>
    <mergeCell ref="H50:L50"/>
    <mergeCell ref="M50:M51"/>
    <mergeCell ref="A85:O85"/>
    <mergeCell ref="A86:F86"/>
    <mergeCell ref="G86:J86"/>
    <mergeCell ref="K86:N94"/>
    <mergeCell ref="O86:O94"/>
    <mergeCell ref="A87:F94"/>
    <mergeCell ref="G87:J94"/>
    <mergeCell ref="A103:J103"/>
    <mergeCell ref="K103:S103"/>
    <mergeCell ref="A95:O95"/>
    <mergeCell ref="A96:D97"/>
    <mergeCell ref="E96:J97"/>
    <mergeCell ref="K96:N102"/>
    <mergeCell ref="O96:O102"/>
    <mergeCell ref="A98:J102"/>
    <mergeCell ref="O14:O84"/>
    <mergeCell ref="A29:A30"/>
    <mergeCell ref="B29:B30"/>
    <mergeCell ref="C29:C30"/>
    <mergeCell ref="D29:D30"/>
    <mergeCell ref="E29:E30"/>
    <mergeCell ref="F29:F30"/>
    <mergeCell ref="G29:G30"/>
    <mergeCell ref="B52:F52"/>
    <mergeCell ref="A77:G77"/>
    <mergeCell ref="J77:N77"/>
    <mergeCell ref="A78:N84"/>
    <mergeCell ref="E50:E51"/>
    <mergeCell ref="F50:F51"/>
    <mergeCell ref="G50:G51"/>
    <mergeCell ref="E14:E15"/>
    <mergeCell ref="A65:N65"/>
    <mergeCell ref="A70:N70"/>
    <mergeCell ref="A14:A15"/>
    <mergeCell ref="A56:N56"/>
    <mergeCell ref="H29:L29"/>
    <mergeCell ref="M29:M30"/>
    <mergeCell ref="A61:N61"/>
    <mergeCell ref="F14:F15"/>
    <mergeCell ref="G14:G15"/>
    <mergeCell ref="H14:L14"/>
    <mergeCell ref="M14:M15"/>
    <mergeCell ref="N14:N15"/>
    <mergeCell ref="N29:N30"/>
    <mergeCell ref="B31:F31"/>
    <mergeCell ref="A50:A51"/>
    <mergeCell ref="B50:B51"/>
  </mergeCells>
  <phoneticPr fontId="12" type="noConversion"/>
  <hyperlinks>
    <hyperlink ref="E40" r:id="rId1" display="VALVULA DE DESCARGA EM METAL CROMADO PARA MICTORIO COM ACIONAMENTO POR PRESSAO E FECHAMENTO AUTOMATICO"/>
  </hyperlinks>
  <pageMargins left="0.25" right="0.25" top="0.75" bottom="0.75" header="0.3" footer="0.3"/>
  <pageSetup paperSize="9" scale="53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7413B31-992A-42ED-9CC1-8AA586AD3D1D}"/>
</file>

<file path=customXml/itemProps2.xml><?xml version="1.0" encoding="utf-8"?>
<ds:datastoreItem xmlns:ds="http://schemas.openxmlformats.org/officeDocument/2006/customXml" ds:itemID="{EB84F69D-96AF-4B53-94D9-369C76E9F085}"/>
</file>

<file path=customXml/itemProps3.xml><?xml version="1.0" encoding="utf-8"?>
<ds:datastoreItem xmlns:ds="http://schemas.openxmlformats.org/officeDocument/2006/customXml" ds:itemID="{FE3F17E9-FC4C-4D98-A782-8EE8ED816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2025-07-23T14:16:05Z</cp:lastPrinted>
  <dcterms:created xsi:type="dcterms:W3CDTF">2022-01-02T19:12:46Z</dcterms:created>
  <dcterms:modified xsi:type="dcterms:W3CDTF">2025-07-23T14:16:16Z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