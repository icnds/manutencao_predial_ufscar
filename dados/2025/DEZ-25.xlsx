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43-Dezembro-25\"/>
    </mc:Choice>
  </mc:AlternateContent>
  <bookViews>
    <workbookView xWindow="0" yWindow="0" windowWidth="28800" windowHeight="12090"/>
  </bookViews>
  <sheets>
    <sheet name="São Carlos" sheetId="1" r:id="rId1"/>
  </sheets>
  <definedNames>
    <definedName name="_xlnm.Print_Area" localSheetId="0">'São Carlos'!$A$1:$O$126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6" i="1" l="1"/>
  <c r="J36" i="1" s="1"/>
  <c r="I34" i="1"/>
  <c r="J34" i="1" s="1"/>
  <c r="I38" i="1"/>
  <c r="J38" i="1" s="1"/>
  <c r="I26" i="1"/>
  <c r="J26" i="1" s="1"/>
  <c r="I23" i="1"/>
  <c r="J23" i="1" s="1"/>
  <c r="I20" i="1"/>
  <c r="J20" i="1" s="1"/>
  <c r="K36" i="1" l="1"/>
  <c r="L36" i="1" s="1"/>
  <c r="M36" i="1" s="1"/>
  <c r="K34" i="1"/>
  <c r="L34" i="1"/>
  <c r="M34" i="1" s="1"/>
  <c r="K38" i="1"/>
  <c r="L38" i="1" s="1"/>
  <c r="M38" i="1" s="1"/>
  <c r="K26" i="1"/>
  <c r="L26" i="1" s="1"/>
  <c r="M26" i="1" s="1"/>
  <c r="L23" i="1"/>
  <c r="M23" i="1" s="1"/>
  <c r="K23" i="1"/>
  <c r="K20" i="1"/>
  <c r="L20" i="1" s="1"/>
  <c r="M20" i="1" s="1"/>
  <c r="K93" i="1"/>
  <c r="L93" i="1" s="1"/>
  <c r="M93" i="1" s="1"/>
  <c r="J93" i="1"/>
  <c r="I93" i="1"/>
  <c r="I87" i="1"/>
  <c r="J87" i="1" s="1"/>
  <c r="G96" i="1"/>
  <c r="G94" i="1"/>
  <c r="G92" i="1"/>
  <c r="I95" i="1"/>
  <c r="J95" i="1" s="1"/>
  <c r="I98" i="1"/>
  <c r="J98" i="1" s="1"/>
  <c r="I97" i="1"/>
  <c r="J97" i="1" s="1"/>
  <c r="I96" i="1"/>
  <c r="J96" i="1" s="1"/>
  <c r="I94" i="1"/>
  <c r="J94" i="1" s="1"/>
  <c r="I92" i="1"/>
  <c r="J92" i="1" s="1"/>
  <c r="K92" i="1" s="1"/>
  <c r="G90" i="1"/>
  <c r="I90" i="1"/>
  <c r="J90" i="1" s="1"/>
  <c r="G86" i="1"/>
  <c r="G82" i="1"/>
  <c r="I72" i="1"/>
  <c r="J72" i="1" s="1"/>
  <c r="I71" i="1"/>
  <c r="J71" i="1" s="1"/>
  <c r="I70" i="1"/>
  <c r="J70" i="1" s="1"/>
  <c r="I66" i="1"/>
  <c r="J66" i="1" s="1"/>
  <c r="I65" i="1"/>
  <c r="J65" i="1" s="1"/>
  <c r="I64" i="1"/>
  <c r="J64" i="1" s="1"/>
  <c r="I63" i="1"/>
  <c r="J63" i="1" s="1"/>
  <c r="I62" i="1"/>
  <c r="J62" i="1" s="1"/>
  <c r="I59" i="1"/>
  <c r="J59" i="1" s="1"/>
  <c r="I60" i="1"/>
  <c r="J60" i="1" s="1"/>
  <c r="I58" i="1"/>
  <c r="J58" i="1" s="1"/>
  <c r="I57" i="1"/>
  <c r="J57" i="1" s="1"/>
  <c r="I56" i="1"/>
  <c r="J56" i="1" s="1"/>
  <c r="I50" i="1"/>
  <c r="J50" i="1" s="1"/>
  <c r="I49" i="1"/>
  <c r="J49" i="1" s="1"/>
  <c r="I48" i="1"/>
  <c r="J48" i="1" s="1"/>
  <c r="I47" i="1"/>
  <c r="J47" i="1" s="1"/>
  <c r="I46" i="1"/>
  <c r="J46" i="1" s="1"/>
  <c r="I44" i="1"/>
  <c r="J44" i="1" s="1"/>
  <c r="I42" i="1"/>
  <c r="J42" i="1" s="1"/>
  <c r="I74" i="1"/>
  <c r="J74" i="1"/>
  <c r="K74" i="1" s="1"/>
  <c r="G73" i="1"/>
  <c r="I73" i="1"/>
  <c r="J73" i="1" s="1"/>
  <c r="K73" i="1" s="1"/>
  <c r="K87" i="1" l="1"/>
  <c r="L87" i="1"/>
  <c r="M87" i="1" s="1"/>
  <c r="K95" i="1"/>
  <c r="L95" i="1" s="1"/>
  <c r="M95" i="1" s="1"/>
  <c r="K98" i="1"/>
  <c r="L98" i="1" s="1"/>
  <c r="M98" i="1" s="1"/>
  <c r="K94" i="1"/>
  <c r="L94" i="1" s="1"/>
  <c r="M94" i="1" s="1"/>
  <c r="K97" i="1"/>
  <c r="L97" i="1"/>
  <c r="M97" i="1" s="1"/>
  <c r="K96" i="1"/>
  <c r="L96" i="1" s="1"/>
  <c r="M96" i="1" s="1"/>
  <c r="L92" i="1"/>
  <c r="M92" i="1" s="1"/>
  <c r="K90" i="1"/>
  <c r="L90" i="1" s="1"/>
  <c r="M90" i="1" s="1"/>
  <c r="L74" i="1"/>
  <c r="K72" i="1"/>
  <c r="L72" i="1" s="1"/>
  <c r="M72" i="1" s="1"/>
  <c r="K71" i="1"/>
  <c r="L71" i="1" s="1"/>
  <c r="M71" i="1" s="1"/>
  <c r="K70" i="1"/>
  <c r="L70" i="1" s="1"/>
  <c r="M70" i="1" s="1"/>
  <c r="K66" i="1"/>
  <c r="L66" i="1" s="1"/>
  <c r="M66" i="1" s="1"/>
  <c r="K65" i="1"/>
  <c r="L65" i="1" s="1"/>
  <c r="M65" i="1" s="1"/>
  <c r="K64" i="1"/>
  <c r="L64" i="1" s="1"/>
  <c r="M64" i="1" s="1"/>
  <c r="K63" i="1"/>
  <c r="L63" i="1" s="1"/>
  <c r="M63" i="1" s="1"/>
  <c r="K62" i="1"/>
  <c r="L62" i="1" s="1"/>
  <c r="M62" i="1" s="1"/>
  <c r="K59" i="1"/>
  <c r="L59" i="1" s="1"/>
  <c r="M59" i="1" s="1"/>
  <c r="K60" i="1"/>
  <c r="L60" i="1" s="1"/>
  <c r="M60" i="1" s="1"/>
  <c r="K58" i="1"/>
  <c r="L58" i="1" s="1"/>
  <c r="M58" i="1" s="1"/>
  <c r="K57" i="1"/>
  <c r="L57" i="1" s="1"/>
  <c r="M57" i="1" s="1"/>
  <c r="K56" i="1"/>
  <c r="L56" i="1" s="1"/>
  <c r="M56" i="1" s="1"/>
  <c r="K50" i="1"/>
  <c r="L50" i="1" s="1"/>
  <c r="M50" i="1" s="1"/>
  <c r="K49" i="1"/>
  <c r="L49" i="1" s="1"/>
  <c r="M49" i="1" s="1"/>
  <c r="K48" i="1"/>
  <c r="L48" i="1" s="1"/>
  <c r="M48" i="1" s="1"/>
  <c r="K47" i="1"/>
  <c r="L47" i="1" s="1"/>
  <c r="M47" i="1" s="1"/>
  <c r="K46" i="1"/>
  <c r="L46" i="1" s="1"/>
  <c r="M46" i="1" s="1"/>
  <c r="K44" i="1"/>
  <c r="L44" i="1" s="1"/>
  <c r="M44" i="1" s="1"/>
  <c r="K42" i="1"/>
  <c r="L42" i="1"/>
  <c r="M42" i="1" s="1"/>
  <c r="L73" i="1"/>
  <c r="M73" i="1" s="1"/>
  <c r="N47" i="1" l="1"/>
  <c r="N50" i="1"/>
  <c r="N49" i="1"/>
  <c r="N63" i="1"/>
  <c r="N71" i="1"/>
  <c r="N48" i="1"/>
  <c r="N59" i="1"/>
  <c r="N65" i="1"/>
  <c r="N57" i="1"/>
  <c r="N66" i="1"/>
  <c r="N64" i="1"/>
  <c r="N60" i="1"/>
  <c r="N58" i="1"/>
  <c r="I89" i="1" l="1"/>
  <c r="J89" i="1" s="1"/>
  <c r="I88" i="1"/>
  <c r="J88" i="1" s="1"/>
  <c r="I86" i="1"/>
  <c r="J86" i="1" s="1"/>
  <c r="I69" i="1"/>
  <c r="J69" i="1" s="1"/>
  <c r="I61" i="1"/>
  <c r="J61" i="1" s="1"/>
  <c r="I67" i="1"/>
  <c r="J67" i="1" s="1"/>
  <c r="K67" i="1" s="1"/>
  <c r="I68" i="1"/>
  <c r="J68" i="1" s="1"/>
  <c r="K68" i="1" s="1"/>
  <c r="K86" i="1" l="1"/>
  <c r="L86" i="1" s="1"/>
  <c r="M86" i="1" s="1"/>
  <c r="K88" i="1"/>
  <c r="L88" i="1" s="1"/>
  <c r="M88" i="1" s="1"/>
  <c r="K89" i="1"/>
  <c r="L89" i="1" s="1"/>
  <c r="M89" i="1" s="1"/>
  <c r="K69" i="1"/>
  <c r="L69" i="1" s="1"/>
  <c r="M69" i="1" s="1"/>
  <c r="N70" i="1" s="1"/>
  <c r="K61" i="1"/>
  <c r="L61" i="1" s="1"/>
  <c r="M61" i="1" s="1"/>
  <c r="N62" i="1" s="1"/>
  <c r="L67" i="1"/>
  <c r="M67" i="1" s="1"/>
  <c r="L68" i="1"/>
  <c r="M68" i="1" s="1"/>
  <c r="I54" i="1"/>
  <c r="J54" i="1" s="1"/>
  <c r="K54" i="1" s="1"/>
  <c r="I55" i="1"/>
  <c r="J55" i="1" s="1"/>
  <c r="K55" i="1" s="1"/>
  <c r="I53" i="1"/>
  <c r="J53" i="1" s="1"/>
  <c r="I52" i="1"/>
  <c r="J52" i="1" s="1"/>
  <c r="I51" i="1"/>
  <c r="J51" i="1" s="1"/>
  <c r="I45" i="1"/>
  <c r="J45" i="1" s="1"/>
  <c r="I43" i="1"/>
  <c r="J43" i="1" s="1"/>
  <c r="K51" i="1" l="1"/>
  <c r="L51" i="1" s="1"/>
  <c r="M51" i="1" s="1"/>
  <c r="L54" i="1"/>
  <c r="M54" i="1" s="1"/>
  <c r="L55" i="1"/>
  <c r="M55" i="1" s="1"/>
  <c r="N56" i="1" s="1"/>
  <c r="K52" i="1"/>
  <c r="L52" i="1" s="1"/>
  <c r="M52" i="1" s="1"/>
  <c r="K53" i="1"/>
  <c r="L53" i="1" s="1"/>
  <c r="M53" i="1" s="1"/>
  <c r="K45" i="1"/>
  <c r="L45" i="1" s="1"/>
  <c r="M45" i="1" s="1"/>
  <c r="N46" i="1" s="1"/>
  <c r="K43" i="1"/>
  <c r="L43" i="1" s="1"/>
  <c r="M43" i="1" s="1"/>
  <c r="N44" i="1" s="1"/>
  <c r="N53" i="1" l="1"/>
  <c r="N51" i="1"/>
  <c r="N52" i="1"/>
  <c r="N43" i="1"/>
  <c r="N54" i="1"/>
  <c r="N45" i="1"/>
  <c r="N55" i="1"/>
  <c r="I84" i="1" l="1"/>
  <c r="J84" i="1" s="1"/>
  <c r="I82" i="1"/>
  <c r="J82" i="1" s="1"/>
  <c r="K84" i="1" l="1"/>
  <c r="L84" i="1" s="1"/>
  <c r="M84" i="1" s="1"/>
  <c r="N98" i="1" s="1"/>
  <c r="K82" i="1"/>
  <c r="L82" i="1" s="1"/>
  <c r="M82" i="1" s="1"/>
  <c r="I37" i="1" l="1"/>
  <c r="J37" i="1" s="1"/>
  <c r="I35" i="1"/>
  <c r="J35" i="1" s="1"/>
  <c r="I33" i="1"/>
  <c r="J33" i="1" s="1"/>
  <c r="I32" i="1"/>
  <c r="J32" i="1" s="1"/>
  <c r="K37" i="1" l="1"/>
  <c r="L37" i="1" s="1"/>
  <c r="M37" i="1" s="1"/>
  <c r="K32" i="1"/>
  <c r="L32" i="1" s="1"/>
  <c r="M32" i="1" s="1"/>
  <c r="K33" i="1"/>
  <c r="L33" i="1" s="1"/>
  <c r="M33" i="1" s="1"/>
  <c r="K35" i="1"/>
  <c r="L35" i="1" s="1"/>
  <c r="M35" i="1" s="1"/>
  <c r="N72" i="1" l="1"/>
  <c r="N73" i="1"/>
  <c r="N67" i="1"/>
  <c r="N68" i="1"/>
  <c r="N69" i="1"/>
  <c r="N61" i="1"/>
  <c r="M81" i="1" l="1"/>
  <c r="N82" i="1" s="1"/>
  <c r="M41" i="1"/>
  <c r="N42" i="1" s="1"/>
  <c r="I18" i="1" l="1"/>
  <c r="J18" i="1" s="1"/>
  <c r="K18" i="1" s="1"/>
  <c r="I19" i="1"/>
  <c r="J19" i="1" s="1"/>
  <c r="I21" i="1"/>
  <c r="J21" i="1" s="1"/>
  <c r="K21" i="1" s="1"/>
  <c r="I22" i="1"/>
  <c r="J22" i="1" s="1"/>
  <c r="I24" i="1"/>
  <c r="J24" i="1" s="1"/>
  <c r="K24" i="1" s="1"/>
  <c r="I25" i="1"/>
  <c r="J25" i="1" s="1"/>
  <c r="I27" i="1"/>
  <c r="J27" i="1" s="1"/>
  <c r="K27" i="1" s="1"/>
  <c r="I28" i="1"/>
  <c r="J28" i="1" s="1"/>
  <c r="I29" i="1"/>
  <c r="J29" i="1" s="1"/>
  <c r="K29" i="1" s="1"/>
  <c r="I30" i="1"/>
  <c r="J30" i="1" s="1"/>
  <c r="I31" i="1"/>
  <c r="J31" i="1" s="1"/>
  <c r="K31" i="1" s="1"/>
  <c r="K25" i="1" l="1"/>
  <c r="L25" i="1" s="1"/>
  <c r="M25" i="1" s="1"/>
  <c r="K28" i="1"/>
  <c r="L28" i="1" s="1"/>
  <c r="M28" i="1" s="1"/>
  <c r="K30" i="1"/>
  <c r="L30" i="1" s="1"/>
  <c r="M30" i="1" s="1"/>
  <c r="K19" i="1"/>
  <c r="L19" i="1" s="1"/>
  <c r="M19" i="1" s="1"/>
  <c r="K22" i="1"/>
  <c r="L22" i="1" s="1"/>
  <c r="M22" i="1" s="1"/>
  <c r="L31" i="1"/>
  <c r="M31" i="1" s="1"/>
  <c r="L29" i="1"/>
  <c r="M29" i="1" s="1"/>
  <c r="L27" i="1"/>
  <c r="M27" i="1" s="1"/>
  <c r="L24" i="1"/>
  <c r="M24" i="1" s="1"/>
  <c r="L21" i="1"/>
  <c r="M21" i="1" s="1"/>
  <c r="L18" i="1"/>
  <c r="M18" i="1" s="1"/>
  <c r="I17" i="1"/>
  <c r="J17" i="1" s="1"/>
  <c r="K17" i="1" s="1"/>
  <c r="L17" i="1" l="1"/>
  <c r="M17" i="1" s="1"/>
  <c r="M16" i="1" s="1"/>
  <c r="N93" i="1" l="1"/>
  <c r="N95" i="1"/>
  <c r="N87" i="1"/>
  <c r="N90" i="1"/>
  <c r="N97" i="1"/>
  <c r="N94" i="1"/>
  <c r="N96" i="1"/>
  <c r="N92" i="1"/>
  <c r="N89" i="1"/>
  <c r="N88" i="1"/>
  <c r="N86" i="1"/>
  <c r="N84" i="1"/>
  <c r="N35" i="1"/>
  <c r="N32" i="1"/>
  <c r="N33" i="1"/>
  <c r="N37" i="1"/>
  <c r="N19" i="1"/>
  <c r="N18" i="1"/>
  <c r="N25" i="1"/>
  <c r="N22" i="1"/>
  <c r="N29" i="1"/>
  <c r="N21" i="1"/>
  <c r="N30" i="1"/>
  <c r="N28" i="1"/>
  <c r="N27" i="1"/>
  <c r="N31" i="1"/>
  <c r="N24" i="1"/>
  <c r="N17" i="1"/>
  <c r="J101" i="1"/>
  <c r="N16" i="1" l="1"/>
</calcChain>
</file>

<file path=xl/sharedStrings.xml><?xml version="1.0" encoding="utf-8"?>
<sst xmlns="http://schemas.openxmlformats.org/spreadsheetml/2006/main" count="423" uniqueCount="194">
  <si>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</si>
  <si>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</si>
  <si>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</si>
  <si>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</si>
  <si>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</si>
  <si>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</si>
  <si>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</si>
  <si>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</si>
  <si>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</si>
  <si>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</si>
  <si>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</si>
  <si>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</si>
  <si>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</si>
  <si>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</si>
  <si>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</si>
  <si>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</si>
  <si>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</si>
  <si>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</si>
  <si>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</si>
  <si>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</si>
  <si>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</si>
  <si>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</si>
  <si>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</si>
  <si>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</si>
  <si>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</si>
  <si>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</si>
  <si>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</si>
  <si>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</si>
  <si>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</si>
  <si>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</si>
  <si>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</si>
  <si>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</si>
  <si>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</si>
  <si>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</si>
  <si>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</si>
  <si>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</si>
  <si>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</si>
  <si>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</si>
  <si>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</si>
  <si>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</si>
  <si>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</si>
  <si>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</si>
  <si>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</si>
  <si>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</si>
  <si>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</si>
  <si>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</si>
  <si>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</si>
  <si>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</si>
  <si>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</si>
  <si>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</si>
  <si>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</si>
  <si>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</si>
  <si>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</si>
  <si>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</si>
  <si>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</si>
  <si>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</si>
  <si>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</si>
  <si>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</si>
  <si>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</si>
  <si>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</si>
  <si>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</si>
  <si>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</si>
  <si>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</si>
  <si>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</si>
  <si>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</si>
  <si>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</si>
  <si>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</si>
  <si>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</si>
  <si>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</si>
  <si>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</si>
  <si>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</si>
  <si>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</si>
  <si>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</si>
  <si>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</si>
  <si>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</si>
  <si>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</si>
  <si>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</si>
  <si>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</si>
  <si>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</si>
  <si>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</si>
  <si>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3.4</t>
  </si>
  <si>
    <t>Insumos</t>
  </si>
  <si>
    <t>2.9</t>
  </si>
  <si>
    <r>
      <t xml:space="preserve">Data Orçamento: </t>
    </r>
    <r>
      <rPr>
        <sz val="8"/>
        <color rgb="FFFF0000"/>
        <rFont val="Arial"/>
        <family val="2"/>
      </rPr>
      <t>Jun/22</t>
    </r>
  </si>
  <si>
    <r>
      <t xml:space="preserve">Mês de referência: </t>
    </r>
    <r>
      <rPr>
        <sz val="8"/>
        <color rgb="FFFF0000"/>
        <rFont val="Arial"/>
        <family val="2"/>
      </rPr>
      <t>Maio/2025 (data da proposta)</t>
    </r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</si>
  <si>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05/2025)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</si>
  <si>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2.32</t>
  </si>
  <si>
    <t>3.5</t>
  </si>
  <si>
    <t>3.6</t>
  </si>
  <si>
    <t>m²</t>
  </si>
  <si>
    <t xml:space="preserve"> 88489 </t>
  </si>
  <si>
    <t>PINTURA LÁTEX ACRÍLICA PREMIUM, APLICAÇÃO MANUAL EM PAREDES, DUAS DEMÃOS. AF_04/2023</t>
  </si>
  <si>
    <t>1.13</t>
  </si>
  <si>
    <t>1.14</t>
  </si>
  <si>
    <t>1.15</t>
  </si>
  <si>
    <t>1.16</t>
  </si>
  <si>
    <t xml:space="preserve"> AJUDANTE ESPECIALIZADO COM ENCARGOS COMPLEMENTARES</t>
  </si>
  <si>
    <t>m3</t>
  </si>
  <si>
    <t>TRANSPORTE COM CAMINHÃO BASCULANTE DE 10 M³, EM VIA URBANA EM LEITO NATURAL (UNIDADE: M3XKM). AF_07/2020</t>
  </si>
  <si>
    <t>M3XKM</t>
  </si>
  <si>
    <t>2.1</t>
  </si>
  <si>
    <t>2.2</t>
  </si>
  <si>
    <t>2.3</t>
  </si>
  <si>
    <t>ORSE</t>
  </si>
  <si>
    <t>2.5</t>
  </si>
  <si>
    <t>2.6</t>
  </si>
  <si>
    <t>2.7</t>
  </si>
  <si>
    <t>KG</t>
  </si>
  <si>
    <t>2.25</t>
  </si>
  <si>
    <t>2.21</t>
  </si>
  <si>
    <t>FITA ADESIVA ASFALTICA ALUMINIZADA MULTIUSO, L = 10 CM, ROLO DE 10 M</t>
  </si>
  <si>
    <t>2.10</t>
  </si>
  <si>
    <t>2.24</t>
  </si>
  <si>
    <t>2.4</t>
  </si>
  <si>
    <t>CAL HIDRATADA CH-I PARA ARGAMASSAS</t>
  </si>
  <si>
    <t>2.8</t>
  </si>
  <si>
    <t>2.11</t>
  </si>
  <si>
    <t>2.12</t>
  </si>
  <si>
    <t>2.13</t>
  </si>
  <si>
    <t>2.14</t>
  </si>
  <si>
    <t>2.27</t>
  </si>
  <si>
    <t>2.28</t>
  </si>
  <si>
    <t>2.15</t>
  </si>
  <si>
    <t>2.16</t>
  </si>
  <si>
    <t>2.20</t>
  </si>
  <si>
    <t>2.22</t>
  </si>
  <si>
    <t>TORNEIRA METALICA CROMADA PARA JARDIM / TANQUE, COM BICO PLASTICO, CANO LONGO, DE PAREDE, PADRAO POPULAR / USO GERAL , 1/2 " OU 3/4 " (REF 1153 / 1130)</t>
  </si>
  <si>
    <t>SIFAO / TUBO SINFONADO EXTENSIVEL/SANFONADO, UNIVERSAL/ SIMPLES, ENTRE *50 A 70* CM, DE PLASTICO BRANCO</t>
  </si>
  <si>
    <t>VALVULA DE DESCARGA METALICA, BASE 1 1/2 " E ACABAMENTO METALICO CROMADO</t>
  </si>
  <si>
    <t>TORNEIRA METALICA CROMADA, RETA, DE PAREDE, PARA COZINHA, COM AREJADOR, PADRAO POPULAR, 1/2" OU 3/4"</t>
  </si>
  <si>
    <t>JOELHO PVC, SOLDAVEL, PB, 90 GRAUS, DN 40 MM, PARA ESGOTO PREDIAL</t>
  </si>
  <si>
    <t>2.23</t>
  </si>
  <si>
    <t>ADAPTADOR PVC SOLDAVEL CURTO COM BOLSA E ROSCA, 25 MM X 3/4", PARA AGUA FRIA</t>
  </si>
  <si>
    <t>2.18</t>
  </si>
  <si>
    <t>JOELHO PVC, SOLDAVEL, 90 GRAUS, 25 MM, PARA AGUA FRIA PREDIAL</t>
  </si>
  <si>
    <t>2.33</t>
  </si>
  <si>
    <t>2.17</t>
  </si>
  <si>
    <t>2.19</t>
  </si>
  <si>
    <t>2.26</t>
  </si>
  <si>
    <t>2.29</t>
  </si>
  <si>
    <t>2.30</t>
  </si>
  <si>
    <t>2.31</t>
  </si>
  <si>
    <t>PINTURA VERNIZ (INCOLOR) ALQUÍDICO EM MADEIRA, USO INTERNO, 3 DEMÃOS. AF_01/2021</t>
  </si>
  <si>
    <t>M</t>
  </si>
  <si>
    <t>3.7</t>
  </si>
  <si>
    <t>3.8</t>
  </si>
  <si>
    <t>PAREDE COM PLACAS DE GESSO ACARTONADO (DRYWALL), PARA USO INTERNO COM DUAS FACES DUPLAS E ESTRUTURA METÁLICA COM GUIAS DUPLAS, SEM VÃOS. AF_06/2017</t>
  </si>
  <si>
    <t>EMASSAMENTO COM MASSA LÁTEX, APLICAÇÃO EM PAREDE, DUAS DEMÃOS, LIXAMENTO MECANIZADO. AF_04/202</t>
  </si>
  <si>
    <t>3.9</t>
  </si>
  <si>
    <t>3.10</t>
  </si>
  <si>
    <t>3.11</t>
  </si>
  <si>
    <t>3.12</t>
  </si>
  <si>
    <t>3.13</t>
  </si>
  <si>
    <t>GUARNICAO / ALIZAR / VISTA LISA EM MADEIRA MACICA, PARA PORTA, E = *1* CM, L = *5* CM, CEDRINHO / ANGELIM COMERCIAL / TAURI/ CURUPIXA / PEROBA / CUMARU OU EQUIVALENTE DA REGIAO</t>
  </si>
  <si>
    <t>PREGO DE ACO POLIDO COM CABECA 12 X 12</t>
  </si>
  <si>
    <t>ARAME RECOZIDO 16 BWG, D = 1,65 MM (0,016 KG/M) OU 18 BWG, D = 1,25 MM (0,01 KG/M)</t>
  </si>
  <si>
    <t>kg</t>
  </si>
  <si>
    <t>CIMENTO PORTLAND COMPOSTO CP II-32</t>
  </si>
  <si>
    <t>ADAPTADOR PVC SOLDAVEL, COM FLANGE E ANEL DE VEDACAO, 40 MM X 1 1/4", PARA CAIXA D'AGUA</t>
  </si>
  <si>
    <t xml:space="preserve"> Adesivo para tubo Aquatherm/CPVC</t>
  </si>
  <si>
    <t>CONJUNTO DE LIGACAO AJUSTAVEL, PARA VASO / BACIA SANITARIA, EM PLASTICO BRANCO, COM TUBO, CANOPLA E ESPUD</t>
  </si>
  <si>
    <t>TE SANITARIO, PVC, DN 40 X 40 MM, SERIE NORMAL, PARA ESGOTO PREDIAL</t>
  </si>
  <si>
    <t>MICTORIO INDIVIDUAL, SIFONADO, DE LOUCA BRANCA, SEM COMPLEMENTO</t>
  </si>
  <si>
    <t>ACABAMENTO DE METAL CROMADO PARA REGISTRO PEQUENO, DE PAREDE, 1/2" OU 3/4"</t>
  </si>
  <si>
    <t>VALVULA EM METAL CROMADO PARA LAVATORIO, 1" SEM LADRAO</t>
  </si>
  <si>
    <t>6.95.48</t>
  </si>
  <si>
    <t>FDE</t>
  </si>
  <si>
    <t>KIT REPARO CAIXA ACOPLADA</t>
  </si>
  <si>
    <t>REGISTRO DE ESFERA, PVC, COM VOLANTE, VS, SOLDAVEL, DN 32 MM, COM CORPO DIVIDIDO</t>
  </si>
  <si>
    <t>REGISTRO DE ESFERA, PVC, COM VOLANTE, VS, SOLDAVEL, DN 50 MM, COM CORPO DIVIDIDO</t>
  </si>
  <si>
    <t>ADAPTADOR PVC SOLDAVEL CURTO COM BOLSA E ROSCA, 32 MM X 1", PARA AGUA FRIA</t>
  </si>
  <si>
    <t>BUCHA DE REDUCAO DE PVC, SOLDAVEL, LONGA, COM 50 X 25 MM, PARA AGUA FRIA PREDIAL</t>
  </si>
  <si>
    <t>JOELHO PVC, SOLDAVEL, COM BUCHA DE LATAO, 90 GRAUS, 25 MM X 1/2", PARA AGUA FRIA PREDIAL</t>
  </si>
  <si>
    <t>LUVA PVC SOLDAVEL, 25 MM, PARA AGUA FRIA PREDIAL</t>
  </si>
  <si>
    <t>LUVA PVC SOLDAVEL, 32 MM, PARA AGUA FRIA PREDIAL</t>
  </si>
  <si>
    <t>LUVA SOLDAVEL COM BUCHA DE LATAO, PVC, 25 MM X 1/2"</t>
  </si>
  <si>
    <t>TE SOLDAVEL, PVC, 90 GRAUS, 25 MM, PARA AGUA FRIA PREDIAL (NBR 5648)</t>
  </si>
  <si>
    <t>TE SOLDAVEL, PVC, 90 GRAUS, 32 MM, PARA AGUA FRIA PREDIAL (NBR 5648)</t>
  </si>
  <si>
    <t>AREIA GROSSA - POSTO JAZIDA/FORNECEDOR (RETIRADO NA JAZIDA, SEM TRANSPORTE)</t>
  </si>
  <si>
    <t>PEDRA BRITADA N. 0, OU PEDRISCO (4,8 A 9,5 MM) POSTO PEDREIRA/FORNECEDOR, SEM FRETE</t>
  </si>
  <si>
    <t>FORRO EM FIBRA MINERAL, PARA AMBIENTES COMERCIAIS, INCLUSIVE ESTRUTURA DE FIXAÇÃO. AF_08/2023</t>
  </si>
  <si>
    <t>DIVISORIA DRYWALL PROGP E PINTURA SALAS</t>
  </si>
  <si>
    <t>PINTURA COM TINTA ALQUÍDICA DE ACABAMENTO (ESMALTE SINTÉTICO BRILHANTE) APLICADA A ROLO OU PINCEL SOBRE SUPERFÍCIES METÁLICAS (EXCETO PERFIL) EXECUTADO EM OBRA (POR DEMÃO). AF_01/2020</t>
  </si>
  <si>
    <t>DIVISORIA DRYWALL DEE E PINTURA SALAS E FERRAGENS</t>
  </si>
  <si>
    <t>APLICAÇÃO MANUAL DE PINTURA COM TINTA LÁTEX ACRÍLICA EM TETO, DUAS DEMÃOS. AF_06/2014</t>
  </si>
  <si>
    <t>FORRO LATECC - LABORATORIO DEQ</t>
  </si>
  <si>
    <t>PORTA DE MADEIRA PARA PINTURA, SEMI-OCA (LEVE OU MÉDIA), 80X210CM, ESPESSURA DE 3,5CM, INCLUSO DOBRADIÇAS - FORNECIMENTO E INSTALAÇÃO. AF_12/201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</si>
  <si>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</t>
    </r>
    <r>
      <rPr>
        <b/>
        <sz val="8"/>
        <rFont val="Arial"/>
        <family val="2"/>
      </rPr>
      <t xml:space="preserve">PERIODO DE </t>
    </r>
    <r>
      <rPr>
        <b/>
        <sz val="8"/>
        <color rgb="FFFF0000"/>
        <rFont val="Arial"/>
        <family val="2"/>
      </rPr>
      <t>DEZEMBRO/2025</t>
    </r>
  </si>
  <si>
    <t>AJUSTE ENCANADORES NOVEMBRO/2025</t>
  </si>
  <si>
    <t>AJUSTE AUXILIARES ENCANADORES NOVEMBRO/2025</t>
  </si>
  <si>
    <t>AJUSTE PEDREIROS NOVEMBRO/2025</t>
  </si>
  <si>
    <t>AJUSTE AJUDANTE ESPECIALIZADO NOVEMBRO/2025</t>
  </si>
  <si>
    <t>AJUSTE AUXILIARES  NOVEMBRO/2025</t>
  </si>
  <si>
    <t>AJUSTE PINTOR  NOVEMBRO/2025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</si>
</sst>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1"/>
    </font>
    <font>
      <u/>
      <sz val="11"/>
      <color theme="1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4"/>
      <name val="Arial"/>
      <family val="2"/>
    </font>
    <font>
      <sz val="8"/>
      <color rgb="FFFF0000"/>
      <name val="Arial"/>
      <family val="1"/>
    </font>
    <font>
      <b/>
      <sz val="8"/>
      <color theme="4"/>
      <name val="Arial"/>
      <family val="1"/>
    </font>
    <font>
      <b/>
      <sz val="8"/>
      <color rgb="FFFF0000"/>
      <name val="Arial"/>
      <family val="1"/>
    </font>
    <font>
      <b/>
      <sz val="8"/>
      <color rgb="FF00B0F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5" fillId="4" borderId="1" applyProtection="0"/>
    <xf numFmtId="0" fontId="16" fillId="0" borderId="0" applyBorder="0" applyProtection="0"/>
    <xf numFmtId="0" fontId="21" fillId="0" borderId="0"/>
    <xf numFmtId="164" fontId="21" fillId="0" borderId="0" applyBorder="0" applyProtection="0"/>
    <xf numFmtId="0" fontId="22" fillId="0" borderId="0" applyBorder="0" applyProtection="0"/>
    <xf numFmtId="0" fontId="15" fillId="4" borderId="1" applyProtection="0"/>
    <xf numFmtId="0" fontId="23" fillId="0" borderId="0"/>
    <xf numFmtId="0" fontId="27" fillId="0" borderId="0" applyNumberFormat="0" applyFill="0" applyBorder="0" applyAlignment="0" applyProtection="0"/>
  </cellStyleXfs>
  <cellXfs count="191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4" fontId="8" fillId="0" borderId="24" xfId="2" applyNumberFormat="1" applyFont="1" applyBorder="1" applyAlignment="1" applyProtection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3" fillId="0" borderId="0" xfId="0" applyFont="1"/>
    <xf numFmtId="0" fontId="12" fillId="0" borderId="0" xfId="0" applyFont="1"/>
    <xf numFmtId="0" fontId="12" fillId="2" borderId="25" xfId="1" applyFont="1" applyBorder="1" applyAlignment="1">
      <alignment horizontal="center" vertical="center"/>
    </xf>
    <xf numFmtId="0" fontId="17" fillId="2" borderId="27" xfId="1" applyFont="1" applyBorder="1" applyAlignment="1">
      <alignment horizontal="center" vertical="center"/>
    </xf>
    <xf numFmtId="44" fontId="17" fillId="2" borderId="27" xfId="3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4" xfId="2" applyFont="1" applyFill="1" applyBorder="1" applyAlignment="1" applyProtection="1">
      <alignment horizontal="left" vertical="center" wrapText="1"/>
    </xf>
    <xf numFmtId="0" fontId="12" fillId="0" borderId="24" xfId="2" applyFont="1" applyBorder="1" applyAlignment="1" applyProtection="1">
      <alignment horizontal="center" vertical="center"/>
    </xf>
    <xf numFmtId="4" fontId="12" fillId="0" borderId="24" xfId="2" applyNumberFormat="1" applyFont="1" applyBorder="1" applyAlignment="1" applyProtection="1">
      <alignment horizontal="center" vertical="center"/>
    </xf>
    <xf numFmtId="0" fontId="18" fillId="2" borderId="24" xfId="1" applyFont="1" applyBorder="1"/>
    <xf numFmtId="0" fontId="17" fillId="0" borderId="39" xfId="0" applyFont="1" applyBorder="1" applyAlignment="1">
      <alignment vertical="top"/>
    </xf>
    <xf numFmtId="0" fontId="19" fillId="0" borderId="11" xfId="0" applyFont="1" applyBorder="1" applyAlignment="1">
      <alignment vertical="top"/>
    </xf>
    <xf numFmtId="0" fontId="14" fillId="0" borderId="0" xfId="0" applyFont="1"/>
    <xf numFmtId="4" fontId="12" fillId="0" borderId="24" xfId="2" applyNumberFormat="1" applyFont="1" applyFill="1" applyBorder="1" applyAlignment="1" applyProtection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43" fontId="14" fillId="0" borderId="0" xfId="0" applyNumberFormat="1" applyFont="1"/>
    <xf numFmtId="0" fontId="9" fillId="0" borderId="0" xfId="0" applyFont="1" applyFill="1" applyAlignment="1">
      <alignment vertical="center"/>
    </xf>
    <xf numFmtId="0" fontId="8" fillId="2" borderId="27" xfId="1" applyFont="1" applyBorder="1" applyAlignment="1">
      <alignment horizontal="center" vertical="center"/>
    </xf>
    <xf numFmtId="0" fontId="8" fillId="2" borderId="24" xfId="1" applyFont="1" applyBorder="1" applyAlignment="1">
      <alignment horizontal="center" vertical="center"/>
    </xf>
    <xf numFmtId="0" fontId="17" fillId="2" borderId="24" xfId="1" applyFont="1" applyBorder="1"/>
    <xf numFmtId="0" fontId="20" fillId="0" borderId="24" xfId="0" applyFont="1" applyFill="1" applyBorder="1" applyAlignment="1">
      <alignment horizontal="center" vertical="center" wrapText="1"/>
    </xf>
    <xf numFmtId="0" fontId="20" fillId="0" borderId="24" xfId="0" applyFont="1" applyFill="1" applyBorder="1" applyAlignment="1">
      <alignment vertical="center" wrapText="1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3" fillId="0" borderId="24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1" xfId="2" applyFont="1" applyBorder="1" applyAlignment="1" applyProtection="1">
      <alignment horizontal="left" vertical="center" wrapText="1"/>
    </xf>
    <xf numFmtId="0" fontId="9" fillId="0" borderId="24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25" fillId="0" borderId="24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left" vertical="center"/>
    </xf>
    <xf numFmtId="0" fontId="24" fillId="0" borderId="24" xfId="0" applyFont="1" applyFill="1" applyBorder="1" applyAlignment="1">
      <alignment horizontal="center" vertical="center" wrapText="1"/>
    </xf>
    <xf numFmtId="0" fontId="26" fillId="0" borderId="24" xfId="0" applyFont="1" applyFill="1" applyBorder="1" applyAlignment="1">
      <alignment horizontal="center" vertical="center" wrapText="1"/>
    </xf>
    <xf numFmtId="0" fontId="26" fillId="0" borderId="24" xfId="0" applyFont="1" applyFill="1" applyBorder="1" applyAlignment="1">
      <alignment horizontal="left" vertical="top" wrapText="1"/>
    </xf>
    <xf numFmtId="0" fontId="9" fillId="0" borderId="24" xfId="1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8" fillId="0" borderId="0" xfId="0" applyFont="1"/>
    <xf numFmtId="0" fontId="12" fillId="0" borderId="24" xfId="11" applyFont="1" applyFill="1" applyBorder="1"/>
    <xf numFmtId="0" fontId="14" fillId="0" borderId="24" xfId="0" applyFont="1" applyBorder="1"/>
    <xf numFmtId="0" fontId="12" fillId="0" borderId="24" xfId="0" applyFont="1" applyBorder="1" applyAlignment="1">
      <alignment vertical="center"/>
    </xf>
    <xf numFmtId="0" fontId="9" fillId="0" borderId="24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left" vertical="center"/>
    </xf>
    <xf numFmtId="0" fontId="9" fillId="0" borderId="24" xfId="0" applyFont="1" applyFill="1" applyBorder="1"/>
    <xf numFmtId="0" fontId="24" fillId="0" borderId="24" xfId="0" applyFont="1" applyBorder="1" applyAlignment="1">
      <alignment vertical="center"/>
    </xf>
    <xf numFmtId="4" fontId="20" fillId="0" borderId="24" xfId="2" applyNumberFormat="1" applyFont="1" applyFill="1" applyBorder="1" applyAlignment="1" applyProtection="1">
      <alignment horizontal="center" vertical="center"/>
    </xf>
    <xf numFmtId="4" fontId="20" fillId="0" borderId="24" xfId="2" applyNumberFormat="1" applyFont="1" applyBorder="1" applyAlignment="1" applyProtection="1">
      <alignment horizontal="center" vertical="center"/>
    </xf>
    <xf numFmtId="4" fontId="29" fillId="0" borderId="24" xfId="2" applyNumberFormat="1" applyFont="1" applyBorder="1" applyAlignment="1" applyProtection="1">
      <alignment horizontal="center" vertical="center"/>
    </xf>
    <xf numFmtId="4" fontId="10" fillId="0" borderId="24" xfId="0" applyNumberFormat="1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 vertical="center" wrapText="1"/>
    </xf>
    <xf numFmtId="4" fontId="31" fillId="5" borderId="24" xfId="0" applyNumberFormat="1" applyFont="1" applyFill="1" applyBorder="1" applyAlignment="1">
      <alignment horizontal="center" vertical="center" wrapText="1"/>
    </xf>
    <xf numFmtId="4" fontId="32" fillId="5" borderId="15" xfId="0" applyNumberFormat="1" applyFont="1" applyFill="1" applyBorder="1" applyAlignment="1">
      <alignment horizontal="center" vertical="center" wrapText="1"/>
    </xf>
    <xf numFmtId="2" fontId="29" fillId="0" borderId="24" xfId="1" applyNumberFormat="1" applyFont="1" applyFill="1" applyBorder="1" applyAlignment="1">
      <alignment horizontal="center" vertical="center"/>
    </xf>
    <xf numFmtId="0" fontId="29" fillId="0" borderId="24" xfId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2" fontId="33" fillId="0" borderId="24" xfId="1" applyNumberFormat="1" applyFont="1" applyFill="1" applyBorder="1" applyAlignment="1">
      <alignment horizontal="center" vertical="center"/>
    </xf>
    <xf numFmtId="0" fontId="33" fillId="0" borderId="24" xfId="1" applyFont="1" applyFill="1" applyBorder="1" applyAlignment="1">
      <alignment horizontal="center" vertical="center"/>
    </xf>
    <xf numFmtId="4" fontId="33" fillId="0" borderId="24" xfId="2" applyNumberFormat="1" applyFont="1" applyBorder="1" applyAlignment="1" applyProtection="1">
      <alignment horizontal="center" vertical="center"/>
    </xf>
    <xf numFmtId="4" fontId="33" fillId="0" borderId="24" xfId="0" applyNumberFormat="1" applyFont="1" applyFill="1" applyBorder="1" applyAlignment="1">
      <alignment horizontal="center" vertical="center" wrapText="1"/>
    </xf>
    <xf numFmtId="0" fontId="7" fillId="0" borderId="24" xfId="2" applyFont="1" applyBorder="1" applyAlignment="1" applyProtection="1">
      <alignment horizontal="center" vertical="center"/>
    </xf>
    <xf numFmtId="0" fontId="7" fillId="0" borderId="24" xfId="0" applyFont="1" applyBorder="1" applyAlignment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4" fontId="7" fillId="0" borderId="24" xfId="2" applyNumberFormat="1" applyFont="1" applyBorder="1" applyAlignment="1" applyProtection="1">
      <alignment horizontal="center" vertical="center"/>
    </xf>
    <xf numFmtId="4" fontId="9" fillId="0" borderId="21" xfId="2" applyNumberFormat="1" applyFont="1" applyBorder="1" applyAlignment="1" applyProtection="1">
      <alignment horizontal="center" vertical="center"/>
    </xf>
    <xf numFmtId="0" fontId="28" fillId="0" borderId="24" xfId="2" applyFont="1" applyBorder="1" applyAlignment="1" applyProtection="1">
      <alignment horizontal="center" vertical="center"/>
    </xf>
    <xf numFmtId="4" fontId="28" fillId="0" borderId="24" xfId="2" applyNumberFormat="1" applyFont="1" applyBorder="1" applyAlignment="1" applyProtection="1">
      <alignment horizontal="center" vertic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8" fillId="0" borderId="24" xfId="0" applyFont="1" applyFill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43" fontId="19" fillId="0" borderId="11" xfId="0" applyNumberFormat="1" applyFont="1" applyBorder="1" applyAlignment="1">
      <alignment horizontal="center" vertical="top"/>
    </xf>
    <xf numFmtId="0" fontId="19" fillId="0" borderId="11" xfId="0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4" fontId="17" fillId="0" borderId="24" xfId="2" applyNumberFormat="1" applyFont="1" applyFill="1" applyBorder="1" applyAlignment="1" applyProtection="1">
      <alignment horizontal="left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7" fillId="2" borderId="26" xfId="1" applyFont="1" applyBorder="1" applyAlignment="1">
      <alignment horizontal="center" vertical="center"/>
    </xf>
    <xf numFmtId="0" fontId="17" fillId="2" borderId="18" xfId="1" applyFont="1" applyBorder="1" applyAlignment="1">
      <alignment horizontal="center" vertical="center"/>
    </xf>
    <xf numFmtId="0" fontId="17" fillId="2" borderId="44" xfId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</cellXfs>
  <cellStyles count="12">
    <cellStyle name="Excel Built-in Explanatory Text" xfId="5"/>
    <cellStyle name="Excel Built-in Output" xfId="4"/>
    <cellStyle name="Excel Built-in Output 2" xfId="9"/>
    <cellStyle name="Hiperlink" xfId="11" builtinId="8"/>
    <cellStyle name="Hiperlink 2" xfId="8"/>
    <cellStyle name="Moeda" xfId="3" builtinId="4"/>
    <cellStyle name="Moeda 2" xfId="7"/>
    <cellStyle name="Normal" xfId="0" builtinId="0"/>
    <cellStyle name="Normal 2" xfId="6"/>
    <cellStyle name="Normal 3" xfId="1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AppData/Roaming/Microsoft/07%20Jul/2022/10%20Outubro/Notas%20Fiscais/NF%20516064%20Jabu%20SA.pdf" TargetMode="External"/><Relationship Id="rId2" Type="http://schemas.openxmlformats.org/officeDocument/2006/relationships/hyperlink" Target="../AppData/Roaming/Microsoft/Excel/2022/10%20Outubro/Notas%20Fiscais/NF%20516064%20Jabu%20SA.pdf" TargetMode="External"/><Relationship Id="rId1" Type="http://schemas.openxmlformats.org/officeDocument/2006/relationships/hyperlink" Target="../AppData/Roaming/Microsoft/08%20Ago/2022/10%20Outubro/Notas%20Fiscais/NF%20516064%20Jabu%20SA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30"/>
  <sheetViews>
    <sheetView tabSelected="1" zoomScale="85" zoomScaleNormal="85" workbookViewId="0">
      <selection activeCell="K23" sqref="K23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style="28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16" max="16" width="12.85546875" customWidth="1"/>
  </cols>
  <sheetData>
    <row r="1" spans="1:15" ht="17.100000000000001" customHeight="1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5"/>
      <c r="J1" s="122" t="s">
        <v>1</v>
      </c>
      <c r="K1" s="122"/>
      <c r="L1" s="122"/>
      <c r="M1" s="122"/>
      <c r="N1" s="122"/>
      <c r="O1" s="123"/>
    </row>
    <row r="2" spans="1:15" ht="17.100000000000001" customHeight="1" x14ac:dyDescent="0.25">
      <c r="A2" s="116"/>
      <c r="B2" s="117"/>
      <c r="C2" s="117"/>
      <c r="D2" s="117"/>
      <c r="E2" s="117"/>
      <c r="F2" s="117"/>
      <c r="G2" s="117"/>
      <c r="H2" s="117"/>
      <c r="I2" s="118"/>
      <c r="J2" s="124" t="s">
        <v>2</v>
      </c>
      <c r="K2" s="124"/>
      <c r="L2" s="124"/>
      <c r="M2" s="124"/>
      <c r="N2" s="124"/>
      <c r="O2" s="125"/>
    </row>
    <row r="3" spans="1:15" ht="17.100000000000001" customHeight="1" x14ac:dyDescent="0.25">
      <c r="A3" s="116"/>
      <c r="B3" s="117"/>
      <c r="C3" s="117"/>
      <c r="D3" s="117"/>
      <c r="E3" s="117"/>
      <c r="F3" s="117"/>
      <c r="G3" s="117"/>
      <c r="H3" s="117"/>
      <c r="I3" s="118"/>
      <c r="J3" s="124" t="s">
        <v>3</v>
      </c>
      <c r="K3" s="124"/>
      <c r="L3" s="124"/>
      <c r="M3" s="124" t="s">
        <v>4</v>
      </c>
      <c r="N3" s="124"/>
      <c r="O3" s="1"/>
    </row>
    <row r="4" spans="1:15" ht="17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8"/>
      <c r="J4" s="124" t="s">
        <v>5</v>
      </c>
      <c r="K4" s="124"/>
      <c r="L4" s="124"/>
      <c r="M4" s="124" t="s">
        <v>6</v>
      </c>
      <c r="N4" s="124"/>
      <c r="O4" s="2"/>
    </row>
    <row r="5" spans="1:15" ht="17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8"/>
      <c r="J5" s="124" t="s">
        <v>7</v>
      </c>
      <c r="K5" s="124"/>
      <c r="L5" s="124"/>
      <c r="M5" s="124" t="s">
        <v>8</v>
      </c>
      <c r="N5" s="124"/>
      <c r="O5" s="1"/>
    </row>
    <row r="6" spans="1:15" ht="17.100000000000001" customHeight="1" x14ac:dyDescent="0.25">
      <c r="A6" s="119"/>
      <c r="B6" s="120"/>
      <c r="C6" s="120"/>
      <c r="D6" s="120"/>
      <c r="E6" s="120"/>
      <c r="F6" s="120"/>
      <c r="G6" s="120"/>
      <c r="H6" s="120"/>
      <c r="I6" s="121"/>
      <c r="J6" s="124" t="s">
        <v>9</v>
      </c>
      <c r="K6" s="124"/>
      <c r="L6" s="124"/>
      <c r="M6" s="124" t="s">
        <v>10</v>
      </c>
      <c r="N6" s="124"/>
      <c r="O6" s="1"/>
    </row>
    <row r="7" spans="1:15" ht="17.100000000000001" customHeight="1" x14ac:dyDescent="0.25">
      <c r="A7" s="97" t="s">
        <v>11</v>
      </c>
      <c r="B7" s="98"/>
      <c r="C7" s="98"/>
      <c r="D7" s="98"/>
      <c r="E7" s="98"/>
      <c r="F7" s="98"/>
      <c r="G7" s="98"/>
      <c r="H7" s="98"/>
      <c r="I7" s="99"/>
      <c r="J7" s="100" t="s">
        <v>51</v>
      </c>
      <c r="K7" s="101"/>
      <c r="L7" s="101"/>
      <c r="M7" s="101"/>
      <c r="N7" s="102"/>
      <c r="O7" s="103" t="s">
        <v>12</v>
      </c>
    </row>
    <row r="8" spans="1:15" ht="17.100000000000001" customHeight="1" x14ac:dyDescent="0.25">
      <c r="A8" s="104" t="s">
        <v>187</v>
      </c>
      <c r="B8" s="105"/>
      <c r="C8" s="105"/>
      <c r="D8" s="105"/>
      <c r="E8" s="105"/>
      <c r="F8" s="105"/>
      <c r="G8" s="105"/>
      <c r="H8" s="105"/>
      <c r="I8" s="106"/>
      <c r="J8" s="100" t="s">
        <v>13</v>
      </c>
      <c r="K8" s="101"/>
      <c r="L8" s="101"/>
      <c r="M8" s="101"/>
      <c r="N8" s="102"/>
      <c r="O8" s="103"/>
    </row>
    <row r="9" spans="1:15" ht="17.100000000000001" customHeight="1" x14ac:dyDescent="0.25">
      <c r="A9" s="107"/>
      <c r="B9" s="108"/>
      <c r="C9" s="108"/>
      <c r="D9" s="108"/>
      <c r="E9" s="108"/>
      <c r="F9" s="108"/>
      <c r="G9" s="108"/>
      <c r="H9" s="108"/>
      <c r="I9" s="109"/>
      <c r="J9" s="100" t="s">
        <v>14</v>
      </c>
      <c r="K9" s="101"/>
      <c r="L9" s="101"/>
      <c r="M9" s="101"/>
      <c r="N9" s="102"/>
      <c r="O9" s="103"/>
    </row>
    <row r="10" spans="1:15" ht="17.100000000000001" customHeight="1" x14ac:dyDescent="0.25">
      <c r="A10" s="107"/>
      <c r="B10" s="108"/>
      <c r="C10" s="108"/>
      <c r="D10" s="108"/>
      <c r="E10" s="108"/>
      <c r="F10" s="108"/>
      <c r="G10" s="108"/>
      <c r="H10" s="108"/>
      <c r="I10" s="109"/>
      <c r="J10" s="100" t="s">
        <v>15</v>
      </c>
      <c r="K10" s="101"/>
      <c r="L10" s="101"/>
      <c r="M10" s="101"/>
      <c r="N10" s="102"/>
      <c r="O10" s="103"/>
    </row>
    <row r="11" spans="1:15" ht="17.100000000000001" customHeight="1" x14ac:dyDescent="0.25">
      <c r="A11" s="107"/>
      <c r="B11" s="108"/>
      <c r="C11" s="108"/>
      <c r="D11" s="108"/>
      <c r="E11" s="108"/>
      <c r="F11" s="108"/>
      <c r="G11" s="108"/>
      <c r="H11" s="108"/>
      <c r="I11" s="109"/>
      <c r="J11" s="100" t="s">
        <v>50</v>
      </c>
      <c r="K11" s="101"/>
      <c r="L11" s="101"/>
      <c r="M11" s="101"/>
      <c r="N11" s="102"/>
      <c r="O11" s="103"/>
    </row>
    <row r="12" spans="1:15" ht="17.100000000000001" customHeight="1" x14ac:dyDescent="0.25">
      <c r="A12" s="107"/>
      <c r="B12" s="108"/>
      <c r="C12" s="108"/>
      <c r="D12" s="108"/>
      <c r="E12" s="108"/>
      <c r="F12" s="108"/>
      <c r="G12" s="108"/>
      <c r="H12" s="108"/>
      <c r="I12" s="109"/>
      <c r="J12" s="100" t="s">
        <v>83</v>
      </c>
      <c r="K12" s="101"/>
      <c r="L12" s="101"/>
      <c r="M12" s="101"/>
      <c r="N12" s="102"/>
      <c r="O12" s="103"/>
    </row>
    <row r="13" spans="1:15" ht="17.100000000000001" customHeight="1" x14ac:dyDescent="0.25">
      <c r="A13" s="110"/>
      <c r="B13" s="111"/>
      <c r="C13" s="111"/>
      <c r="D13" s="111"/>
      <c r="E13" s="111"/>
      <c r="F13" s="111"/>
      <c r="G13" s="111"/>
      <c r="H13" s="111"/>
      <c r="I13" s="112"/>
      <c r="J13" s="100" t="s">
        <v>84</v>
      </c>
      <c r="K13" s="101"/>
      <c r="L13" s="101"/>
      <c r="M13" s="101"/>
      <c r="N13" s="102"/>
      <c r="O13" s="103"/>
    </row>
    <row r="14" spans="1:15" ht="17.100000000000001" customHeight="1" x14ac:dyDescent="0.25">
      <c r="A14" s="127" t="s">
        <v>16</v>
      </c>
      <c r="B14" s="129" t="s">
        <v>17</v>
      </c>
      <c r="C14" s="129" t="s">
        <v>18</v>
      </c>
      <c r="D14" s="129" t="s">
        <v>19</v>
      </c>
      <c r="E14" s="129" t="s">
        <v>20</v>
      </c>
      <c r="F14" s="129" t="s">
        <v>21</v>
      </c>
      <c r="G14" s="129" t="s">
        <v>22</v>
      </c>
      <c r="H14" s="179" t="s">
        <v>23</v>
      </c>
      <c r="I14" s="179"/>
      <c r="J14" s="179"/>
      <c r="K14" s="179"/>
      <c r="L14" s="180"/>
      <c r="M14" s="129" t="s">
        <v>24</v>
      </c>
      <c r="N14" s="129" t="s">
        <v>25</v>
      </c>
      <c r="O14" s="103" t="s">
        <v>26</v>
      </c>
    </row>
    <row r="15" spans="1:15" ht="17.100000000000001" customHeight="1" x14ac:dyDescent="0.25">
      <c r="A15" s="128"/>
      <c r="B15" s="130"/>
      <c r="C15" s="130"/>
      <c r="D15" s="130"/>
      <c r="E15" s="130"/>
      <c r="F15" s="130"/>
      <c r="G15" s="130"/>
      <c r="H15" s="4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30"/>
      <c r="N15" s="130"/>
      <c r="O15" s="103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47"/>
      <c r="I16" s="9"/>
      <c r="J16" s="9"/>
      <c r="K16" s="9"/>
      <c r="L16" s="9"/>
      <c r="M16" s="21">
        <f>SUM(M17:M37)</f>
        <v>100417.21499523999</v>
      </c>
      <c r="N16" s="10">
        <f>SUM(N17:N31)</f>
        <v>0.84032952379792636</v>
      </c>
      <c r="O16" s="103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180</v>
      </c>
      <c r="H17" s="78">
        <v>49.57</v>
      </c>
      <c r="I17" s="14">
        <f>H17*0.2232</f>
        <v>11.064024</v>
      </c>
      <c r="J17" s="14">
        <f>H17+I17</f>
        <v>60.634023999999997</v>
      </c>
      <c r="K17" s="14">
        <f>J17*(0.03%)</f>
        <v>1.8190207199999999E-2</v>
      </c>
      <c r="L17" s="14">
        <f>J17-K17</f>
        <v>60.615833792799997</v>
      </c>
      <c r="M17" s="14">
        <f>L17*G17</f>
        <v>10910.850082703999</v>
      </c>
      <c r="N17" s="14">
        <f>M17/M$16</f>
        <v>0.10865517514323812</v>
      </c>
      <c r="O17" s="126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17">
        <v>180</v>
      </c>
      <c r="H18" s="78">
        <v>38.36</v>
      </c>
      <c r="I18" s="14">
        <f t="shared" ref="I18:I31" si="0">H18*0.2232</f>
        <v>8.5619519999999998</v>
      </c>
      <c r="J18" s="14">
        <f t="shared" ref="J18:J31" si="1">H18+I18</f>
        <v>46.921951999999997</v>
      </c>
      <c r="K18" s="14">
        <f t="shared" ref="K18:K31" si="2">J18*(0.03%)</f>
        <v>1.4076585599999998E-2</v>
      </c>
      <c r="L18" s="14">
        <f t="shared" ref="L18:L31" si="3">J18-K18</f>
        <v>46.907875414399996</v>
      </c>
      <c r="M18" s="14">
        <f t="shared" ref="M18:M31" si="4">L18*G18</f>
        <v>8443.4175745920002</v>
      </c>
      <c r="N18" s="14">
        <f t="shared" ref="N18:N31" si="5">M18/M$16</f>
        <v>8.4083367328921021E-2</v>
      </c>
      <c r="O18" s="126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180</v>
      </c>
      <c r="H19" s="78">
        <v>38.36</v>
      </c>
      <c r="I19" s="14">
        <f t="shared" si="0"/>
        <v>8.5619519999999998</v>
      </c>
      <c r="J19" s="14">
        <f t="shared" si="1"/>
        <v>46.921951999999997</v>
      </c>
      <c r="K19" s="14">
        <f t="shared" si="2"/>
        <v>1.4076585599999998E-2</v>
      </c>
      <c r="L19" s="14">
        <f t="shared" si="3"/>
        <v>46.907875414399996</v>
      </c>
      <c r="M19" s="14">
        <f t="shared" si="4"/>
        <v>8443.4175745920002</v>
      </c>
      <c r="N19" s="14">
        <f t="shared" si="5"/>
        <v>8.4083367328921021E-2</v>
      </c>
      <c r="O19" s="126"/>
    </row>
    <row r="20" spans="1:15" ht="26.25" customHeight="1" x14ac:dyDescent="0.25">
      <c r="A20" s="184" t="s">
        <v>188</v>
      </c>
      <c r="B20" s="185"/>
      <c r="C20" s="185"/>
      <c r="D20" s="185"/>
      <c r="E20" s="186"/>
      <c r="F20" s="90" t="s">
        <v>35</v>
      </c>
      <c r="G20" s="91">
        <v>-10</v>
      </c>
      <c r="H20" s="92">
        <v>38.36</v>
      </c>
      <c r="I20" s="93">
        <f t="shared" ref="I20" si="6">H20*0.2232</f>
        <v>8.5619519999999998</v>
      </c>
      <c r="J20" s="93">
        <f t="shared" ref="J20" si="7">H20+I20</f>
        <v>46.921951999999997</v>
      </c>
      <c r="K20" s="93">
        <f t="shared" ref="K20" si="8">J20*(0.03%)</f>
        <v>1.4076585599999998E-2</v>
      </c>
      <c r="L20" s="93">
        <f t="shared" ref="L20" si="9">J20-K20</f>
        <v>46.907875414399996</v>
      </c>
      <c r="M20" s="93">
        <f t="shared" ref="M20" si="10">L20*G20</f>
        <v>-469.07875414399996</v>
      </c>
      <c r="N20" s="93"/>
      <c r="O20" s="126"/>
    </row>
    <row r="21" spans="1:15" ht="26.25" customHeight="1" x14ac:dyDescent="0.25">
      <c r="A21" s="17" t="s">
        <v>67</v>
      </c>
      <c r="B21" s="17" t="s">
        <v>33</v>
      </c>
      <c r="C21" s="11">
        <v>88248</v>
      </c>
      <c r="D21" s="11" t="s">
        <v>34</v>
      </c>
      <c r="E21" s="20" t="s">
        <v>57</v>
      </c>
      <c r="F21" s="13" t="s">
        <v>35</v>
      </c>
      <c r="G21" s="17">
        <v>180</v>
      </c>
      <c r="H21" s="78">
        <v>31.51</v>
      </c>
      <c r="I21" s="14">
        <f t="shared" si="0"/>
        <v>7.0330320000000004</v>
      </c>
      <c r="J21" s="14">
        <f t="shared" si="1"/>
        <v>38.543032000000004</v>
      </c>
      <c r="K21" s="14">
        <f t="shared" si="2"/>
        <v>1.1562909600000001E-2</v>
      </c>
      <c r="L21" s="14">
        <f t="shared" si="3"/>
        <v>38.531469090400002</v>
      </c>
      <c r="M21" s="14">
        <f t="shared" si="4"/>
        <v>6935.6644362719999</v>
      </c>
      <c r="N21" s="14">
        <f t="shared" si="5"/>
        <v>6.9068480305899405E-2</v>
      </c>
      <c r="O21" s="126"/>
    </row>
    <row r="22" spans="1:15" ht="26.25" customHeight="1" x14ac:dyDescent="0.25">
      <c r="A22" s="17" t="s">
        <v>68</v>
      </c>
      <c r="B22" s="17" t="s">
        <v>33</v>
      </c>
      <c r="C22" s="11" t="s">
        <v>56</v>
      </c>
      <c r="D22" s="11" t="s">
        <v>34</v>
      </c>
      <c r="E22" s="20" t="s">
        <v>57</v>
      </c>
      <c r="F22" s="13" t="s">
        <v>35</v>
      </c>
      <c r="G22" s="17">
        <v>180</v>
      </c>
      <c r="H22" s="78">
        <v>31.51</v>
      </c>
      <c r="I22" s="14">
        <f t="shared" si="0"/>
        <v>7.0330320000000004</v>
      </c>
      <c r="J22" s="14">
        <f t="shared" si="1"/>
        <v>38.543032000000004</v>
      </c>
      <c r="K22" s="14">
        <f t="shared" si="2"/>
        <v>1.1562909600000001E-2</v>
      </c>
      <c r="L22" s="14">
        <f t="shared" si="3"/>
        <v>38.531469090400002</v>
      </c>
      <c r="M22" s="14">
        <f t="shared" si="4"/>
        <v>6935.6644362719999</v>
      </c>
      <c r="N22" s="14">
        <f t="shared" si="5"/>
        <v>6.9068480305899405E-2</v>
      </c>
      <c r="O22" s="126"/>
    </row>
    <row r="23" spans="1:15" ht="26.25" customHeight="1" x14ac:dyDescent="0.25">
      <c r="A23" s="184" t="s">
        <v>189</v>
      </c>
      <c r="B23" s="185"/>
      <c r="C23" s="185"/>
      <c r="D23" s="185"/>
      <c r="E23" s="186"/>
      <c r="F23" s="90" t="s">
        <v>35</v>
      </c>
      <c r="G23" s="91">
        <v>-10</v>
      </c>
      <c r="H23" s="92">
        <v>31.51</v>
      </c>
      <c r="I23" s="93">
        <f t="shared" ref="I23" si="11">H23*0.2232</f>
        <v>7.0330320000000004</v>
      </c>
      <c r="J23" s="93">
        <f t="shared" ref="J23" si="12">H23+I23</f>
        <v>38.543032000000004</v>
      </c>
      <c r="K23" s="93">
        <f t="shared" ref="K23" si="13">J23*(0.03%)</f>
        <v>1.1562909600000001E-2</v>
      </c>
      <c r="L23" s="93">
        <f t="shared" ref="L23" si="14">J23-K23</f>
        <v>38.531469090400002</v>
      </c>
      <c r="M23" s="93">
        <f t="shared" ref="M23" si="15">L23*G23</f>
        <v>-385.31469090400003</v>
      </c>
      <c r="N23" s="93"/>
      <c r="O23" s="126"/>
    </row>
    <row r="24" spans="1:15" ht="26.25" customHeight="1" x14ac:dyDescent="0.25">
      <c r="A24" s="17" t="s">
        <v>69</v>
      </c>
      <c r="B24" s="17" t="s">
        <v>33</v>
      </c>
      <c r="C24" s="11">
        <v>88309</v>
      </c>
      <c r="D24" s="11" t="s">
        <v>34</v>
      </c>
      <c r="E24" s="20" t="s">
        <v>59</v>
      </c>
      <c r="F24" s="13" t="s">
        <v>35</v>
      </c>
      <c r="G24" s="17">
        <v>180</v>
      </c>
      <c r="H24" s="78">
        <v>34.08</v>
      </c>
      <c r="I24" s="14">
        <f t="shared" si="0"/>
        <v>7.6066560000000001</v>
      </c>
      <c r="J24" s="14">
        <f t="shared" si="1"/>
        <v>41.686655999999999</v>
      </c>
      <c r="K24" s="14">
        <f t="shared" si="2"/>
        <v>1.2505996799999999E-2</v>
      </c>
      <c r="L24" s="14">
        <f t="shared" si="3"/>
        <v>41.674150003199998</v>
      </c>
      <c r="M24" s="14">
        <f t="shared" si="4"/>
        <v>7501.3470005759991</v>
      </c>
      <c r="N24" s="14">
        <f t="shared" si="5"/>
        <v>7.4701802882419913E-2</v>
      </c>
      <c r="O24" s="126"/>
    </row>
    <row r="25" spans="1:15" ht="26.25" customHeight="1" x14ac:dyDescent="0.25">
      <c r="A25" s="17" t="s">
        <v>70</v>
      </c>
      <c r="B25" s="17" t="s">
        <v>33</v>
      </c>
      <c r="C25" s="11" t="s">
        <v>58</v>
      </c>
      <c r="D25" s="11" t="s">
        <v>34</v>
      </c>
      <c r="E25" s="20" t="s">
        <v>59</v>
      </c>
      <c r="F25" s="13" t="s">
        <v>35</v>
      </c>
      <c r="G25" s="17">
        <v>180</v>
      </c>
      <c r="H25" s="78">
        <v>34.08</v>
      </c>
      <c r="I25" s="14">
        <f t="shared" si="0"/>
        <v>7.6066560000000001</v>
      </c>
      <c r="J25" s="14">
        <f t="shared" si="1"/>
        <v>41.686655999999999</v>
      </c>
      <c r="K25" s="14">
        <f t="shared" si="2"/>
        <v>1.2505996799999999E-2</v>
      </c>
      <c r="L25" s="14">
        <f t="shared" si="3"/>
        <v>41.674150003199998</v>
      </c>
      <c r="M25" s="14">
        <f t="shared" si="4"/>
        <v>7501.3470005759991</v>
      </c>
      <c r="N25" s="14">
        <f t="shared" si="5"/>
        <v>7.4701802882419913E-2</v>
      </c>
      <c r="O25" s="126"/>
    </row>
    <row r="26" spans="1:15" ht="26.25" customHeight="1" x14ac:dyDescent="0.25">
      <c r="A26" s="184" t="s">
        <v>190</v>
      </c>
      <c r="B26" s="185"/>
      <c r="C26" s="185"/>
      <c r="D26" s="185"/>
      <c r="E26" s="186"/>
      <c r="F26" s="90" t="s">
        <v>35</v>
      </c>
      <c r="G26" s="91">
        <v>-30</v>
      </c>
      <c r="H26" s="92">
        <v>34.08</v>
      </c>
      <c r="I26" s="93">
        <f t="shared" ref="I26" si="16">H26*0.2232</f>
        <v>7.6066560000000001</v>
      </c>
      <c r="J26" s="93">
        <f t="shared" ref="J26" si="17">H26+I26</f>
        <v>41.686655999999999</v>
      </c>
      <c r="K26" s="93">
        <f t="shared" ref="K26" si="18">J26*(0.03%)</f>
        <v>1.2505996799999999E-2</v>
      </c>
      <c r="L26" s="93">
        <f t="shared" ref="L26" si="19">J26-K26</f>
        <v>41.674150003199998</v>
      </c>
      <c r="M26" s="93">
        <f t="shared" ref="M26" si="20">L26*G26</f>
        <v>-1250.2245000959999</v>
      </c>
      <c r="N26" s="93"/>
      <c r="O26" s="126"/>
    </row>
    <row r="27" spans="1:15" ht="26.25" customHeight="1" x14ac:dyDescent="0.25">
      <c r="A27" s="17" t="s">
        <v>71</v>
      </c>
      <c r="B27" s="17" t="s">
        <v>33</v>
      </c>
      <c r="C27" s="11">
        <v>88242</v>
      </c>
      <c r="D27" s="11" t="s">
        <v>34</v>
      </c>
      <c r="E27" s="20" t="s">
        <v>61</v>
      </c>
      <c r="F27" s="13" t="s">
        <v>35</v>
      </c>
      <c r="G27" s="17">
        <v>180</v>
      </c>
      <c r="H27" s="78">
        <v>32.08</v>
      </c>
      <c r="I27" s="14">
        <f t="shared" si="0"/>
        <v>7.1602559999999995</v>
      </c>
      <c r="J27" s="14">
        <f t="shared" si="1"/>
        <v>39.240255999999995</v>
      </c>
      <c r="K27" s="14">
        <f t="shared" si="2"/>
        <v>1.1772076799999998E-2</v>
      </c>
      <c r="L27" s="14">
        <f t="shared" si="3"/>
        <v>39.228483923199995</v>
      </c>
      <c r="M27" s="14">
        <f t="shared" si="4"/>
        <v>7061.127106175999</v>
      </c>
      <c r="N27" s="14">
        <f t="shared" si="5"/>
        <v>7.0317894262559591E-2</v>
      </c>
      <c r="O27" s="126"/>
    </row>
    <row r="28" spans="1:15" ht="26.25" customHeight="1" x14ac:dyDescent="0.25">
      <c r="A28" s="17" t="s">
        <v>72</v>
      </c>
      <c r="B28" s="17" t="s">
        <v>33</v>
      </c>
      <c r="C28" s="11" t="s">
        <v>60</v>
      </c>
      <c r="D28" s="11" t="s">
        <v>34</v>
      </c>
      <c r="E28" s="20" t="s">
        <v>61</v>
      </c>
      <c r="F28" s="13" t="s">
        <v>35</v>
      </c>
      <c r="G28" s="17">
        <v>180</v>
      </c>
      <c r="H28" s="78">
        <v>32.08</v>
      </c>
      <c r="I28" s="14">
        <f t="shared" si="0"/>
        <v>7.1602559999999995</v>
      </c>
      <c r="J28" s="14">
        <f t="shared" si="1"/>
        <v>39.240255999999995</v>
      </c>
      <c r="K28" s="14">
        <f t="shared" si="2"/>
        <v>1.1772076799999998E-2</v>
      </c>
      <c r="L28" s="14">
        <f t="shared" si="3"/>
        <v>39.228483923199995</v>
      </c>
      <c r="M28" s="14">
        <f t="shared" si="4"/>
        <v>7061.127106175999</v>
      </c>
      <c r="N28" s="14">
        <f t="shared" si="5"/>
        <v>7.0317894262559591E-2</v>
      </c>
      <c r="O28" s="126"/>
    </row>
    <row r="29" spans="1:15" ht="26.25" customHeight="1" x14ac:dyDescent="0.25">
      <c r="A29" s="17" t="s">
        <v>73</v>
      </c>
      <c r="B29" s="17" t="s">
        <v>33</v>
      </c>
      <c r="C29" s="11" t="s">
        <v>60</v>
      </c>
      <c r="D29" s="11" t="s">
        <v>34</v>
      </c>
      <c r="E29" s="20" t="s">
        <v>61</v>
      </c>
      <c r="F29" s="13" t="s">
        <v>35</v>
      </c>
      <c r="G29" s="17">
        <v>180</v>
      </c>
      <c r="H29" s="78">
        <v>32.08</v>
      </c>
      <c r="I29" s="14">
        <f t="shared" si="0"/>
        <v>7.1602559999999995</v>
      </c>
      <c r="J29" s="14">
        <f t="shared" si="1"/>
        <v>39.240255999999995</v>
      </c>
      <c r="K29" s="14">
        <f t="shared" si="2"/>
        <v>1.1772076799999998E-2</v>
      </c>
      <c r="L29" s="14">
        <f t="shared" si="3"/>
        <v>39.228483923199995</v>
      </c>
      <c r="M29" s="14">
        <f t="shared" si="4"/>
        <v>7061.127106175999</v>
      </c>
      <c r="N29" s="14">
        <f t="shared" si="5"/>
        <v>7.0317894262559591E-2</v>
      </c>
      <c r="O29" s="126"/>
    </row>
    <row r="30" spans="1:15" ht="26.25" customHeight="1" x14ac:dyDescent="0.25">
      <c r="A30" s="17" t="s">
        <v>74</v>
      </c>
      <c r="B30" s="17" t="s">
        <v>33</v>
      </c>
      <c r="C30" s="11">
        <v>88241</v>
      </c>
      <c r="D30" s="11" t="s">
        <v>34</v>
      </c>
      <c r="E30" s="12" t="s">
        <v>64</v>
      </c>
      <c r="F30" s="13" t="s">
        <v>35</v>
      </c>
      <c r="G30" s="17">
        <v>180</v>
      </c>
      <c r="H30" s="78">
        <v>29.66</v>
      </c>
      <c r="I30" s="14">
        <f t="shared" si="0"/>
        <v>6.6201120000000007</v>
      </c>
      <c r="J30" s="14">
        <f t="shared" si="1"/>
        <v>36.280112000000003</v>
      </c>
      <c r="K30" s="14">
        <f t="shared" si="2"/>
        <v>1.0884033600000001E-2</v>
      </c>
      <c r="L30" s="14">
        <f t="shared" si="3"/>
        <v>36.269227966400003</v>
      </c>
      <c r="M30" s="14">
        <f t="shared" si="4"/>
        <v>6528.4610339520004</v>
      </c>
      <c r="N30" s="14">
        <f t="shared" si="5"/>
        <v>6.5013364832528606E-2</v>
      </c>
      <c r="O30" s="126"/>
    </row>
    <row r="31" spans="1:15" ht="26.25" customHeight="1" x14ac:dyDescent="0.25">
      <c r="A31" s="17" t="s">
        <v>75</v>
      </c>
      <c r="B31" s="17" t="s">
        <v>33</v>
      </c>
      <c r="C31" s="11" t="s">
        <v>63</v>
      </c>
      <c r="D31" s="11" t="s">
        <v>34</v>
      </c>
      <c r="E31" s="12" t="s">
        <v>64</v>
      </c>
      <c r="F31" s="13" t="s">
        <v>35</v>
      </c>
      <c r="G31" s="17">
        <v>0</v>
      </c>
      <c r="H31" s="78">
        <v>29.66</v>
      </c>
      <c r="I31" s="14">
        <f t="shared" si="0"/>
        <v>6.6201120000000007</v>
      </c>
      <c r="J31" s="14">
        <f t="shared" si="1"/>
        <v>36.280112000000003</v>
      </c>
      <c r="K31" s="14">
        <f t="shared" si="2"/>
        <v>1.0884033600000001E-2</v>
      </c>
      <c r="L31" s="14">
        <f t="shared" si="3"/>
        <v>36.269227966400003</v>
      </c>
      <c r="M31" s="14">
        <f t="shared" si="4"/>
        <v>0</v>
      </c>
      <c r="N31" s="14">
        <f t="shared" si="5"/>
        <v>0</v>
      </c>
      <c r="O31" s="126"/>
    </row>
    <row r="32" spans="1:15" s="29" customFormat="1" ht="26.25" customHeight="1" x14ac:dyDescent="0.2">
      <c r="A32" s="33" t="s">
        <v>92</v>
      </c>
      <c r="B32" s="33" t="s">
        <v>33</v>
      </c>
      <c r="C32" s="33" t="s">
        <v>58</v>
      </c>
      <c r="D32" s="33" t="s">
        <v>34</v>
      </c>
      <c r="E32" s="34" t="s">
        <v>59</v>
      </c>
      <c r="F32" s="35" t="s">
        <v>35</v>
      </c>
      <c r="G32" s="11">
        <v>180</v>
      </c>
      <c r="H32" s="78">
        <v>34.08</v>
      </c>
      <c r="I32" s="36">
        <f t="shared" ref="I32:I38" si="21">H32*0.2232</f>
        <v>7.6066560000000001</v>
      </c>
      <c r="J32" s="36">
        <f t="shared" ref="J32:J38" si="22">H32+I32</f>
        <v>41.686655999999999</v>
      </c>
      <c r="K32" s="36">
        <f t="shared" ref="K32:K38" si="23">J32*(0.03%)</f>
        <v>1.2505996799999999E-2</v>
      </c>
      <c r="L32" s="36">
        <f t="shared" ref="L32:L38" si="24">J32-K32</f>
        <v>41.674150003199998</v>
      </c>
      <c r="M32" s="36">
        <f t="shared" ref="M32:M38" si="25">L32*G32</f>
        <v>7501.3470005759991</v>
      </c>
      <c r="N32" s="36">
        <f>M32/M$16</f>
        <v>7.4701802882419913E-2</v>
      </c>
      <c r="O32" s="126"/>
    </row>
    <row r="33" spans="1:119" s="29" customFormat="1" ht="23.25" customHeight="1" x14ac:dyDescent="0.2">
      <c r="A33" s="33" t="s">
        <v>93</v>
      </c>
      <c r="B33" s="33" t="s">
        <v>33</v>
      </c>
      <c r="C33" s="33" t="s">
        <v>60</v>
      </c>
      <c r="D33" s="33" t="s">
        <v>34</v>
      </c>
      <c r="E33" s="34" t="s">
        <v>61</v>
      </c>
      <c r="F33" s="35" t="s">
        <v>35</v>
      </c>
      <c r="G33" s="11">
        <v>180</v>
      </c>
      <c r="H33" s="78">
        <v>32.08</v>
      </c>
      <c r="I33" s="36">
        <f t="shared" si="21"/>
        <v>7.1602559999999995</v>
      </c>
      <c r="J33" s="36">
        <f t="shared" si="22"/>
        <v>39.240255999999995</v>
      </c>
      <c r="K33" s="36">
        <f t="shared" si="23"/>
        <v>1.1772076799999998E-2</v>
      </c>
      <c r="L33" s="36">
        <f t="shared" si="24"/>
        <v>39.228483923199995</v>
      </c>
      <c r="M33" s="36">
        <f t="shared" si="25"/>
        <v>7061.127106175999</v>
      </c>
      <c r="N33" s="36">
        <f>M33/M$16</f>
        <v>7.0317894262559591E-2</v>
      </c>
      <c r="O33" s="126"/>
    </row>
    <row r="34" spans="1:119" s="29" customFormat="1" ht="23.25" customHeight="1" x14ac:dyDescent="0.2">
      <c r="A34" s="184" t="s">
        <v>192</v>
      </c>
      <c r="B34" s="185"/>
      <c r="C34" s="185"/>
      <c r="D34" s="185"/>
      <c r="E34" s="186"/>
      <c r="F34" s="95" t="s">
        <v>35</v>
      </c>
      <c r="G34" s="91">
        <v>-60</v>
      </c>
      <c r="H34" s="92">
        <v>32.08</v>
      </c>
      <c r="I34" s="96">
        <f t="shared" si="21"/>
        <v>7.1602559999999995</v>
      </c>
      <c r="J34" s="96">
        <f t="shared" si="22"/>
        <v>39.240255999999995</v>
      </c>
      <c r="K34" s="96">
        <f t="shared" si="23"/>
        <v>1.1772076799999998E-2</v>
      </c>
      <c r="L34" s="96">
        <f t="shared" si="24"/>
        <v>39.228483923199995</v>
      </c>
      <c r="M34" s="96">
        <f t="shared" si="25"/>
        <v>-2353.7090353919998</v>
      </c>
      <c r="N34" s="36"/>
      <c r="O34" s="126"/>
    </row>
    <row r="35" spans="1:119" s="29" customFormat="1" ht="23.25" customHeight="1" x14ac:dyDescent="0.2">
      <c r="A35" s="11" t="s">
        <v>94</v>
      </c>
      <c r="B35" s="11" t="s">
        <v>33</v>
      </c>
      <c r="C35" s="11">
        <v>88310</v>
      </c>
      <c r="D35" s="11" t="s">
        <v>34</v>
      </c>
      <c r="E35" s="20" t="s">
        <v>79</v>
      </c>
      <c r="F35" s="13" t="s">
        <v>35</v>
      </c>
      <c r="G35" s="11">
        <v>0</v>
      </c>
      <c r="H35" s="78">
        <v>36.82</v>
      </c>
      <c r="I35" s="14">
        <f t="shared" si="21"/>
        <v>8.2182240000000011</v>
      </c>
      <c r="J35" s="14">
        <f t="shared" si="22"/>
        <v>45.038224</v>
      </c>
      <c r="K35" s="14">
        <f t="shared" si="23"/>
        <v>1.3511467199999998E-2</v>
      </c>
      <c r="L35" s="14">
        <f t="shared" si="24"/>
        <v>45.024712532800002</v>
      </c>
      <c r="M35" s="14">
        <f t="shared" si="25"/>
        <v>0</v>
      </c>
      <c r="N35" s="14">
        <f>M35/M$16</f>
        <v>0</v>
      </c>
      <c r="O35" s="126"/>
    </row>
    <row r="36" spans="1:119" s="29" customFormat="1" ht="23.25" customHeight="1" x14ac:dyDescent="0.2">
      <c r="A36" s="184" t="s">
        <v>193</v>
      </c>
      <c r="B36" s="185"/>
      <c r="C36" s="185"/>
      <c r="D36" s="185"/>
      <c r="E36" s="186"/>
      <c r="F36" s="90" t="s">
        <v>35</v>
      </c>
      <c r="G36" s="91">
        <v>-20</v>
      </c>
      <c r="H36" s="92">
        <v>36.82</v>
      </c>
      <c r="I36" s="93">
        <f t="shared" si="21"/>
        <v>8.2182240000000011</v>
      </c>
      <c r="J36" s="93">
        <f t="shared" si="22"/>
        <v>45.038224</v>
      </c>
      <c r="K36" s="93">
        <f t="shared" si="23"/>
        <v>1.3511467199999998E-2</v>
      </c>
      <c r="L36" s="93">
        <f t="shared" si="24"/>
        <v>45.024712532800002</v>
      </c>
      <c r="M36" s="93">
        <f t="shared" si="25"/>
        <v>-900.49425065600008</v>
      </c>
      <c r="N36" s="14"/>
      <c r="O36" s="126"/>
    </row>
    <row r="37" spans="1:119" ht="26.25" customHeight="1" x14ac:dyDescent="0.25">
      <c r="A37" s="54" t="s">
        <v>95</v>
      </c>
      <c r="B37" s="55" t="s">
        <v>33</v>
      </c>
      <c r="C37" s="56">
        <v>88243</v>
      </c>
      <c r="D37" s="56" t="s">
        <v>34</v>
      </c>
      <c r="E37" s="57" t="s">
        <v>96</v>
      </c>
      <c r="F37" s="13" t="s">
        <v>35</v>
      </c>
      <c r="G37" s="11">
        <v>180</v>
      </c>
      <c r="H37" s="78">
        <v>31.03</v>
      </c>
      <c r="I37" s="14">
        <f t="shared" si="21"/>
        <v>6.9258960000000007</v>
      </c>
      <c r="J37" s="14">
        <f t="shared" si="22"/>
        <v>37.955896000000003</v>
      </c>
      <c r="K37" s="14">
        <f t="shared" si="23"/>
        <v>1.1386768800000001E-2</v>
      </c>
      <c r="L37" s="14">
        <f t="shared" si="24"/>
        <v>37.944509231200001</v>
      </c>
      <c r="M37" s="14">
        <f t="shared" si="25"/>
        <v>6830.0116616160003</v>
      </c>
      <c r="N37" s="14">
        <f>M37/M$16</f>
        <v>6.8016342237132932E-2</v>
      </c>
      <c r="O37" s="126"/>
    </row>
    <row r="38" spans="1:119" ht="26.25" customHeight="1" x14ac:dyDescent="0.25">
      <c r="A38" s="184" t="s">
        <v>191</v>
      </c>
      <c r="B38" s="185"/>
      <c r="C38" s="185"/>
      <c r="D38" s="185"/>
      <c r="E38" s="186"/>
      <c r="F38" s="90" t="s">
        <v>35</v>
      </c>
      <c r="G38" s="91">
        <v>-10</v>
      </c>
      <c r="H38" s="92">
        <v>31.03</v>
      </c>
      <c r="I38" s="93">
        <f t="shared" si="21"/>
        <v>6.9258960000000007</v>
      </c>
      <c r="J38" s="93">
        <f t="shared" si="22"/>
        <v>37.955896000000003</v>
      </c>
      <c r="K38" s="93">
        <f t="shared" si="23"/>
        <v>1.1386768800000001E-2</v>
      </c>
      <c r="L38" s="93">
        <f t="shared" si="24"/>
        <v>37.944509231200001</v>
      </c>
      <c r="M38" s="93">
        <f t="shared" si="25"/>
        <v>-379.44509231200004</v>
      </c>
      <c r="N38" s="94"/>
      <c r="O38" s="126"/>
    </row>
    <row r="39" spans="1:119" x14ac:dyDescent="0.25">
      <c r="A39" s="127" t="s">
        <v>16</v>
      </c>
      <c r="B39" s="129" t="s">
        <v>17</v>
      </c>
      <c r="C39" s="129" t="s">
        <v>18</v>
      </c>
      <c r="D39" s="129" t="s">
        <v>19</v>
      </c>
      <c r="E39" s="129" t="s">
        <v>20</v>
      </c>
      <c r="F39" s="129" t="s">
        <v>21</v>
      </c>
      <c r="G39" s="129" t="s">
        <v>22</v>
      </c>
      <c r="H39" s="179" t="s">
        <v>23</v>
      </c>
      <c r="I39" s="179"/>
      <c r="J39" s="179"/>
      <c r="K39" s="179"/>
      <c r="L39" s="180"/>
      <c r="M39" s="129" t="s">
        <v>24</v>
      </c>
      <c r="N39" s="129" t="s">
        <v>25</v>
      </c>
      <c r="O39" s="126"/>
    </row>
    <row r="40" spans="1:119" ht="17.100000000000001" customHeight="1" x14ac:dyDescent="0.25">
      <c r="A40" s="128"/>
      <c r="B40" s="130"/>
      <c r="C40" s="130"/>
      <c r="D40" s="130"/>
      <c r="E40" s="130"/>
      <c r="F40" s="130"/>
      <c r="G40" s="130"/>
      <c r="H40" s="4" t="s">
        <v>27</v>
      </c>
      <c r="I40" s="25" t="s">
        <v>36</v>
      </c>
      <c r="J40" s="3" t="s">
        <v>29</v>
      </c>
      <c r="K40" s="4" t="s">
        <v>52</v>
      </c>
      <c r="L40" s="3" t="s">
        <v>30</v>
      </c>
      <c r="M40" s="130"/>
      <c r="N40" s="130"/>
      <c r="O40" s="103"/>
    </row>
    <row r="41" spans="1:119" ht="17.100000000000001" customHeight="1" x14ac:dyDescent="0.25">
      <c r="A41" s="15">
        <v>2</v>
      </c>
      <c r="B41" s="187" t="s">
        <v>37</v>
      </c>
      <c r="C41" s="187"/>
      <c r="D41" s="188"/>
      <c r="E41" s="188"/>
      <c r="F41" s="188"/>
      <c r="G41" s="16"/>
      <c r="H41" s="48"/>
      <c r="I41" s="16"/>
      <c r="J41" s="16"/>
      <c r="K41" s="16"/>
      <c r="L41" s="16"/>
      <c r="M41" s="22">
        <f>SUM(M42:M78)</f>
        <v>16796.909858266979</v>
      </c>
      <c r="N41" s="16"/>
      <c r="O41" s="126"/>
    </row>
    <row r="42" spans="1:119" s="66" customFormat="1" ht="15" customHeight="1" x14ac:dyDescent="0.25">
      <c r="A42" s="18" t="s">
        <v>100</v>
      </c>
      <c r="B42" s="18" t="s">
        <v>81</v>
      </c>
      <c r="C42" s="18">
        <v>43132</v>
      </c>
      <c r="D42" s="18" t="s">
        <v>34</v>
      </c>
      <c r="E42" s="65" t="s">
        <v>155</v>
      </c>
      <c r="F42" s="18" t="s">
        <v>156</v>
      </c>
      <c r="G42" s="18">
        <v>6</v>
      </c>
      <c r="H42" s="83">
        <v>21.16</v>
      </c>
      <c r="I42" s="14">
        <f t="shared" ref="I42" si="26">H42*0.1532</f>
        <v>3.2417120000000001</v>
      </c>
      <c r="J42" s="14">
        <f t="shared" ref="J42" si="27">H42+I42</f>
        <v>24.401712</v>
      </c>
      <c r="K42" s="14">
        <f t="shared" ref="K42" si="28">J42*(0.03%)</f>
        <v>7.3205135999999992E-3</v>
      </c>
      <c r="L42" s="14">
        <f t="shared" ref="L42" si="29">J42-K42</f>
        <v>24.3943914864</v>
      </c>
      <c r="M42" s="14">
        <f t="shared" ref="M42" si="30">L42*G42</f>
        <v>146.36634891840001</v>
      </c>
      <c r="N42" s="14">
        <f t="shared" ref="N42" si="31">M42/M41</f>
        <v>8.7138854797367687E-3</v>
      </c>
      <c r="O42" s="12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</row>
    <row r="43" spans="1:119" s="19" customFormat="1" ht="17.100000000000001" customHeight="1" x14ac:dyDescent="0.2">
      <c r="A43" s="18" t="s">
        <v>101</v>
      </c>
      <c r="B43" s="18" t="s">
        <v>81</v>
      </c>
      <c r="C43" s="18">
        <v>1106</v>
      </c>
      <c r="D43" s="18" t="s">
        <v>34</v>
      </c>
      <c r="E43" s="65" t="s">
        <v>114</v>
      </c>
      <c r="F43" s="18" t="s">
        <v>156</v>
      </c>
      <c r="G43" s="18">
        <v>300</v>
      </c>
      <c r="H43" s="84">
        <v>0.9</v>
      </c>
      <c r="I43" s="14">
        <f t="shared" ref="I43:I50" si="32">H43*0.1532</f>
        <v>0.13788</v>
      </c>
      <c r="J43" s="14">
        <f t="shared" ref="J43:J50" si="33">H43+I43</f>
        <v>1.0378799999999999</v>
      </c>
      <c r="K43" s="14">
        <f t="shared" ref="K43:K50" si="34">J43*(0.03%)</f>
        <v>3.1136399999999996E-4</v>
      </c>
      <c r="L43" s="14">
        <f t="shared" ref="L43:L50" si="35">J43-K43</f>
        <v>1.0375686359999998</v>
      </c>
      <c r="M43" s="14">
        <f t="shared" ref="M43:M50" si="36">L43*G43</f>
        <v>311.27059079999992</v>
      </c>
      <c r="N43" s="14">
        <f t="shared" ref="N43:N50" si="37">M43/M42</f>
        <v>2.1266540642722109</v>
      </c>
      <c r="O43" s="126"/>
    </row>
    <row r="44" spans="1:119" s="46" customFormat="1" ht="15" customHeight="1" x14ac:dyDescent="0.25">
      <c r="A44" s="18" t="s">
        <v>102</v>
      </c>
      <c r="B44" s="18" t="s">
        <v>81</v>
      </c>
      <c r="C44" s="18">
        <v>1379</v>
      </c>
      <c r="D44" s="18" t="s">
        <v>34</v>
      </c>
      <c r="E44" s="53" t="s">
        <v>157</v>
      </c>
      <c r="F44" s="18" t="s">
        <v>21</v>
      </c>
      <c r="G44" s="18">
        <v>3000</v>
      </c>
      <c r="H44" s="83">
        <v>0.62</v>
      </c>
      <c r="I44" s="52">
        <f t="shared" si="32"/>
        <v>9.4983999999999999E-2</v>
      </c>
      <c r="J44" s="52">
        <f t="shared" si="33"/>
        <v>0.71498399999999995</v>
      </c>
      <c r="K44" s="52">
        <f t="shared" si="34"/>
        <v>2.1449519999999997E-4</v>
      </c>
      <c r="L44" s="52">
        <f t="shared" si="35"/>
        <v>0.7147695047999999</v>
      </c>
      <c r="M44" s="52">
        <f t="shared" si="36"/>
        <v>2144.3085143999997</v>
      </c>
      <c r="N44" s="14">
        <f>M44/M43</f>
        <v>6.8888888888888893</v>
      </c>
      <c r="O44" s="126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</row>
    <row r="45" spans="1:119" s="19" customFormat="1" ht="17.100000000000001" customHeight="1" x14ac:dyDescent="0.2">
      <c r="A45" s="18" t="s">
        <v>113</v>
      </c>
      <c r="B45" s="18" t="s">
        <v>81</v>
      </c>
      <c r="C45" s="18">
        <v>98</v>
      </c>
      <c r="D45" s="18" t="s">
        <v>34</v>
      </c>
      <c r="E45" s="53" t="s">
        <v>158</v>
      </c>
      <c r="F45" s="18" t="s">
        <v>21</v>
      </c>
      <c r="G45" s="18">
        <v>10</v>
      </c>
      <c r="H45" s="83">
        <v>29</v>
      </c>
      <c r="I45" s="14">
        <f t="shared" si="32"/>
        <v>4.4428000000000001</v>
      </c>
      <c r="J45" s="14">
        <f t="shared" si="33"/>
        <v>33.442799999999998</v>
      </c>
      <c r="K45" s="14">
        <f t="shared" si="34"/>
        <v>1.0032839999999999E-2</v>
      </c>
      <c r="L45" s="14">
        <f t="shared" si="35"/>
        <v>33.432767159999997</v>
      </c>
      <c r="M45" s="14">
        <f t="shared" si="36"/>
        <v>334.32767159999997</v>
      </c>
      <c r="N45" s="14">
        <f t="shared" si="37"/>
        <v>0.15591397849462366</v>
      </c>
      <c r="O45" s="126"/>
    </row>
    <row r="46" spans="1:119" s="43" customFormat="1" ht="15" customHeight="1" x14ac:dyDescent="0.25">
      <c r="A46" s="18" t="s">
        <v>104</v>
      </c>
      <c r="B46" s="18" t="s">
        <v>81</v>
      </c>
      <c r="C46" s="18">
        <v>6754</v>
      </c>
      <c r="D46" s="18" t="s">
        <v>103</v>
      </c>
      <c r="E46" s="65" t="s">
        <v>159</v>
      </c>
      <c r="F46" s="18" t="s">
        <v>107</v>
      </c>
      <c r="G46" s="18">
        <v>0.85</v>
      </c>
      <c r="H46" s="86">
        <v>331.87</v>
      </c>
      <c r="I46" s="14">
        <f t="shared" si="32"/>
        <v>50.842483999999999</v>
      </c>
      <c r="J46" s="14">
        <f t="shared" si="33"/>
        <v>382.71248400000002</v>
      </c>
      <c r="K46" s="14">
        <f t="shared" si="34"/>
        <v>0.1148137452</v>
      </c>
      <c r="L46" s="14">
        <f t="shared" si="35"/>
        <v>382.59767025479999</v>
      </c>
      <c r="M46" s="14">
        <f t="shared" si="36"/>
        <v>325.20801971658</v>
      </c>
      <c r="N46" s="36">
        <f t="shared" si="37"/>
        <v>0.97272241379310354</v>
      </c>
      <c r="O46" s="126"/>
    </row>
    <row r="47" spans="1:119" s="43" customFormat="1" ht="15" customHeight="1" x14ac:dyDescent="0.25">
      <c r="A47" s="18" t="s">
        <v>105</v>
      </c>
      <c r="B47" s="18" t="s">
        <v>81</v>
      </c>
      <c r="C47" s="18">
        <v>6142</v>
      </c>
      <c r="D47" s="18" t="s">
        <v>34</v>
      </c>
      <c r="E47" s="44" t="s">
        <v>160</v>
      </c>
      <c r="F47" s="18" t="s">
        <v>21</v>
      </c>
      <c r="G47" s="18">
        <v>10</v>
      </c>
      <c r="H47" s="86">
        <v>9.7200000000000006</v>
      </c>
      <c r="I47" s="14">
        <f t="shared" si="32"/>
        <v>1.4891040000000002</v>
      </c>
      <c r="J47" s="14">
        <f t="shared" si="33"/>
        <v>11.209104</v>
      </c>
      <c r="K47" s="14">
        <f t="shared" si="34"/>
        <v>3.3627311999999995E-3</v>
      </c>
      <c r="L47" s="14">
        <f t="shared" si="35"/>
        <v>11.205741268800001</v>
      </c>
      <c r="M47" s="14">
        <f t="shared" si="36"/>
        <v>112.057412688</v>
      </c>
      <c r="N47" s="36">
        <f t="shared" si="37"/>
        <v>0.34457149238096418</v>
      </c>
      <c r="O47" s="126"/>
    </row>
    <row r="48" spans="1:119" s="19" customFormat="1" ht="17.100000000000001" customHeight="1" x14ac:dyDescent="0.2">
      <c r="A48" s="18" t="s">
        <v>106</v>
      </c>
      <c r="B48" s="18" t="s">
        <v>81</v>
      </c>
      <c r="C48" s="18">
        <v>11762</v>
      </c>
      <c r="D48" s="18" t="s">
        <v>34</v>
      </c>
      <c r="E48" s="69" t="s">
        <v>126</v>
      </c>
      <c r="F48" s="18" t="s">
        <v>21</v>
      </c>
      <c r="G48" s="18">
        <v>15</v>
      </c>
      <c r="H48" s="86">
        <v>49.24</v>
      </c>
      <c r="I48" s="14">
        <f t="shared" si="32"/>
        <v>7.5435680000000005</v>
      </c>
      <c r="J48" s="14">
        <f t="shared" si="33"/>
        <v>56.783568000000002</v>
      </c>
      <c r="K48" s="14">
        <f t="shared" si="34"/>
        <v>1.7035070399999998E-2</v>
      </c>
      <c r="L48" s="14">
        <f t="shared" si="35"/>
        <v>56.766532929600004</v>
      </c>
      <c r="M48" s="14">
        <f t="shared" si="36"/>
        <v>851.49799394400009</v>
      </c>
      <c r="N48" s="36">
        <f t="shared" si="37"/>
        <v>7.5987654320987659</v>
      </c>
      <c r="O48" s="126"/>
    </row>
    <row r="49" spans="1:119" s="46" customFormat="1" ht="15" customHeight="1" x14ac:dyDescent="0.25">
      <c r="A49" s="18" t="s">
        <v>115</v>
      </c>
      <c r="B49" s="18" t="s">
        <v>81</v>
      </c>
      <c r="C49" s="85">
        <v>44945</v>
      </c>
      <c r="D49" s="18" t="s">
        <v>34</v>
      </c>
      <c r="E49" s="70" t="s">
        <v>127</v>
      </c>
      <c r="F49" s="18" t="s">
        <v>21</v>
      </c>
      <c r="G49" s="18">
        <v>15</v>
      </c>
      <c r="H49" s="86">
        <v>10.78</v>
      </c>
      <c r="I49" s="14">
        <f t="shared" si="32"/>
        <v>1.6514959999999999</v>
      </c>
      <c r="J49" s="14">
        <f t="shared" si="33"/>
        <v>12.431495999999999</v>
      </c>
      <c r="K49" s="14">
        <f t="shared" si="34"/>
        <v>3.7294487999999996E-3</v>
      </c>
      <c r="L49" s="14">
        <f t="shared" si="35"/>
        <v>12.4277665512</v>
      </c>
      <c r="M49" s="14">
        <f t="shared" si="36"/>
        <v>186.416498268</v>
      </c>
      <c r="N49" s="14">
        <f t="shared" si="37"/>
        <v>0.21892770105605197</v>
      </c>
      <c r="O49" s="126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</row>
    <row r="50" spans="1:119" s="19" customFormat="1" ht="17.100000000000001" customHeight="1" x14ac:dyDescent="0.2">
      <c r="A50" s="18" t="s">
        <v>82</v>
      </c>
      <c r="B50" s="18" t="s">
        <v>81</v>
      </c>
      <c r="C50" s="18">
        <v>10228</v>
      </c>
      <c r="D50" s="18" t="s">
        <v>34</v>
      </c>
      <c r="E50" s="24" t="s">
        <v>128</v>
      </c>
      <c r="F50" s="18" t="s">
        <v>21</v>
      </c>
      <c r="G50" s="18">
        <v>5</v>
      </c>
      <c r="H50" s="86">
        <v>378.15</v>
      </c>
      <c r="I50" s="14">
        <f t="shared" si="32"/>
        <v>57.932579999999994</v>
      </c>
      <c r="J50" s="14">
        <f t="shared" si="33"/>
        <v>436.08257999999995</v>
      </c>
      <c r="K50" s="14">
        <f t="shared" si="34"/>
        <v>0.13082477399999998</v>
      </c>
      <c r="L50" s="14">
        <f t="shared" si="35"/>
        <v>435.95175522599993</v>
      </c>
      <c r="M50" s="14">
        <f t="shared" si="36"/>
        <v>2179.7587761299997</v>
      </c>
      <c r="N50" s="36">
        <f t="shared" si="37"/>
        <v>11.69294990723562</v>
      </c>
      <c r="O50" s="126"/>
    </row>
    <row r="51" spans="1:119" s="19" customFormat="1" ht="17.100000000000001" customHeight="1" x14ac:dyDescent="0.2">
      <c r="A51" s="18" t="s">
        <v>111</v>
      </c>
      <c r="B51" s="18" t="s">
        <v>81</v>
      </c>
      <c r="C51" s="11">
        <v>37949</v>
      </c>
      <c r="D51" s="18" t="s">
        <v>34</v>
      </c>
      <c r="E51" s="44" t="s">
        <v>130</v>
      </c>
      <c r="F51" s="18" t="s">
        <v>21</v>
      </c>
      <c r="G51" s="18">
        <v>15</v>
      </c>
      <c r="H51" s="87">
        <v>2.4</v>
      </c>
      <c r="I51" s="14">
        <f t="shared" ref="I51:I53" si="38">H51*0.1532</f>
        <v>0.36768000000000001</v>
      </c>
      <c r="J51" s="14">
        <f t="shared" ref="J51:J53" si="39">H51+I51</f>
        <v>2.7676799999999999</v>
      </c>
      <c r="K51" s="14">
        <f t="shared" ref="K51:K53" si="40">J51*(0.03%)</f>
        <v>8.3030399999999992E-4</v>
      </c>
      <c r="L51" s="14">
        <f t="shared" ref="L51:L53" si="41">J51-K51</f>
        <v>2.766849696</v>
      </c>
      <c r="M51" s="14">
        <f t="shared" ref="M51:M53" si="42">L51*G51</f>
        <v>41.502745439999998</v>
      </c>
      <c r="N51" s="14">
        <f t="shared" ref="N51:N52" si="43">M51/M50</f>
        <v>1.9040063466878226E-2</v>
      </c>
      <c r="O51" s="126"/>
    </row>
    <row r="52" spans="1:119" s="46" customFormat="1" ht="15" customHeight="1" x14ac:dyDescent="0.25">
      <c r="A52" s="18" t="s">
        <v>116</v>
      </c>
      <c r="B52" s="18" t="s">
        <v>81</v>
      </c>
      <c r="C52" s="85">
        <v>37948</v>
      </c>
      <c r="D52" s="18" t="s">
        <v>34</v>
      </c>
      <c r="E52" s="65" t="s">
        <v>161</v>
      </c>
      <c r="F52" s="18" t="s">
        <v>21</v>
      </c>
      <c r="G52" s="18">
        <v>10</v>
      </c>
      <c r="H52" s="86">
        <v>4</v>
      </c>
      <c r="I52" s="14">
        <f t="shared" si="38"/>
        <v>0.61280000000000001</v>
      </c>
      <c r="J52" s="14">
        <f t="shared" si="39"/>
        <v>4.6128</v>
      </c>
      <c r="K52" s="14">
        <f t="shared" si="40"/>
        <v>1.3838399999999999E-3</v>
      </c>
      <c r="L52" s="14">
        <f t="shared" si="41"/>
        <v>4.6114161600000001</v>
      </c>
      <c r="M52" s="14">
        <f t="shared" si="42"/>
        <v>46.114161600000003</v>
      </c>
      <c r="N52" s="14">
        <f t="shared" si="43"/>
        <v>1.1111111111111112</v>
      </c>
      <c r="O52" s="126"/>
    </row>
    <row r="53" spans="1:119" s="46" customFormat="1" ht="15" customHeight="1" x14ac:dyDescent="0.25">
      <c r="A53" s="18" t="s">
        <v>117</v>
      </c>
      <c r="B53" s="18" t="s">
        <v>81</v>
      </c>
      <c r="C53" s="18">
        <v>10432</v>
      </c>
      <c r="D53" s="18" t="s">
        <v>34</v>
      </c>
      <c r="E53" s="65" t="s">
        <v>162</v>
      </c>
      <c r="F53" s="18" t="s">
        <v>21</v>
      </c>
      <c r="G53" s="18">
        <v>10</v>
      </c>
      <c r="H53" s="86">
        <v>346.45</v>
      </c>
      <c r="I53" s="14">
        <f t="shared" si="38"/>
        <v>53.076140000000002</v>
      </c>
      <c r="J53" s="14">
        <f t="shared" si="39"/>
        <v>399.52614</v>
      </c>
      <c r="K53" s="14">
        <f t="shared" si="40"/>
        <v>0.11985784199999999</v>
      </c>
      <c r="L53" s="14">
        <f t="shared" si="41"/>
        <v>399.40628215800001</v>
      </c>
      <c r="M53" s="14">
        <f t="shared" si="42"/>
        <v>3994.0628215800002</v>
      </c>
      <c r="N53" s="14">
        <f t="shared" ref="N53" si="44">M53/M52</f>
        <v>86.612499999999997</v>
      </c>
      <c r="O53" s="126"/>
    </row>
    <row r="54" spans="1:119" s="19" customFormat="1" ht="17.100000000000001" customHeight="1" x14ac:dyDescent="0.2">
      <c r="A54" s="18" t="s">
        <v>118</v>
      </c>
      <c r="B54" s="18" t="s">
        <v>81</v>
      </c>
      <c r="C54" s="11">
        <v>36801</v>
      </c>
      <c r="D54" s="18" t="s">
        <v>34</v>
      </c>
      <c r="E54" s="44" t="s">
        <v>163</v>
      </c>
      <c r="F54" s="18" t="s">
        <v>21</v>
      </c>
      <c r="G54" s="18">
        <v>15</v>
      </c>
      <c r="H54" s="87">
        <v>29.17</v>
      </c>
      <c r="I54" s="14">
        <f t="shared" ref="I54:I60" si="45">H54*0.1532</f>
        <v>4.4688440000000007</v>
      </c>
      <c r="J54" s="14">
        <f t="shared" ref="J54:J60" si="46">H54+I54</f>
        <v>33.638844000000006</v>
      </c>
      <c r="K54" s="14">
        <f t="shared" ref="K54:K60" si="47">J54*(0.03%)</f>
        <v>1.0091653200000002E-2</v>
      </c>
      <c r="L54" s="14">
        <f t="shared" ref="L54:L60" si="48">J54-K54</f>
        <v>33.628752346800006</v>
      </c>
      <c r="M54" s="14">
        <f t="shared" ref="M54:M60" si="49">L54*G54</f>
        <v>504.43128520200008</v>
      </c>
      <c r="N54" s="14">
        <f t="shared" ref="N54:N55" si="50">M54/M53</f>
        <v>0.12629528070428633</v>
      </c>
      <c r="O54" s="126"/>
    </row>
    <row r="55" spans="1:119" s="28" customFormat="1" x14ac:dyDescent="0.25">
      <c r="A55" s="18" t="s">
        <v>119</v>
      </c>
      <c r="B55" s="18" t="s">
        <v>81</v>
      </c>
      <c r="C55" s="11">
        <v>38643</v>
      </c>
      <c r="D55" s="18" t="s">
        <v>34</v>
      </c>
      <c r="E55" s="44" t="s">
        <v>164</v>
      </c>
      <c r="F55" s="18" t="s">
        <v>21</v>
      </c>
      <c r="G55" s="18">
        <v>15</v>
      </c>
      <c r="H55" s="88">
        <v>47.17</v>
      </c>
      <c r="I55" s="14">
        <f t="shared" si="45"/>
        <v>7.2264440000000008</v>
      </c>
      <c r="J55" s="14">
        <f t="shared" si="46"/>
        <v>54.396444000000002</v>
      </c>
      <c r="K55" s="14">
        <f t="shared" si="47"/>
        <v>1.63189332E-2</v>
      </c>
      <c r="L55" s="14">
        <f t="shared" si="48"/>
        <v>54.380125066800005</v>
      </c>
      <c r="M55" s="14">
        <f t="shared" si="49"/>
        <v>815.70187600200006</v>
      </c>
      <c r="N55" s="14">
        <f t="shared" si="50"/>
        <v>1.6170723345903324</v>
      </c>
      <c r="O55" s="126"/>
    </row>
    <row r="56" spans="1:119" s="19" customFormat="1" ht="17.100000000000001" customHeight="1" x14ac:dyDescent="0.2">
      <c r="A56" s="18" t="s">
        <v>122</v>
      </c>
      <c r="B56" s="18" t="s">
        <v>81</v>
      </c>
      <c r="C56" s="18" t="s">
        <v>165</v>
      </c>
      <c r="D56" s="18" t="s">
        <v>166</v>
      </c>
      <c r="E56" s="53" t="s">
        <v>167</v>
      </c>
      <c r="F56" s="18" t="s">
        <v>21</v>
      </c>
      <c r="G56" s="18">
        <v>10</v>
      </c>
      <c r="H56" s="86">
        <v>107.15</v>
      </c>
      <c r="I56" s="14">
        <f t="shared" si="45"/>
        <v>16.415380000000003</v>
      </c>
      <c r="J56" s="14">
        <f t="shared" si="46"/>
        <v>123.56538</v>
      </c>
      <c r="K56" s="14">
        <f t="shared" si="47"/>
        <v>3.7069614000000001E-2</v>
      </c>
      <c r="L56" s="14">
        <f t="shared" si="48"/>
        <v>123.528310386</v>
      </c>
      <c r="M56" s="14">
        <f t="shared" si="49"/>
        <v>1235.28310386</v>
      </c>
      <c r="N56" s="14">
        <f>M56/M55</f>
        <v>1.51438060914423</v>
      </c>
      <c r="O56" s="126"/>
    </row>
    <row r="57" spans="1:119" s="19" customFormat="1" ht="17.100000000000001" customHeight="1" x14ac:dyDescent="0.2">
      <c r="A57" s="18" t="s">
        <v>123</v>
      </c>
      <c r="B57" s="18" t="s">
        <v>81</v>
      </c>
      <c r="C57" s="18">
        <v>11675</v>
      </c>
      <c r="D57" s="18" t="s">
        <v>34</v>
      </c>
      <c r="E57" s="24" t="s">
        <v>168</v>
      </c>
      <c r="F57" s="18" t="s">
        <v>21</v>
      </c>
      <c r="G57" s="18">
        <v>10</v>
      </c>
      <c r="H57" s="87">
        <v>42.09</v>
      </c>
      <c r="I57" s="14">
        <f t="shared" si="45"/>
        <v>6.4481880000000009</v>
      </c>
      <c r="J57" s="14">
        <f t="shared" si="46"/>
        <v>48.538188000000005</v>
      </c>
      <c r="K57" s="14">
        <f t="shared" si="47"/>
        <v>1.4561456400000001E-2</v>
      </c>
      <c r="L57" s="14">
        <f t="shared" si="48"/>
        <v>48.523626543600002</v>
      </c>
      <c r="M57" s="14">
        <f t="shared" si="49"/>
        <v>485.23626543600005</v>
      </c>
      <c r="N57" s="14">
        <f>M57/M56</f>
        <v>0.3928138124125059</v>
      </c>
      <c r="O57" s="126"/>
    </row>
    <row r="58" spans="1:119" s="19" customFormat="1" ht="17.100000000000001" customHeight="1" x14ac:dyDescent="0.2">
      <c r="A58" s="18" t="s">
        <v>136</v>
      </c>
      <c r="B58" s="18" t="s">
        <v>81</v>
      </c>
      <c r="C58" s="23">
        <v>11677</v>
      </c>
      <c r="D58" s="18" t="s">
        <v>34</v>
      </c>
      <c r="E58" s="24" t="s">
        <v>169</v>
      </c>
      <c r="F58" s="18" t="s">
        <v>21</v>
      </c>
      <c r="G58" s="18">
        <v>5</v>
      </c>
      <c r="H58" s="87">
        <v>58.13</v>
      </c>
      <c r="I58" s="14">
        <f t="shared" si="45"/>
        <v>8.9055160000000004</v>
      </c>
      <c r="J58" s="14">
        <f t="shared" si="46"/>
        <v>67.035516000000001</v>
      </c>
      <c r="K58" s="14">
        <f t="shared" si="47"/>
        <v>2.0110654799999999E-2</v>
      </c>
      <c r="L58" s="14">
        <f t="shared" si="48"/>
        <v>67.015405345199994</v>
      </c>
      <c r="M58" s="14">
        <f t="shared" si="49"/>
        <v>335.07702672599999</v>
      </c>
      <c r="N58" s="14">
        <f>M58/M57</f>
        <v>0.69054407222618186</v>
      </c>
      <c r="O58" s="126"/>
    </row>
    <row r="59" spans="1:119" s="66" customFormat="1" ht="15" customHeight="1" x14ac:dyDescent="0.2">
      <c r="A59" s="18" t="s">
        <v>133</v>
      </c>
      <c r="B59" s="18" t="s">
        <v>81</v>
      </c>
      <c r="C59" s="18">
        <v>65</v>
      </c>
      <c r="D59" s="18" t="s">
        <v>34</v>
      </c>
      <c r="E59" s="70" t="s">
        <v>132</v>
      </c>
      <c r="F59" s="18" t="s">
        <v>21</v>
      </c>
      <c r="G59" s="18">
        <v>15</v>
      </c>
      <c r="H59" s="86">
        <v>0.93</v>
      </c>
      <c r="I59" s="14">
        <f t="shared" si="45"/>
        <v>0.14247600000000002</v>
      </c>
      <c r="J59" s="14">
        <f t="shared" si="46"/>
        <v>1.072476</v>
      </c>
      <c r="K59" s="14">
        <f t="shared" si="47"/>
        <v>3.2174279999999997E-4</v>
      </c>
      <c r="L59" s="14">
        <f t="shared" si="48"/>
        <v>1.0721542572</v>
      </c>
      <c r="M59" s="14">
        <f t="shared" si="49"/>
        <v>16.082313857999999</v>
      </c>
      <c r="N59" s="14">
        <f t="shared" ref="N59" si="51">M59/M58</f>
        <v>4.7995871322896955E-2</v>
      </c>
      <c r="O59" s="126"/>
    </row>
    <row r="60" spans="1:119" s="43" customFormat="1" ht="15" customHeight="1" x14ac:dyDescent="0.25">
      <c r="A60" s="18" t="s">
        <v>137</v>
      </c>
      <c r="B60" s="18" t="s">
        <v>81</v>
      </c>
      <c r="C60" s="18">
        <v>108</v>
      </c>
      <c r="D60" s="18" t="s">
        <v>34</v>
      </c>
      <c r="E60" s="71" t="s">
        <v>170</v>
      </c>
      <c r="F60" s="18" t="s">
        <v>21</v>
      </c>
      <c r="G60" s="18">
        <v>10</v>
      </c>
      <c r="H60" s="86">
        <v>1.87</v>
      </c>
      <c r="I60" s="14">
        <f t="shared" si="45"/>
        <v>0.28648400000000002</v>
      </c>
      <c r="J60" s="14">
        <f t="shared" si="46"/>
        <v>2.1564840000000003</v>
      </c>
      <c r="K60" s="14">
        <f t="shared" si="47"/>
        <v>6.4694520000000008E-4</v>
      </c>
      <c r="L60" s="14">
        <f t="shared" si="48"/>
        <v>2.1558370548000001</v>
      </c>
      <c r="M60" s="14">
        <f t="shared" si="49"/>
        <v>21.558370547999999</v>
      </c>
      <c r="N60" s="36">
        <f t="shared" ref="N60" si="52">M60/M59</f>
        <v>1.3405017921146953</v>
      </c>
      <c r="O60" s="126"/>
    </row>
    <row r="61" spans="1:119" s="66" customFormat="1" ht="15" customHeight="1" x14ac:dyDescent="0.25">
      <c r="A61" s="18" t="s">
        <v>124</v>
      </c>
      <c r="B61" s="18" t="s">
        <v>81</v>
      </c>
      <c r="C61" s="18">
        <v>13983</v>
      </c>
      <c r="D61" s="18" t="s">
        <v>34</v>
      </c>
      <c r="E61" s="53" t="s">
        <v>129</v>
      </c>
      <c r="F61" s="18" t="s">
        <v>21</v>
      </c>
      <c r="G61" s="18">
        <v>10</v>
      </c>
      <c r="H61" s="86">
        <v>78.87</v>
      </c>
      <c r="I61" s="14">
        <f t="shared" ref="I61:I72" si="53">H61*0.1532</f>
        <v>12.082884000000002</v>
      </c>
      <c r="J61" s="14">
        <f t="shared" ref="J61:J72" si="54">H61+I61</f>
        <v>90.952884000000012</v>
      </c>
      <c r="K61" s="14">
        <f t="shared" ref="K61:K72" si="55">J61*(0.03%)</f>
        <v>2.7285865200000002E-2</v>
      </c>
      <c r="L61" s="14">
        <f t="shared" ref="L61:L72" si="56">J61-K61</f>
        <v>90.925598134800012</v>
      </c>
      <c r="M61" s="14">
        <f t="shared" ref="M61:M72" si="57">L61*G61</f>
        <v>909.25598134800009</v>
      </c>
      <c r="N61" s="14">
        <f t="shared" ref="N61:N69" si="58">M61/M$33</f>
        <v>0.12876924146468366</v>
      </c>
      <c r="O61" s="126"/>
    </row>
    <row r="62" spans="1:119" s="67" customFormat="1" ht="15" customHeight="1" x14ac:dyDescent="0.25">
      <c r="A62" s="18" t="s">
        <v>109</v>
      </c>
      <c r="B62" s="18" t="s">
        <v>81</v>
      </c>
      <c r="C62" s="72">
        <v>813</v>
      </c>
      <c r="D62" s="18" t="s">
        <v>34</v>
      </c>
      <c r="E62" s="73" t="s">
        <v>171</v>
      </c>
      <c r="F62" s="18" t="s">
        <v>21</v>
      </c>
      <c r="G62" s="72">
        <v>10</v>
      </c>
      <c r="H62" s="89">
        <v>4.43</v>
      </c>
      <c r="I62" s="14">
        <f t="shared" si="53"/>
        <v>0.67867599999999995</v>
      </c>
      <c r="J62" s="14">
        <f t="shared" si="54"/>
        <v>5.108676</v>
      </c>
      <c r="K62" s="14">
        <f t="shared" si="55"/>
        <v>1.5326027999999999E-3</v>
      </c>
      <c r="L62" s="14">
        <f t="shared" si="56"/>
        <v>5.1071433971999998</v>
      </c>
      <c r="M62" s="14">
        <f t="shared" si="57"/>
        <v>51.071433971999994</v>
      </c>
      <c r="N62" s="14">
        <f>M62/M61</f>
        <v>5.6168378344110551E-2</v>
      </c>
      <c r="O62" s="126"/>
    </row>
    <row r="63" spans="1:119" s="43" customFormat="1" ht="15" customHeight="1" x14ac:dyDescent="0.25">
      <c r="A63" s="18" t="s">
        <v>125</v>
      </c>
      <c r="B63" s="18" t="s">
        <v>81</v>
      </c>
      <c r="C63" s="18">
        <v>20147</v>
      </c>
      <c r="D63" s="18" t="s">
        <v>34</v>
      </c>
      <c r="E63" s="44" t="s">
        <v>172</v>
      </c>
      <c r="F63" s="18" t="s">
        <v>21</v>
      </c>
      <c r="G63" s="18">
        <v>10</v>
      </c>
      <c r="H63" s="86">
        <v>5.6</v>
      </c>
      <c r="I63" s="14">
        <f t="shared" si="53"/>
        <v>0.85792000000000002</v>
      </c>
      <c r="J63" s="14">
        <f t="shared" si="54"/>
        <v>6.4579199999999997</v>
      </c>
      <c r="K63" s="14">
        <f t="shared" si="55"/>
        <v>1.9373759999999998E-3</v>
      </c>
      <c r="L63" s="14">
        <f t="shared" si="56"/>
        <v>6.4559826239999998</v>
      </c>
      <c r="M63" s="14">
        <f t="shared" si="57"/>
        <v>64.559826239999992</v>
      </c>
      <c r="N63" s="36">
        <f t="shared" ref="N63:N66" si="59">M63/M62</f>
        <v>1.2641083521444696</v>
      </c>
      <c r="O63" s="126"/>
    </row>
    <row r="64" spans="1:119" s="43" customFormat="1" ht="15" customHeight="1" x14ac:dyDescent="0.25">
      <c r="A64" s="18" t="s">
        <v>131</v>
      </c>
      <c r="B64" s="18" t="s">
        <v>81</v>
      </c>
      <c r="C64" s="18">
        <v>3529</v>
      </c>
      <c r="D64" s="18" t="s">
        <v>34</v>
      </c>
      <c r="E64" s="44" t="s">
        <v>134</v>
      </c>
      <c r="F64" s="18" t="s">
        <v>21</v>
      </c>
      <c r="G64" s="18">
        <v>15</v>
      </c>
      <c r="H64" s="86">
        <v>0.76</v>
      </c>
      <c r="I64" s="14">
        <f t="shared" si="53"/>
        <v>0.11643200000000001</v>
      </c>
      <c r="J64" s="14">
        <f t="shared" si="54"/>
        <v>0.87643199999999999</v>
      </c>
      <c r="K64" s="14">
        <f t="shared" si="55"/>
        <v>2.6292959999999995E-4</v>
      </c>
      <c r="L64" s="14">
        <f t="shared" si="56"/>
        <v>0.87616907040000003</v>
      </c>
      <c r="M64" s="14">
        <f t="shared" si="57"/>
        <v>13.142536056000001</v>
      </c>
      <c r="N64" s="36">
        <f t="shared" si="59"/>
        <v>0.2035714285714286</v>
      </c>
      <c r="O64" s="126"/>
    </row>
    <row r="65" spans="1:119" s="19" customFormat="1" ht="17.100000000000001" customHeight="1" x14ac:dyDescent="0.2">
      <c r="A65" s="18" t="s">
        <v>112</v>
      </c>
      <c r="B65" s="18" t="s">
        <v>81</v>
      </c>
      <c r="C65" s="18">
        <v>3904</v>
      </c>
      <c r="D65" s="18" t="s">
        <v>34</v>
      </c>
      <c r="E65" s="74" t="s">
        <v>173</v>
      </c>
      <c r="F65" s="18" t="s">
        <v>21</v>
      </c>
      <c r="G65" s="18">
        <v>10</v>
      </c>
      <c r="H65" s="87">
        <v>0.86</v>
      </c>
      <c r="I65" s="14">
        <f t="shared" si="53"/>
        <v>0.13175200000000001</v>
      </c>
      <c r="J65" s="14">
        <f t="shared" si="54"/>
        <v>0.99175199999999997</v>
      </c>
      <c r="K65" s="14">
        <f t="shared" si="55"/>
        <v>2.9752559999999997E-4</v>
      </c>
      <c r="L65" s="14">
        <f t="shared" si="56"/>
        <v>0.99145447440000001</v>
      </c>
      <c r="M65" s="14">
        <f t="shared" si="57"/>
        <v>9.9145447440000005</v>
      </c>
      <c r="N65" s="36">
        <f t="shared" si="59"/>
        <v>0.75438596491228072</v>
      </c>
      <c r="O65" s="126"/>
    </row>
    <row r="66" spans="1:119" s="19" customFormat="1" ht="17.100000000000001" customHeight="1" x14ac:dyDescent="0.2">
      <c r="A66" s="18" t="s">
        <v>108</v>
      </c>
      <c r="B66" s="18" t="s">
        <v>81</v>
      </c>
      <c r="C66" s="18">
        <v>3903</v>
      </c>
      <c r="D66" s="18" t="s">
        <v>34</v>
      </c>
      <c r="E66" s="44" t="s">
        <v>174</v>
      </c>
      <c r="F66" s="18" t="s">
        <v>21</v>
      </c>
      <c r="G66" s="18">
        <v>10</v>
      </c>
      <c r="H66" s="86">
        <v>2.09</v>
      </c>
      <c r="I66" s="14">
        <f t="shared" si="53"/>
        <v>0.32018799999999997</v>
      </c>
      <c r="J66" s="14">
        <f t="shared" si="54"/>
        <v>2.4101879999999998</v>
      </c>
      <c r="K66" s="14">
        <f t="shared" si="55"/>
        <v>7.2305639999999984E-4</v>
      </c>
      <c r="L66" s="14">
        <f t="shared" si="56"/>
        <v>2.4094649435999997</v>
      </c>
      <c r="M66" s="14">
        <f t="shared" si="57"/>
        <v>24.094649435999997</v>
      </c>
      <c r="N66" s="36">
        <f t="shared" si="59"/>
        <v>2.4302325581395343</v>
      </c>
      <c r="O66" s="126"/>
    </row>
    <row r="67" spans="1:119" s="19" customFormat="1" ht="17.100000000000001" customHeight="1" x14ac:dyDescent="0.2">
      <c r="A67" s="18" t="s">
        <v>138</v>
      </c>
      <c r="B67" s="18" t="s">
        <v>81</v>
      </c>
      <c r="C67" s="11">
        <v>3874</v>
      </c>
      <c r="D67" s="18" t="s">
        <v>34</v>
      </c>
      <c r="E67" s="44" t="s">
        <v>175</v>
      </c>
      <c r="F67" s="18" t="s">
        <v>21</v>
      </c>
      <c r="G67" s="18">
        <v>10</v>
      </c>
      <c r="H67" s="87">
        <v>6.25</v>
      </c>
      <c r="I67" s="14">
        <f t="shared" si="53"/>
        <v>0.95750000000000002</v>
      </c>
      <c r="J67" s="14">
        <f t="shared" si="54"/>
        <v>7.2074999999999996</v>
      </c>
      <c r="K67" s="14">
        <f t="shared" si="55"/>
        <v>2.1622499999999997E-3</v>
      </c>
      <c r="L67" s="14">
        <f t="shared" si="56"/>
        <v>7.20533775</v>
      </c>
      <c r="M67" s="14">
        <f t="shared" si="57"/>
        <v>72.053377499999996</v>
      </c>
      <c r="N67" s="14">
        <f t="shared" si="58"/>
        <v>1.0204231763081941E-2</v>
      </c>
      <c r="O67" s="126"/>
    </row>
    <row r="68" spans="1:119" s="19" customFormat="1" ht="17.100000000000001" customHeight="1" x14ac:dyDescent="0.2">
      <c r="A68" s="18" t="s">
        <v>120</v>
      </c>
      <c r="B68" s="18" t="s">
        <v>81</v>
      </c>
      <c r="C68" s="11">
        <v>7139</v>
      </c>
      <c r="D68" s="18" t="s">
        <v>34</v>
      </c>
      <c r="E68" s="44" t="s">
        <v>176</v>
      </c>
      <c r="F68" s="18" t="s">
        <v>21</v>
      </c>
      <c r="G68" s="18">
        <v>10</v>
      </c>
      <c r="H68" s="87">
        <v>1.26</v>
      </c>
      <c r="I68" s="14">
        <f t="shared" si="53"/>
        <v>0.19303200000000001</v>
      </c>
      <c r="J68" s="14">
        <f t="shared" si="54"/>
        <v>1.4530320000000001</v>
      </c>
      <c r="K68" s="14">
        <f t="shared" si="55"/>
        <v>4.3590959999999999E-4</v>
      </c>
      <c r="L68" s="14">
        <f t="shared" si="56"/>
        <v>1.4525960904000002</v>
      </c>
      <c r="M68" s="14">
        <f t="shared" si="57"/>
        <v>14.525960904000002</v>
      </c>
      <c r="N68" s="14">
        <f t="shared" si="58"/>
        <v>2.0571731234373196E-3</v>
      </c>
      <c r="O68" s="126"/>
    </row>
    <row r="69" spans="1:119" s="19" customFormat="1" ht="17.100000000000001" customHeight="1" x14ac:dyDescent="0.2">
      <c r="A69" s="18" t="s">
        <v>121</v>
      </c>
      <c r="B69" s="18" t="s">
        <v>81</v>
      </c>
      <c r="C69" s="11">
        <v>7140</v>
      </c>
      <c r="D69" s="18" t="s">
        <v>34</v>
      </c>
      <c r="E69" s="44" t="s">
        <v>177</v>
      </c>
      <c r="F69" s="18" t="s">
        <v>21</v>
      </c>
      <c r="G69" s="18">
        <v>10</v>
      </c>
      <c r="H69" s="87">
        <v>3.94</v>
      </c>
      <c r="I69" s="14">
        <f t="shared" si="53"/>
        <v>0.60360800000000003</v>
      </c>
      <c r="J69" s="14">
        <f t="shared" si="54"/>
        <v>4.5436079999999999</v>
      </c>
      <c r="K69" s="14">
        <f t="shared" si="55"/>
        <v>1.3630823999999998E-3</v>
      </c>
      <c r="L69" s="14">
        <f t="shared" si="56"/>
        <v>4.5422449175999997</v>
      </c>
      <c r="M69" s="14">
        <f t="shared" si="57"/>
        <v>45.422449176000001</v>
      </c>
      <c r="N69" s="14">
        <f t="shared" si="58"/>
        <v>6.4327477034468563E-3</v>
      </c>
      <c r="O69" s="126"/>
    </row>
    <row r="70" spans="1:119" s="43" customFormat="1" ht="15" customHeight="1" x14ac:dyDescent="0.25">
      <c r="A70" s="18" t="s">
        <v>139</v>
      </c>
      <c r="B70" s="18" t="s">
        <v>81</v>
      </c>
      <c r="C70" s="18">
        <v>367</v>
      </c>
      <c r="D70" s="18" t="s">
        <v>34</v>
      </c>
      <c r="E70" s="44" t="s">
        <v>178</v>
      </c>
      <c r="F70" s="18" t="s">
        <v>97</v>
      </c>
      <c r="G70" s="18">
        <v>5</v>
      </c>
      <c r="H70" s="87">
        <v>86.11</v>
      </c>
      <c r="I70" s="14">
        <f t="shared" si="53"/>
        <v>13.192052</v>
      </c>
      <c r="J70" s="14">
        <f t="shared" si="54"/>
        <v>99.302052000000003</v>
      </c>
      <c r="K70" s="14">
        <f t="shared" si="55"/>
        <v>2.9790615599999997E-2</v>
      </c>
      <c r="L70" s="14">
        <f t="shared" si="56"/>
        <v>99.272261384399997</v>
      </c>
      <c r="M70" s="14">
        <f t="shared" si="57"/>
        <v>496.36130692199998</v>
      </c>
      <c r="N70" s="14">
        <f t="shared" ref="N70:N71" si="60">M70/M69</f>
        <v>10.927664974619288</v>
      </c>
      <c r="O70" s="126"/>
    </row>
    <row r="71" spans="1:119" s="43" customFormat="1" ht="15" customHeight="1" x14ac:dyDescent="0.2">
      <c r="A71" s="18" t="s">
        <v>140</v>
      </c>
      <c r="B71" s="18" t="s">
        <v>81</v>
      </c>
      <c r="C71" s="18">
        <v>4720</v>
      </c>
      <c r="D71" s="18" t="s">
        <v>34</v>
      </c>
      <c r="E71" s="75" t="s">
        <v>179</v>
      </c>
      <c r="F71" s="18" t="s">
        <v>97</v>
      </c>
      <c r="G71" s="18">
        <v>3</v>
      </c>
      <c r="H71" s="86">
        <v>89.8</v>
      </c>
      <c r="I71" s="14">
        <f t="shared" si="53"/>
        <v>13.75736</v>
      </c>
      <c r="J71" s="14">
        <f t="shared" si="54"/>
        <v>103.55736</v>
      </c>
      <c r="K71" s="14">
        <f t="shared" si="55"/>
        <v>3.1067207999999999E-2</v>
      </c>
      <c r="L71" s="14">
        <f t="shared" si="56"/>
        <v>103.52629279200001</v>
      </c>
      <c r="M71" s="14">
        <f t="shared" si="57"/>
        <v>310.57887837600003</v>
      </c>
      <c r="N71" s="14">
        <f t="shared" si="60"/>
        <v>0.62571129950063886</v>
      </c>
      <c r="O71" s="126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</row>
    <row r="72" spans="1:119" s="19" customFormat="1" ht="17.100000000000001" customHeight="1" x14ac:dyDescent="0.2">
      <c r="A72" s="18" t="s">
        <v>141</v>
      </c>
      <c r="B72" s="18" t="s">
        <v>81</v>
      </c>
      <c r="C72" s="18">
        <v>39701</v>
      </c>
      <c r="D72" s="18" t="s">
        <v>34</v>
      </c>
      <c r="E72" s="53" t="s">
        <v>110</v>
      </c>
      <c r="F72" s="18" t="s">
        <v>21</v>
      </c>
      <c r="G72" s="18">
        <v>5</v>
      </c>
      <c r="H72" s="86">
        <v>101.02</v>
      </c>
      <c r="I72" s="14">
        <f t="shared" si="53"/>
        <v>15.476264</v>
      </c>
      <c r="J72" s="14">
        <f t="shared" si="54"/>
        <v>116.496264</v>
      </c>
      <c r="K72" s="14">
        <f t="shared" si="55"/>
        <v>3.4948879199999998E-2</v>
      </c>
      <c r="L72" s="14">
        <f t="shared" si="56"/>
        <v>116.46131512079999</v>
      </c>
      <c r="M72" s="14">
        <f t="shared" si="57"/>
        <v>582.30657560399993</v>
      </c>
      <c r="N72" s="14">
        <f>M72/M$33</f>
        <v>8.2466519416523013E-2</v>
      </c>
      <c r="O72" s="126"/>
    </row>
    <row r="73" spans="1:119" s="19" customFormat="1" ht="17.100000000000001" customHeight="1" x14ac:dyDescent="0.2">
      <c r="A73" s="18" t="s">
        <v>86</v>
      </c>
      <c r="B73" s="18" t="s">
        <v>81</v>
      </c>
      <c r="C73" s="11">
        <v>20017</v>
      </c>
      <c r="D73" s="18" t="s">
        <v>34</v>
      </c>
      <c r="E73" s="44" t="s">
        <v>153</v>
      </c>
      <c r="F73" s="18" t="s">
        <v>143</v>
      </c>
      <c r="G73" s="18">
        <f>2*(2.1+2.1+0.8)</f>
        <v>10</v>
      </c>
      <c r="H73" s="87">
        <v>10.18</v>
      </c>
      <c r="I73" s="14">
        <f t="shared" ref="I73:I74" si="61">H73*0.1532</f>
        <v>1.5595760000000001</v>
      </c>
      <c r="J73" s="14">
        <f t="shared" ref="J73:J74" si="62">H73+I73</f>
        <v>11.739576</v>
      </c>
      <c r="K73" s="14">
        <f t="shared" ref="K73:K74" si="63">J73*(0.03%)</f>
        <v>3.5218727999999995E-3</v>
      </c>
      <c r="L73" s="14">
        <f t="shared" ref="L73:L74" si="64">J73-K73</f>
        <v>11.736054127199999</v>
      </c>
      <c r="M73" s="14">
        <f t="shared" ref="M73" si="65">L73*G73</f>
        <v>117.36054127199999</v>
      </c>
      <c r="N73" s="14">
        <f t="shared" ref="N73" si="66">M73/M$33</f>
        <v>1.6620652695707866E-2</v>
      </c>
      <c r="O73" s="126"/>
    </row>
    <row r="74" spans="1:119" s="19" customFormat="1" ht="17.100000000000001" customHeight="1" x14ac:dyDescent="0.2">
      <c r="A74" s="18" t="s">
        <v>135</v>
      </c>
      <c r="B74" s="18" t="s">
        <v>81</v>
      </c>
      <c r="C74" s="11">
        <v>5066</v>
      </c>
      <c r="D74" s="18" t="s">
        <v>34</v>
      </c>
      <c r="E74" s="44" t="s">
        <v>154</v>
      </c>
      <c r="F74" s="18" t="s">
        <v>107</v>
      </c>
      <c r="G74" s="18">
        <v>1</v>
      </c>
      <c r="H74" s="87">
        <v>16.079999999999998</v>
      </c>
      <c r="I74" s="14">
        <f t="shared" si="61"/>
        <v>2.4634559999999999</v>
      </c>
      <c r="J74" s="14">
        <f t="shared" si="62"/>
        <v>18.543455999999999</v>
      </c>
      <c r="K74" s="14">
        <f t="shared" si="63"/>
        <v>5.5630367999999989E-3</v>
      </c>
      <c r="L74" s="14">
        <f t="shared" si="64"/>
        <v>18.537892963199997</v>
      </c>
      <c r="M74" s="14"/>
      <c r="N74" s="14"/>
      <c r="O74" s="126"/>
    </row>
    <row r="75" spans="1:119" s="19" customFormat="1" ht="17.100000000000001" customHeight="1" x14ac:dyDescent="0.2">
      <c r="A75" s="18"/>
      <c r="B75" s="18"/>
      <c r="C75" s="11"/>
      <c r="D75" s="18"/>
      <c r="E75" s="44"/>
      <c r="F75" s="18"/>
      <c r="G75" s="18"/>
      <c r="H75" s="27"/>
      <c r="I75" s="14"/>
      <c r="J75" s="14"/>
      <c r="K75" s="14"/>
      <c r="L75" s="14"/>
      <c r="M75" s="14"/>
      <c r="N75" s="14"/>
      <c r="O75" s="126"/>
    </row>
    <row r="76" spans="1:119" s="19" customFormat="1" ht="17.100000000000001" customHeight="1" x14ac:dyDescent="0.2">
      <c r="A76" s="18"/>
      <c r="B76" s="18"/>
      <c r="C76" s="11"/>
      <c r="D76" s="18"/>
      <c r="E76" s="44"/>
      <c r="F76" s="18"/>
      <c r="G76" s="18"/>
      <c r="H76" s="27"/>
      <c r="I76" s="14"/>
      <c r="J76" s="14"/>
      <c r="K76" s="14"/>
      <c r="L76" s="14"/>
      <c r="M76" s="14"/>
      <c r="N76" s="14"/>
      <c r="O76" s="126"/>
    </row>
    <row r="77" spans="1:119" s="43" customFormat="1" ht="17.25" customHeight="1" x14ac:dyDescent="0.25">
      <c r="A77" s="18"/>
      <c r="B77" s="18"/>
      <c r="C77" s="18"/>
      <c r="D77" s="18"/>
      <c r="E77" s="44"/>
      <c r="F77" s="18"/>
      <c r="G77" s="18"/>
      <c r="H77" s="42"/>
      <c r="I77" s="14"/>
      <c r="J77" s="14"/>
      <c r="K77" s="14"/>
      <c r="L77" s="14"/>
      <c r="M77" s="14"/>
      <c r="N77" s="14"/>
      <c r="O77" s="126"/>
    </row>
    <row r="78" spans="1:119" s="19" customFormat="1" ht="17.25" customHeight="1" x14ac:dyDescent="0.2">
      <c r="A78" s="18"/>
      <c r="B78" s="18"/>
      <c r="C78" s="23"/>
      <c r="D78" s="18"/>
      <c r="E78" s="24"/>
      <c r="F78" s="18"/>
      <c r="G78" s="18"/>
      <c r="H78" s="27"/>
      <c r="I78" s="14"/>
      <c r="J78" s="14"/>
      <c r="K78" s="14"/>
      <c r="L78" s="14"/>
      <c r="M78" s="14"/>
      <c r="N78" s="14"/>
      <c r="O78" s="126"/>
    </row>
    <row r="79" spans="1:119" s="28" customFormat="1" ht="17.100000000000001" customHeight="1" x14ac:dyDescent="0.25">
      <c r="A79" s="189" t="s">
        <v>16</v>
      </c>
      <c r="B79" s="132" t="s">
        <v>17</v>
      </c>
      <c r="C79" s="132" t="s">
        <v>18</v>
      </c>
      <c r="D79" s="132" t="s">
        <v>19</v>
      </c>
      <c r="E79" s="132" t="s">
        <v>20</v>
      </c>
      <c r="F79" s="132" t="s">
        <v>21</v>
      </c>
      <c r="G79" s="132" t="s">
        <v>22</v>
      </c>
      <c r="H79" s="134" t="s">
        <v>23</v>
      </c>
      <c r="I79" s="134"/>
      <c r="J79" s="134"/>
      <c r="K79" s="134"/>
      <c r="L79" s="135"/>
      <c r="M79" s="132" t="s">
        <v>24</v>
      </c>
      <c r="N79" s="132" t="s">
        <v>25</v>
      </c>
      <c r="O79" s="103"/>
    </row>
    <row r="80" spans="1:119" s="28" customFormat="1" ht="17.100000000000001" customHeight="1" x14ac:dyDescent="0.25">
      <c r="A80" s="190"/>
      <c r="B80" s="133"/>
      <c r="C80" s="133"/>
      <c r="D80" s="133"/>
      <c r="E80" s="133"/>
      <c r="F80" s="133"/>
      <c r="G80" s="133"/>
      <c r="H80" s="4" t="s">
        <v>27</v>
      </c>
      <c r="I80" s="4" t="s">
        <v>28</v>
      </c>
      <c r="J80" s="4" t="s">
        <v>29</v>
      </c>
      <c r="K80" s="4" t="s">
        <v>53</v>
      </c>
      <c r="L80" s="4" t="s">
        <v>30</v>
      </c>
      <c r="M80" s="133"/>
      <c r="N80" s="133"/>
      <c r="O80" s="103"/>
    </row>
    <row r="81" spans="1:15" s="29" customFormat="1" ht="17.100000000000001" customHeight="1" x14ac:dyDescent="0.2">
      <c r="A81" s="30">
        <v>3</v>
      </c>
      <c r="B81" s="181" t="s">
        <v>38</v>
      </c>
      <c r="C81" s="182"/>
      <c r="D81" s="182"/>
      <c r="E81" s="182"/>
      <c r="F81" s="183"/>
      <c r="G81" s="31"/>
      <c r="H81" s="31"/>
      <c r="I81" s="31"/>
      <c r="J81" s="31"/>
      <c r="K81" s="31"/>
      <c r="L81" s="31"/>
      <c r="M81" s="32">
        <f>SUM(M82:M98)</f>
        <v>24648.459838941224</v>
      </c>
      <c r="N81" s="31"/>
      <c r="O81" s="103"/>
    </row>
    <row r="82" spans="1:15" s="29" customFormat="1" ht="23.25" customHeight="1" x14ac:dyDescent="0.2">
      <c r="A82" s="58" t="s">
        <v>76</v>
      </c>
      <c r="B82" s="59" t="s">
        <v>33</v>
      </c>
      <c r="C82" s="60">
        <v>93588</v>
      </c>
      <c r="D82" s="60" t="s">
        <v>34</v>
      </c>
      <c r="E82" s="61" t="s">
        <v>98</v>
      </c>
      <c r="F82" s="62" t="s">
        <v>99</v>
      </c>
      <c r="G82" s="60">
        <f>8*17</f>
        <v>136</v>
      </c>
      <c r="H82" s="79">
        <v>3.29</v>
      </c>
      <c r="I82" s="52">
        <f>H82*0.2232</f>
        <v>0.73432800000000009</v>
      </c>
      <c r="J82" s="52">
        <f>H82+I82</f>
        <v>4.0243280000000006</v>
      </c>
      <c r="K82" s="52">
        <f>J82*(0.03%)</f>
        <v>1.2072984E-3</v>
      </c>
      <c r="L82" s="52">
        <f>J82-K82</f>
        <v>4.0231207016000008</v>
      </c>
      <c r="M82" s="52">
        <f>L82*G82</f>
        <v>547.14441541760016</v>
      </c>
      <c r="N82" s="52">
        <f>M82/M81</f>
        <v>2.2197914960722463E-2</v>
      </c>
      <c r="O82" s="126"/>
    </row>
    <row r="83" spans="1:15" s="29" customFormat="1" ht="23.25" customHeight="1" x14ac:dyDescent="0.2">
      <c r="A83" s="131" t="s">
        <v>185</v>
      </c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36"/>
      <c r="O83" s="126"/>
    </row>
    <row r="84" spans="1:15" s="29" customFormat="1" ht="23.25" customHeight="1" x14ac:dyDescent="0.2">
      <c r="A84" s="41" t="s">
        <v>78</v>
      </c>
      <c r="B84" s="33" t="s">
        <v>33</v>
      </c>
      <c r="C84" s="80">
        <v>104757</v>
      </c>
      <c r="D84" s="50" t="s">
        <v>34</v>
      </c>
      <c r="E84" s="51" t="s">
        <v>180</v>
      </c>
      <c r="F84" s="50" t="s">
        <v>21</v>
      </c>
      <c r="G84" s="50">
        <v>60</v>
      </c>
      <c r="H84" s="81">
        <v>121.34</v>
      </c>
      <c r="I84" s="41">
        <f t="shared" ref="I84" si="67">H84*0.2232</f>
        <v>27.083088000000004</v>
      </c>
      <c r="J84" s="41">
        <f t="shared" ref="J84" si="68">H84+I84</f>
        <v>148.42308800000001</v>
      </c>
      <c r="K84" s="41">
        <f t="shared" ref="K84" si="69">J84*(0.03%)</f>
        <v>4.45269264E-2</v>
      </c>
      <c r="L84" s="41">
        <f t="shared" ref="L84" si="70">J84-K84</f>
        <v>148.3785610736</v>
      </c>
      <c r="M84" s="41">
        <f t="shared" ref="M84" si="71">L84*G84</f>
        <v>8902.713664416</v>
      </c>
      <c r="N84" s="36">
        <f t="shared" ref="N84" si="72">M84/M$16</f>
        <v>8.865724532230862E-2</v>
      </c>
      <c r="O84" s="126"/>
    </row>
    <row r="85" spans="1:15" s="29" customFormat="1" ht="23.25" customHeight="1" x14ac:dyDescent="0.2">
      <c r="A85" s="178" t="s">
        <v>181</v>
      </c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26"/>
    </row>
    <row r="86" spans="1:15" s="29" customFormat="1" ht="23.25" customHeight="1" x14ac:dyDescent="0.2">
      <c r="A86" s="41" t="s">
        <v>77</v>
      </c>
      <c r="B86" s="33" t="s">
        <v>33</v>
      </c>
      <c r="C86" s="63">
        <v>96368</v>
      </c>
      <c r="D86" s="63" t="s">
        <v>34</v>
      </c>
      <c r="E86" s="64" t="s">
        <v>146</v>
      </c>
      <c r="F86" s="63" t="s">
        <v>89</v>
      </c>
      <c r="G86" s="63">
        <f>4.3*3.5</f>
        <v>15.049999999999999</v>
      </c>
      <c r="H86" s="81">
        <v>170.69</v>
      </c>
      <c r="I86" s="41">
        <f>H86*0.2232</f>
        <v>38.098008</v>
      </c>
      <c r="J86" s="41">
        <f>H86+I86</f>
        <v>208.78800799999999</v>
      </c>
      <c r="K86" s="41">
        <f>J86*(0.03%)</f>
        <v>6.2636402399999985E-2</v>
      </c>
      <c r="L86" s="41">
        <f>J86-K86</f>
        <v>208.7253715976</v>
      </c>
      <c r="M86" s="41">
        <f>L86*G86</f>
        <v>3141.3168425438798</v>
      </c>
      <c r="N86" s="36">
        <f>M86/M$16</f>
        <v>3.1282652508265493E-2</v>
      </c>
      <c r="O86" s="126"/>
    </row>
    <row r="87" spans="1:15" s="29" customFormat="1" ht="23.25" customHeight="1" x14ac:dyDescent="0.2">
      <c r="A87" s="41" t="s">
        <v>80</v>
      </c>
      <c r="B87" s="33" t="s">
        <v>33</v>
      </c>
      <c r="C87" s="63">
        <v>90822</v>
      </c>
      <c r="D87" s="63" t="s">
        <v>34</v>
      </c>
      <c r="E87" s="64" t="s">
        <v>186</v>
      </c>
      <c r="F87" s="63" t="s">
        <v>21</v>
      </c>
      <c r="G87" s="63">
        <v>1</v>
      </c>
      <c r="H87" s="81">
        <v>431.22</v>
      </c>
      <c r="I87" s="41">
        <f>H87*0.2232</f>
        <v>96.248304000000005</v>
      </c>
      <c r="J87" s="41">
        <f>H87+I87</f>
        <v>527.46830399999999</v>
      </c>
      <c r="K87" s="41">
        <f>J87*(0.03%)</f>
        <v>0.15824049119999997</v>
      </c>
      <c r="L87" s="41">
        <f>J87-K87</f>
        <v>527.3100635088</v>
      </c>
      <c r="M87" s="41">
        <f>L87*G87</f>
        <v>527.3100635088</v>
      </c>
      <c r="N87" s="36">
        <f>M87/M$16</f>
        <v>5.2511918751560246E-3</v>
      </c>
      <c r="O87" s="126"/>
    </row>
    <row r="88" spans="1:15" s="29" customFormat="1" ht="23.25" customHeight="1" x14ac:dyDescent="0.2">
      <c r="A88" s="41" t="s">
        <v>87</v>
      </c>
      <c r="B88" s="33" t="s">
        <v>33</v>
      </c>
      <c r="C88" s="63" t="s">
        <v>90</v>
      </c>
      <c r="D88" s="63" t="s">
        <v>34</v>
      </c>
      <c r="E88" s="64" t="s">
        <v>91</v>
      </c>
      <c r="F88" s="63" t="s">
        <v>89</v>
      </c>
      <c r="G88" s="63">
        <v>92.2</v>
      </c>
      <c r="H88" s="81">
        <v>14.98</v>
      </c>
      <c r="I88" s="41">
        <f>H88*0.2232</f>
        <v>3.3435360000000003</v>
      </c>
      <c r="J88" s="41">
        <f>H88+I88</f>
        <v>18.323536000000001</v>
      </c>
      <c r="K88" s="41">
        <f>J88*(0.03%)</f>
        <v>5.4970608000000001E-3</v>
      </c>
      <c r="L88" s="41">
        <f>J88-K88</f>
        <v>18.318038939200001</v>
      </c>
      <c r="M88" s="41">
        <f>L88*G88</f>
        <v>1688.9231901942401</v>
      </c>
      <c r="N88" s="36">
        <f>M88/M$16</f>
        <v>1.6819060260477241E-2</v>
      </c>
      <c r="O88" s="126"/>
    </row>
    <row r="89" spans="1:15" s="29" customFormat="1" ht="23.25" customHeight="1" x14ac:dyDescent="0.2">
      <c r="A89" s="41" t="s">
        <v>88</v>
      </c>
      <c r="B89" s="33" t="s">
        <v>33</v>
      </c>
      <c r="C89" s="63">
        <v>104648</v>
      </c>
      <c r="D89" s="63" t="s">
        <v>34</v>
      </c>
      <c r="E89" s="64" t="s">
        <v>147</v>
      </c>
      <c r="F89" s="63" t="s">
        <v>89</v>
      </c>
      <c r="G89" s="63">
        <v>30.1</v>
      </c>
      <c r="H89" s="81">
        <v>18.22</v>
      </c>
      <c r="I89" s="41">
        <f>H89*0.2232</f>
        <v>4.0667039999999997</v>
      </c>
      <c r="J89" s="41">
        <f>H89+I89</f>
        <v>22.286704</v>
      </c>
      <c r="K89" s="41">
        <f>J89*(0.03%)</f>
        <v>6.6860111999999996E-3</v>
      </c>
      <c r="L89" s="41">
        <f>J89-K89</f>
        <v>22.280017988800001</v>
      </c>
      <c r="M89" s="41">
        <f>L89*G89</f>
        <v>670.62854146288009</v>
      </c>
      <c r="N89" s="36">
        <f>M89/M$16</f>
        <v>6.6784220364473302E-3</v>
      </c>
      <c r="O89" s="126"/>
    </row>
    <row r="90" spans="1:15" s="29" customFormat="1" ht="23.25" customHeight="1" x14ac:dyDescent="0.2">
      <c r="A90" s="41" t="s">
        <v>144</v>
      </c>
      <c r="B90" s="33" t="s">
        <v>33</v>
      </c>
      <c r="C90" s="63">
        <v>102224</v>
      </c>
      <c r="D90" s="63" t="s">
        <v>34</v>
      </c>
      <c r="E90" s="64" t="s">
        <v>142</v>
      </c>
      <c r="F90" s="63" t="s">
        <v>89</v>
      </c>
      <c r="G90" s="63">
        <f>2*2.1*0.9*2</f>
        <v>7.5600000000000005</v>
      </c>
      <c r="H90" s="81">
        <v>38.43</v>
      </c>
      <c r="I90" s="41">
        <f>H90*0.2232</f>
        <v>8.5775760000000005</v>
      </c>
      <c r="J90" s="41">
        <f>H90+I90</f>
        <v>47.007576</v>
      </c>
      <c r="K90" s="41">
        <f>J90*(0.03%)</f>
        <v>1.4102272799999999E-2</v>
      </c>
      <c r="L90" s="41">
        <f>J90-K90</f>
        <v>46.993473727199998</v>
      </c>
      <c r="M90" s="41">
        <f>L90*G90</f>
        <v>355.270661377632</v>
      </c>
      <c r="N90" s="36">
        <f>M90/M$16</f>
        <v>3.5379457734858771E-3</v>
      </c>
      <c r="O90" s="126"/>
    </row>
    <row r="91" spans="1:15" s="29" customFormat="1" ht="23.25" customHeight="1" x14ac:dyDescent="0.2">
      <c r="A91" s="131" t="s">
        <v>183</v>
      </c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4"/>
      <c r="O91" s="126"/>
    </row>
    <row r="92" spans="1:15" s="29" customFormat="1" ht="23.25" customHeight="1" x14ac:dyDescent="0.2">
      <c r="A92" s="41" t="s">
        <v>145</v>
      </c>
      <c r="B92" s="33" t="s">
        <v>33</v>
      </c>
      <c r="C92" s="63">
        <v>96368</v>
      </c>
      <c r="D92" s="63" t="s">
        <v>34</v>
      </c>
      <c r="E92" s="64" t="s">
        <v>146</v>
      </c>
      <c r="F92" s="63" t="s">
        <v>89</v>
      </c>
      <c r="G92" s="63">
        <f>3.4*3.8</f>
        <v>12.92</v>
      </c>
      <c r="H92" s="81">
        <v>170.69</v>
      </c>
      <c r="I92" s="41">
        <f>H92*0.2232</f>
        <v>38.098008</v>
      </c>
      <c r="J92" s="41">
        <f>H92+I92</f>
        <v>208.78800799999999</v>
      </c>
      <c r="K92" s="41">
        <f>J92*(0.03%)</f>
        <v>6.2636402399999985E-2</v>
      </c>
      <c r="L92" s="41">
        <f>J92-K92</f>
        <v>208.7253715976</v>
      </c>
      <c r="M92" s="41">
        <f>L92*G92</f>
        <v>2696.7318010409922</v>
      </c>
      <c r="N92" s="36">
        <f>M92/M$16</f>
        <v>2.6855273781182076E-2</v>
      </c>
      <c r="O92" s="126"/>
    </row>
    <row r="93" spans="1:15" s="29" customFormat="1" ht="23.25" customHeight="1" x14ac:dyDescent="0.2">
      <c r="A93" s="41" t="s">
        <v>148</v>
      </c>
      <c r="B93" s="33" t="s">
        <v>33</v>
      </c>
      <c r="C93" s="63">
        <v>90822</v>
      </c>
      <c r="D93" s="63" t="s">
        <v>34</v>
      </c>
      <c r="E93" s="64" t="s">
        <v>186</v>
      </c>
      <c r="F93" s="63" t="s">
        <v>21</v>
      </c>
      <c r="G93" s="63">
        <v>2</v>
      </c>
      <c r="H93" s="81">
        <v>431.22</v>
      </c>
      <c r="I93" s="41">
        <f>H93*0.2232</f>
        <v>96.248304000000005</v>
      </c>
      <c r="J93" s="41">
        <f>H93+I93</f>
        <v>527.46830399999999</v>
      </c>
      <c r="K93" s="41">
        <f>J93*(0.03%)</f>
        <v>0.15824049119999997</v>
      </c>
      <c r="L93" s="41">
        <f>J93-K93</f>
        <v>527.3100635088</v>
      </c>
      <c r="M93" s="41">
        <f>L93*G93</f>
        <v>1054.6201270176</v>
      </c>
      <c r="N93" s="36">
        <f>M93/M$16</f>
        <v>1.0502383750312049E-2</v>
      </c>
      <c r="O93" s="126"/>
    </row>
    <row r="94" spans="1:15" s="29" customFormat="1" ht="23.25" customHeight="1" x14ac:dyDescent="0.2">
      <c r="A94" s="41" t="s">
        <v>149</v>
      </c>
      <c r="B94" s="33" t="s">
        <v>33</v>
      </c>
      <c r="C94" s="63" t="s">
        <v>90</v>
      </c>
      <c r="D94" s="63" t="s">
        <v>34</v>
      </c>
      <c r="E94" s="64" t="s">
        <v>91</v>
      </c>
      <c r="F94" s="63" t="s">
        <v>89</v>
      </c>
      <c r="G94" s="63">
        <f>213.68-18.2</f>
        <v>195.48000000000002</v>
      </c>
      <c r="H94" s="81">
        <v>14.98</v>
      </c>
      <c r="I94" s="41">
        <f>H94*0.2232</f>
        <v>3.3435360000000003</v>
      </c>
      <c r="J94" s="41">
        <f>H94+I94</f>
        <v>18.323536000000001</v>
      </c>
      <c r="K94" s="41">
        <f>J94*(0.03%)</f>
        <v>5.4970608000000001E-3</v>
      </c>
      <c r="L94" s="41">
        <f>J94-K94</f>
        <v>18.318038939200001</v>
      </c>
      <c r="M94" s="41">
        <f>L94*G94</f>
        <v>3580.8102518348164</v>
      </c>
      <c r="N94" s="36">
        <f>M94/M$16</f>
        <v>3.5659326461150664E-2</v>
      </c>
      <c r="O94" s="126"/>
    </row>
    <row r="95" spans="1:15" s="29" customFormat="1" ht="23.25" customHeight="1" x14ac:dyDescent="0.2">
      <c r="A95" s="41" t="s">
        <v>150</v>
      </c>
      <c r="B95" s="33" t="s">
        <v>33</v>
      </c>
      <c r="C95" s="50">
        <v>88488</v>
      </c>
      <c r="D95" s="50" t="s">
        <v>34</v>
      </c>
      <c r="E95" s="51" t="s">
        <v>184</v>
      </c>
      <c r="F95" s="50" t="s">
        <v>89</v>
      </c>
      <c r="G95" s="50">
        <v>18.2</v>
      </c>
      <c r="H95" s="82">
        <v>17.97</v>
      </c>
      <c r="I95" s="41">
        <f t="shared" ref="I95" si="73">H95*0.2232</f>
        <v>4.010904</v>
      </c>
      <c r="J95" s="41">
        <f t="shared" ref="J95" si="74">H95+I95</f>
        <v>21.980903999999999</v>
      </c>
      <c r="K95" s="41">
        <f t="shared" ref="K95" si="75">J95*(0.03%)</f>
        <v>6.5942711999999988E-3</v>
      </c>
      <c r="L95" s="41">
        <f t="shared" ref="L95" si="76">J95-K95</f>
        <v>21.974309728799998</v>
      </c>
      <c r="M95" s="41">
        <f t="shared" ref="M95" si="77">L95*G95</f>
        <v>399.93243706415996</v>
      </c>
      <c r="N95" s="36">
        <f t="shared" ref="N95" si="78">M95/M$16</f>
        <v>3.9827079159994398E-3</v>
      </c>
      <c r="O95" s="126"/>
    </row>
    <row r="96" spans="1:15" s="29" customFormat="1" ht="23.25" customHeight="1" x14ac:dyDescent="0.2">
      <c r="A96" s="41" t="s">
        <v>151</v>
      </c>
      <c r="B96" s="33" t="s">
        <v>33</v>
      </c>
      <c r="C96" s="63">
        <v>104648</v>
      </c>
      <c r="D96" s="63" t="s">
        <v>34</v>
      </c>
      <c r="E96" s="64" t="s">
        <v>147</v>
      </c>
      <c r="F96" s="63" t="s">
        <v>89</v>
      </c>
      <c r="G96" s="63">
        <f>G92*2</f>
        <v>25.84</v>
      </c>
      <c r="H96" s="81">
        <v>18.22</v>
      </c>
      <c r="I96" s="41">
        <f>H96*0.2232</f>
        <v>4.0667039999999997</v>
      </c>
      <c r="J96" s="41">
        <f>H96+I96</f>
        <v>22.286704</v>
      </c>
      <c r="K96" s="41">
        <f>J96*(0.03%)</f>
        <v>6.6860111999999996E-3</v>
      </c>
      <c r="L96" s="41">
        <f>J96-K96</f>
        <v>22.280017988800001</v>
      </c>
      <c r="M96" s="41">
        <f>L96*G96</f>
        <v>575.715664830592</v>
      </c>
      <c r="N96" s="36">
        <f>M96/M$16</f>
        <v>5.7332367249767107E-3</v>
      </c>
      <c r="O96" s="126"/>
    </row>
    <row r="97" spans="1:16" s="29" customFormat="1" ht="23.25" customHeight="1" x14ac:dyDescent="0.2">
      <c r="A97" s="41" t="s">
        <v>151</v>
      </c>
      <c r="B97" s="33" t="s">
        <v>33</v>
      </c>
      <c r="C97" s="63">
        <v>102224</v>
      </c>
      <c r="D97" s="63" t="s">
        <v>34</v>
      </c>
      <c r="E97" s="64" t="s">
        <v>142</v>
      </c>
      <c r="F97" s="63" t="s">
        <v>89</v>
      </c>
      <c r="G97" s="63">
        <v>7.56</v>
      </c>
      <c r="H97" s="81">
        <v>38.43</v>
      </c>
      <c r="I97" s="41">
        <f>H97*0.2232</f>
        <v>8.5775760000000005</v>
      </c>
      <c r="J97" s="41">
        <f>H97+I97</f>
        <v>47.007576</v>
      </c>
      <c r="K97" s="41">
        <f>J97*(0.03%)</f>
        <v>1.4102272799999999E-2</v>
      </c>
      <c r="L97" s="41">
        <f>J97-K97</f>
        <v>46.993473727199998</v>
      </c>
      <c r="M97" s="41">
        <f>L97*G97</f>
        <v>355.27066137763194</v>
      </c>
      <c r="N97" s="36">
        <f>M97/M$16</f>
        <v>3.5379457734858767E-3</v>
      </c>
      <c r="O97" s="126"/>
    </row>
    <row r="98" spans="1:16" s="29" customFormat="1" ht="23.25" customHeight="1" x14ac:dyDescent="0.2">
      <c r="A98" s="11" t="s">
        <v>152</v>
      </c>
      <c r="B98" s="11" t="s">
        <v>33</v>
      </c>
      <c r="C98" s="63">
        <v>100746</v>
      </c>
      <c r="D98" s="63" t="s">
        <v>34</v>
      </c>
      <c r="E98" s="64" t="s">
        <v>182</v>
      </c>
      <c r="F98" s="63" t="s">
        <v>89</v>
      </c>
      <c r="G98" s="63">
        <v>4</v>
      </c>
      <c r="H98" s="82">
        <v>31.09</v>
      </c>
      <c r="I98" s="76">
        <f>H98*0.2232</f>
        <v>6.9392880000000003</v>
      </c>
      <c r="J98" s="76">
        <f>H98+I98</f>
        <v>38.029288000000001</v>
      </c>
      <c r="K98" s="77">
        <f>J98*(0.03%)</f>
        <v>1.1408786399999999E-2</v>
      </c>
      <c r="L98" s="76">
        <f>J98-K98</f>
        <v>38.017879213600004</v>
      </c>
      <c r="M98" s="76">
        <f>L98*G98</f>
        <v>152.07151685440002</v>
      </c>
      <c r="N98" s="76">
        <f>M98/M84</f>
        <v>1.7081479039613209E-2</v>
      </c>
      <c r="O98" s="126"/>
    </row>
    <row r="99" spans="1:16" s="29" customFormat="1" ht="23.25" customHeight="1" x14ac:dyDescent="0.2">
      <c r="A99" s="11"/>
      <c r="B99" s="11"/>
      <c r="C99" s="11"/>
      <c r="D99" s="11"/>
      <c r="E99" s="20"/>
      <c r="F99" s="13"/>
      <c r="G99" s="11"/>
      <c r="H99" s="26"/>
      <c r="I99" s="14"/>
      <c r="J99" s="14"/>
      <c r="K99" s="14"/>
      <c r="L99" s="14"/>
      <c r="M99" s="14"/>
      <c r="N99" s="14"/>
      <c r="O99" s="126"/>
      <c r="P99" s="68"/>
    </row>
    <row r="100" spans="1:16" s="40" customFormat="1" ht="17.100000000000001" customHeight="1" x14ac:dyDescent="0.2">
      <c r="A100" s="37"/>
      <c r="B100" s="37"/>
      <c r="C100" s="37"/>
      <c r="D100" s="37"/>
      <c r="E100" s="37"/>
      <c r="F100" s="37"/>
      <c r="G100" s="37"/>
      <c r="H100" s="49"/>
      <c r="I100" s="37"/>
      <c r="J100" s="37"/>
      <c r="K100" s="37"/>
      <c r="L100" s="37"/>
      <c r="M100" s="37"/>
      <c r="N100" s="37"/>
      <c r="O100" s="126"/>
    </row>
    <row r="101" spans="1:16" s="40" customFormat="1" ht="17.100000000000001" customHeight="1" x14ac:dyDescent="0.2">
      <c r="A101" s="136"/>
      <c r="B101" s="137"/>
      <c r="C101" s="137"/>
      <c r="D101" s="137"/>
      <c r="E101" s="137"/>
      <c r="F101" s="137"/>
      <c r="G101" s="137"/>
      <c r="H101" s="38" t="s">
        <v>39</v>
      </c>
      <c r="I101" s="39"/>
      <c r="J101" s="138">
        <f>M16+M41+M81</f>
        <v>141862.5846924482</v>
      </c>
      <c r="K101" s="139"/>
      <c r="L101" s="139"/>
      <c r="M101" s="139"/>
      <c r="N101" s="140"/>
      <c r="O101" s="103"/>
      <c r="P101" s="45"/>
    </row>
    <row r="102" spans="1:16" ht="17.100000000000001" customHeight="1" x14ac:dyDescent="0.25">
      <c r="A102" s="141" t="s">
        <v>85</v>
      </c>
      <c r="B102" s="108"/>
      <c r="C102" s="108"/>
      <c r="D102" s="108"/>
      <c r="E102" s="108"/>
      <c r="F102" s="108"/>
      <c r="G102" s="108"/>
      <c r="H102" s="105"/>
      <c r="I102" s="105"/>
      <c r="J102" s="105"/>
      <c r="K102" s="105"/>
      <c r="L102" s="105"/>
      <c r="M102" s="105"/>
      <c r="N102" s="106"/>
      <c r="O102" s="103"/>
    </row>
    <row r="103" spans="1:16" ht="17.100000000000001" customHeight="1" x14ac:dyDescent="0.25">
      <c r="A103" s="107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9"/>
      <c r="O103" s="103"/>
    </row>
    <row r="104" spans="1:16" ht="17.100000000000001" customHeight="1" x14ac:dyDescent="0.25">
      <c r="A104" s="107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9"/>
      <c r="O104" s="103"/>
    </row>
    <row r="105" spans="1:16" ht="17.100000000000001" customHeight="1" x14ac:dyDescent="0.25">
      <c r="A105" s="107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9"/>
      <c r="O105" s="103"/>
    </row>
    <row r="106" spans="1:16" ht="17.100000000000001" customHeight="1" x14ac:dyDescent="0.25">
      <c r="A106" s="107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9"/>
      <c r="O106" s="103"/>
    </row>
    <row r="107" spans="1:16" ht="17.100000000000001" customHeight="1" x14ac:dyDescent="0.25">
      <c r="A107" s="107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9"/>
      <c r="O107" s="103"/>
    </row>
    <row r="108" spans="1:16" ht="17.100000000000001" customHeight="1" x14ac:dyDescent="0.25">
      <c r="A108" s="110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2"/>
      <c r="O108" s="103"/>
    </row>
    <row r="109" spans="1:16" ht="17.100000000000001" customHeight="1" x14ac:dyDescent="0.25">
      <c r="A109" s="142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4"/>
    </row>
    <row r="110" spans="1:16" ht="17.100000000000001" customHeight="1" x14ac:dyDescent="0.25">
      <c r="A110" s="145" t="s">
        <v>40</v>
      </c>
      <c r="B110" s="146"/>
      <c r="C110" s="146"/>
      <c r="D110" s="146"/>
      <c r="E110" s="146"/>
      <c r="F110" s="146"/>
      <c r="G110" s="147" t="s">
        <v>41</v>
      </c>
      <c r="H110" s="147"/>
      <c r="I110" s="147"/>
      <c r="J110" s="147"/>
      <c r="K110" s="148"/>
      <c r="L110" s="149"/>
      <c r="M110" s="149"/>
      <c r="N110" s="150"/>
      <c r="O110" s="103" t="s">
        <v>42</v>
      </c>
    </row>
    <row r="111" spans="1:16" ht="17.100000000000001" customHeight="1" x14ac:dyDescent="0.25">
      <c r="A111" s="155" t="s">
        <v>43</v>
      </c>
      <c r="B111" s="156"/>
      <c r="C111" s="156"/>
      <c r="D111" s="156"/>
      <c r="E111" s="156"/>
      <c r="F111" s="157"/>
      <c r="G111" s="161" t="s">
        <v>44</v>
      </c>
      <c r="H111" s="156"/>
      <c r="I111" s="156"/>
      <c r="J111" s="157"/>
      <c r="K111" s="151"/>
      <c r="L111" s="152"/>
      <c r="M111" s="152"/>
      <c r="N111" s="153"/>
      <c r="O111" s="103"/>
    </row>
    <row r="112" spans="1:16" ht="17.100000000000001" customHeight="1" x14ac:dyDescent="0.25">
      <c r="A112" s="158"/>
      <c r="B112" s="159"/>
      <c r="C112" s="159"/>
      <c r="D112" s="159"/>
      <c r="E112" s="159"/>
      <c r="F112" s="160"/>
      <c r="G112" s="162"/>
      <c r="H112" s="159"/>
      <c r="I112" s="159"/>
      <c r="J112" s="160"/>
      <c r="K112" s="151"/>
      <c r="L112" s="152"/>
      <c r="M112" s="152"/>
      <c r="N112" s="153"/>
      <c r="O112" s="103"/>
    </row>
    <row r="113" spans="1:19" ht="17.100000000000001" customHeight="1" x14ac:dyDescent="0.25">
      <c r="A113" s="158"/>
      <c r="B113" s="159"/>
      <c r="C113" s="159"/>
      <c r="D113" s="159"/>
      <c r="E113" s="159"/>
      <c r="F113" s="160"/>
      <c r="G113" s="162"/>
      <c r="H113" s="159"/>
      <c r="I113" s="159"/>
      <c r="J113" s="160"/>
      <c r="K113" s="151"/>
      <c r="L113" s="152"/>
      <c r="M113" s="152"/>
      <c r="N113" s="153"/>
      <c r="O113" s="103"/>
    </row>
    <row r="114" spans="1:19" ht="17.100000000000001" customHeight="1" x14ac:dyDescent="0.25">
      <c r="A114" s="158"/>
      <c r="B114" s="159"/>
      <c r="C114" s="159"/>
      <c r="D114" s="159"/>
      <c r="E114" s="159"/>
      <c r="F114" s="160"/>
      <c r="G114" s="162"/>
      <c r="H114" s="159"/>
      <c r="I114" s="159"/>
      <c r="J114" s="160"/>
      <c r="K114" s="151"/>
      <c r="L114" s="152"/>
      <c r="M114" s="152"/>
      <c r="N114" s="153"/>
      <c r="O114" s="103"/>
    </row>
    <row r="115" spans="1:19" ht="17.100000000000001" customHeight="1" x14ac:dyDescent="0.25">
      <c r="A115" s="158"/>
      <c r="B115" s="159"/>
      <c r="C115" s="159"/>
      <c r="D115" s="159"/>
      <c r="E115" s="159"/>
      <c r="F115" s="160"/>
      <c r="G115" s="162"/>
      <c r="H115" s="159"/>
      <c r="I115" s="159"/>
      <c r="J115" s="160"/>
      <c r="K115" s="151"/>
      <c r="L115" s="152"/>
      <c r="M115" s="152"/>
      <c r="N115" s="153"/>
      <c r="O115" s="103"/>
    </row>
    <row r="116" spans="1:19" ht="17.100000000000001" customHeight="1" x14ac:dyDescent="0.25">
      <c r="A116" s="158"/>
      <c r="B116" s="159"/>
      <c r="C116" s="159"/>
      <c r="D116" s="159"/>
      <c r="E116" s="159"/>
      <c r="F116" s="160"/>
      <c r="G116" s="162"/>
      <c r="H116" s="159"/>
      <c r="I116" s="159"/>
      <c r="J116" s="160"/>
      <c r="K116" s="151"/>
      <c r="L116" s="152"/>
      <c r="M116" s="152"/>
      <c r="N116" s="153"/>
      <c r="O116" s="103"/>
    </row>
    <row r="117" spans="1:19" ht="17.100000000000001" customHeight="1" x14ac:dyDescent="0.25">
      <c r="A117" s="158"/>
      <c r="B117" s="159"/>
      <c r="C117" s="159"/>
      <c r="D117" s="159"/>
      <c r="E117" s="159"/>
      <c r="F117" s="160"/>
      <c r="G117" s="162"/>
      <c r="H117" s="159"/>
      <c r="I117" s="159"/>
      <c r="J117" s="160"/>
      <c r="K117" s="151"/>
      <c r="L117" s="152"/>
      <c r="M117" s="152"/>
      <c r="N117" s="153"/>
      <c r="O117" s="103"/>
    </row>
    <row r="118" spans="1:19" ht="17.100000000000001" customHeight="1" thickBot="1" x14ac:dyDescent="0.3">
      <c r="A118" s="158"/>
      <c r="B118" s="159"/>
      <c r="C118" s="159"/>
      <c r="D118" s="159"/>
      <c r="E118" s="159"/>
      <c r="F118" s="160"/>
      <c r="G118" s="162"/>
      <c r="H118" s="159"/>
      <c r="I118" s="159"/>
      <c r="J118" s="160"/>
      <c r="K118" s="151"/>
      <c r="L118" s="152"/>
      <c r="M118" s="152"/>
      <c r="N118" s="153"/>
      <c r="O118" s="154"/>
    </row>
    <row r="119" spans="1:19" ht="17.100000000000001" customHeight="1" thickBot="1" x14ac:dyDescent="0.3">
      <c r="A119" s="164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6"/>
    </row>
    <row r="120" spans="1:19" ht="17.100000000000001" customHeight="1" x14ac:dyDescent="0.25">
      <c r="A120" s="141" t="s">
        <v>45</v>
      </c>
      <c r="B120" s="108"/>
      <c r="C120" s="108"/>
      <c r="D120" s="109"/>
      <c r="E120" s="167" t="s">
        <v>46</v>
      </c>
      <c r="F120" s="108"/>
      <c r="G120" s="108"/>
      <c r="H120" s="108"/>
      <c r="I120" s="108"/>
      <c r="J120" s="108"/>
      <c r="K120" s="169" t="s">
        <v>47</v>
      </c>
      <c r="L120" s="143"/>
      <c r="M120" s="143"/>
      <c r="N120" s="143"/>
      <c r="O120" s="173" t="s">
        <v>48</v>
      </c>
    </row>
    <row r="121" spans="1:19" ht="17.100000000000001" customHeight="1" x14ac:dyDescent="0.25">
      <c r="A121" s="110"/>
      <c r="B121" s="111"/>
      <c r="C121" s="111"/>
      <c r="D121" s="112"/>
      <c r="E121" s="168"/>
      <c r="F121" s="111"/>
      <c r="G121" s="111"/>
      <c r="H121" s="111"/>
      <c r="I121" s="111"/>
      <c r="J121" s="111"/>
      <c r="K121" s="170"/>
      <c r="L121" s="143"/>
      <c r="M121" s="143"/>
      <c r="N121" s="143"/>
      <c r="O121" s="174"/>
    </row>
    <row r="122" spans="1:19" ht="17.100000000000001" customHeight="1" x14ac:dyDescent="0.25">
      <c r="A122" s="104" t="s">
        <v>49</v>
      </c>
      <c r="B122" s="105"/>
      <c r="C122" s="105"/>
      <c r="D122" s="105"/>
      <c r="E122" s="105"/>
      <c r="F122" s="105"/>
      <c r="G122" s="105"/>
      <c r="H122" s="105"/>
      <c r="I122" s="105"/>
      <c r="J122" s="105"/>
      <c r="K122" s="170"/>
      <c r="L122" s="143"/>
      <c r="M122" s="143"/>
      <c r="N122" s="143"/>
      <c r="O122" s="174"/>
    </row>
    <row r="123" spans="1:19" ht="17.100000000000001" customHeight="1" x14ac:dyDescent="0.25">
      <c r="A123" s="107"/>
      <c r="B123" s="108"/>
      <c r="C123" s="108"/>
      <c r="D123" s="108"/>
      <c r="E123" s="108"/>
      <c r="F123" s="108"/>
      <c r="G123" s="108"/>
      <c r="H123" s="108"/>
      <c r="I123" s="108"/>
      <c r="J123" s="108"/>
      <c r="K123" s="170"/>
      <c r="L123" s="143"/>
      <c r="M123" s="143"/>
      <c r="N123" s="143"/>
      <c r="O123" s="174"/>
    </row>
    <row r="124" spans="1:19" ht="17.100000000000001" customHeight="1" x14ac:dyDescent="0.25">
      <c r="A124" s="107"/>
      <c r="B124" s="108"/>
      <c r="C124" s="108"/>
      <c r="D124" s="108"/>
      <c r="E124" s="108"/>
      <c r="F124" s="108"/>
      <c r="G124" s="108"/>
      <c r="H124" s="108"/>
      <c r="I124" s="108"/>
      <c r="J124" s="108"/>
      <c r="K124" s="170"/>
      <c r="L124" s="143"/>
      <c r="M124" s="143"/>
      <c r="N124" s="143"/>
      <c r="O124" s="174"/>
    </row>
    <row r="125" spans="1:19" ht="17.100000000000001" customHeight="1" x14ac:dyDescent="0.25">
      <c r="A125" s="107"/>
      <c r="B125" s="108"/>
      <c r="C125" s="108"/>
      <c r="D125" s="108"/>
      <c r="E125" s="108"/>
      <c r="F125" s="108"/>
      <c r="G125" s="108"/>
      <c r="H125" s="108"/>
      <c r="I125" s="108"/>
      <c r="J125" s="108"/>
      <c r="K125" s="170"/>
      <c r="L125" s="143"/>
      <c r="M125" s="143"/>
      <c r="N125" s="143"/>
      <c r="O125" s="174"/>
    </row>
    <row r="126" spans="1:19" ht="17.100000000000001" customHeight="1" thickBot="1" x14ac:dyDescent="0.3">
      <c r="A126" s="176"/>
      <c r="B126" s="177"/>
      <c r="C126" s="177"/>
      <c r="D126" s="177"/>
      <c r="E126" s="177"/>
      <c r="F126" s="177"/>
      <c r="G126" s="177"/>
      <c r="H126" s="177"/>
      <c r="I126" s="177"/>
      <c r="J126" s="177"/>
      <c r="K126" s="171"/>
      <c r="L126" s="172"/>
      <c r="M126" s="172"/>
      <c r="N126" s="172"/>
      <c r="O126" s="175"/>
    </row>
    <row r="127" spans="1:19" ht="14.1" customHeight="1" x14ac:dyDescent="0.25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</row>
    <row r="128" spans="1:19" ht="14.1" customHeight="1" x14ac:dyDescent="0.25"/>
    <row r="129" ht="14.1" customHeight="1" x14ac:dyDescent="0.25"/>
    <row r="130" ht="14.1" customHeight="1" x14ac:dyDescent="0.25"/>
  </sheetData>
  <sortState ref="A37:N82">
    <sortCondition ref="E37:E82"/>
  </sortState>
  <mergeCells count="81">
    <mergeCell ref="E14:E15"/>
    <mergeCell ref="N39:N40"/>
    <mergeCell ref="B41:F41"/>
    <mergeCell ref="A79:A80"/>
    <mergeCell ref="B79:B80"/>
    <mergeCell ref="C79:C80"/>
    <mergeCell ref="D79:D80"/>
    <mergeCell ref="F79:F80"/>
    <mergeCell ref="G79:G80"/>
    <mergeCell ref="A26:E26"/>
    <mergeCell ref="A38:E38"/>
    <mergeCell ref="A34:E34"/>
    <mergeCell ref="A36:E36"/>
    <mergeCell ref="A85:N85"/>
    <mergeCell ref="A83:M83"/>
    <mergeCell ref="A14:A15"/>
    <mergeCell ref="H39:L39"/>
    <mergeCell ref="M39:M40"/>
    <mergeCell ref="F14:F15"/>
    <mergeCell ref="G14:G15"/>
    <mergeCell ref="H14:L14"/>
    <mergeCell ref="M14:M15"/>
    <mergeCell ref="G39:G40"/>
    <mergeCell ref="B81:F81"/>
    <mergeCell ref="C14:C15"/>
    <mergeCell ref="D14:D15"/>
    <mergeCell ref="N14:N15"/>
    <mergeCell ref="A20:E20"/>
    <mergeCell ref="A23:E23"/>
    <mergeCell ref="A127:J127"/>
    <mergeCell ref="K127:S127"/>
    <mergeCell ref="A119:O119"/>
    <mergeCell ref="A120:D121"/>
    <mergeCell ref="E120:J121"/>
    <mergeCell ref="K120:N126"/>
    <mergeCell ref="O120:O126"/>
    <mergeCell ref="A122:J126"/>
    <mergeCell ref="A109:O109"/>
    <mergeCell ref="A110:F110"/>
    <mergeCell ref="G110:J110"/>
    <mergeCell ref="K110:N118"/>
    <mergeCell ref="O110:O118"/>
    <mergeCell ref="A111:F118"/>
    <mergeCell ref="G111:J118"/>
    <mergeCell ref="O14:O108"/>
    <mergeCell ref="A39:A40"/>
    <mergeCell ref="B39:B40"/>
    <mergeCell ref="C39:C40"/>
    <mergeCell ref="D39:D40"/>
    <mergeCell ref="E39:E40"/>
    <mergeCell ref="F39:F40"/>
    <mergeCell ref="A91:M91"/>
    <mergeCell ref="N79:N80"/>
    <mergeCell ref="H79:L79"/>
    <mergeCell ref="M79:M80"/>
    <mergeCell ref="B14:B15"/>
    <mergeCell ref="A101:G101"/>
    <mergeCell ref="J101:N101"/>
    <mergeCell ref="A102:N108"/>
    <mergeCell ref="E79:E80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2" type="noConversion"/>
  <hyperlinks>
    <hyperlink ref="E45" r:id="rId1" display="VALVULA DE DESCARGA EM METAL CROMADO PARA MICTORIO COM ACIONAMENTO POR PRESSAO E FECHAMENTO AUTOMATICO"/>
    <hyperlink ref="E48" r:id="rId2" display="VALVULA DE DESCARGA EM METAL CROMADO PARA MICTORIO COM ACIONAMENTO POR PRESSAO E FECHAMENTO AUTOMATICO"/>
    <hyperlink ref="E71" r:id="rId3" display="VALVULA DE DESCARGA EM METAL CROMADO PARA MICTORIO COM ACIONAMENTO POR PRESSAO E FECHAMENTO AUTOMATICO"/>
  </hyperlinks>
  <pageMargins left="0.25" right="0.25" top="0.75" bottom="0.75" header="0.3" footer="0.3"/>
  <pageSetup paperSize="9" scale="53" orientation="landscape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27003EB-AE11-494E-9D41-54D040F53C43}"/>
</file>

<file path=customXml/itemProps2.xml><?xml version="1.0" encoding="utf-8"?>
<ds:datastoreItem xmlns:ds="http://schemas.openxmlformats.org/officeDocument/2006/customXml" ds:itemID="{C218C86D-8856-4DF0-8486-892F43C8F1B8}"/>
</file>

<file path=customXml/itemProps3.xml><?xml version="1.0" encoding="utf-8"?>
<ds:datastoreItem xmlns:ds="http://schemas.openxmlformats.org/officeDocument/2006/customXml" ds:itemID="{85B48A76-4CA5-4262-8603-B3CCBF9AA1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2026-01-13T17:29:15Z</cp:lastPrinted>
  <dcterms:created xsi:type="dcterms:W3CDTF">2022-01-02T19:12:46Z</dcterms:created>
  <dcterms:modified xsi:type="dcterms:W3CDTF">2026-01-13T17:30:00Z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