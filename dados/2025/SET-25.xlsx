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29"/>
  <workbookPr/>
  <mc:AlternateContent xmlns:mc="http://schemas.openxmlformats.org/markup-compatibility/2006">
    <mc:Choice Requires="x15">
      <x15ac:absPath xmlns:x15ac="http://schemas.microsoft.com/office/spreadsheetml/2010/11/ac" url="G:\Meu Drive\0-Gi contrato 2022\Medições\40-Setembro-25\"/>
    </mc:Choice>
  </mc:AlternateContent>
  <bookViews>
    <workbookView xWindow="0" yWindow="0" windowWidth="19896" windowHeight="16956"/>
  </bookViews>
  <sheets>
    <sheet name="São Carlos" sheetId="1" r:id="rId1"/>
    <sheet name="VIDROS" sheetId="2" r:id="rId2"/>
  </sheets>
  <definedNames>
    <definedName name="_xlnm.Print_Area" localSheetId="0">'São Carlos'!$A$1:$O$136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9" i="1" l="1"/>
  <c r="I18" i="1"/>
  <c r="J18" i="1" s="1"/>
  <c r="I20" i="1"/>
  <c r="J20" i="1" s="1"/>
  <c r="I31" i="1"/>
  <c r="J31" i="1" s="1"/>
  <c r="K18" i="1" l="1"/>
  <c r="L18" i="1"/>
  <c r="M18" i="1" s="1"/>
  <c r="K20" i="1"/>
  <c r="L20" i="1" s="1"/>
  <c r="M20" i="1" s="1"/>
  <c r="K31" i="1"/>
  <c r="L31" i="1" s="1"/>
  <c r="M31" i="1" s="1"/>
  <c r="I104" i="1"/>
  <c r="J104" i="1" s="1"/>
  <c r="G93" i="1"/>
  <c r="I93" i="1"/>
  <c r="J93" i="1" s="1"/>
  <c r="I92" i="1"/>
  <c r="J92" i="1" s="1"/>
  <c r="G99" i="1"/>
  <c r="G97" i="1"/>
  <c r="I106" i="1"/>
  <c r="J106" i="1" s="1"/>
  <c r="I108" i="1"/>
  <c r="J108" i="1" s="1"/>
  <c r="I95" i="1"/>
  <c r="J95" i="1" s="1"/>
  <c r="I75" i="1"/>
  <c r="J75" i="1" s="1"/>
  <c r="I74" i="1"/>
  <c r="J74" i="1" s="1"/>
  <c r="I70" i="1"/>
  <c r="J70" i="1" s="1"/>
  <c r="J69" i="1"/>
  <c r="I69" i="1"/>
  <c r="I66" i="1"/>
  <c r="J66" i="1" s="1"/>
  <c r="I65" i="1"/>
  <c r="J65" i="1" s="1"/>
  <c r="I64" i="1"/>
  <c r="J64" i="1" s="1"/>
  <c r="I63" i="1"/>
  <c r="J63" i="1" s="1"/>
  <c r="I62" i="1"/>
  <c r="J62" i="1" s="1"/>
  <c r="I61" i="1"/>
  <c r="J61" i="1" s="1"/>
  <c r="I60" i="1"/>
  <c r="J60" i="1" s="1"/>
  <c r="I59" i="1"/>
  <c r="J59" i="1" s="1"/>
  <c r="I56" i="1"/>
  <c r="J56" i="1" s="1"/>
  <c r="I55" i="1"/>
  <c r="J55" i="1" s="1"/>
  <c r="I54" i="1"/>
  <c r="J54" i="1" s="1"/>
  <c r="I50" i="1"/>
  <c r="J50" i="1" s="1"/>
  <c r="I48" i="1"/>
  <c r="J48" i="1" s="1"/>
  <c r="G47" i="1"/>
  <c r="I47" i="1"/>
  <c r="J47" i="1" s="1"/>
  <c r="I38" i="1"/>
  <c r="J38" i="1" s="1"/>
  <c r="G38" i="1"/>
  <c r="I44" i="1"/>
  <c r="J44" i="1" s="1"/>
  <c r="I43" i="1"/>
  <c r="J43" i="1" s="1"/>
  <c r="J39" i="1"/>
  <c r="K104" i="1" l="1"/>
  <c r="L104" i="1"/>
  <c r="M104" i="1" s="1"/>
  <c r="K93" i="1"/>
  <c r="L93" i="1" s="1"/>
  <c r="M93" i="1" s="1"/>
  <c r="K92" i="1"/>
  <c r="L92" i="1" s="1"/>
  <c r="M92" i="1" s="1"/>
  <c r="K106" i="1"/>
  <c r="L106" i="1" s="1"/>
  <c r="M106" i="1" s="1"/>
  <c r="K108" i="1"/>
  <c r="L108" i="1" s="1"/>
  <c r="M108" i="1" s="1"/>
  <c r="K95" i="1"/>
  <c r="L95" i="1" s="1"/>
  <c r="M95" i="1" s="1"/>
  <c r="K75" i="1"/>
  <c r="L75" i="1" s="1"/>
  <c r="M75" i="1" s="1"/>
  <c r="N75" i="1" s="1"/>
  <c r="K74" i="1"/>
  <c r="L74" i="1" s="1"/>
  <c r="M74" i="1" s="1"/>
  <c r="K70" i="1"/>
  <c r="L70" i="1" s="1"/>
  <c r="M70" i="1" s="1"/>
  <c r="K69" i="1"/>
  <c r="L69" i="1" s="1"/>
  <c r="M69" i="1" s="1"/>
  <c r="K66" i="1"/>
  <c r="L66" i="1" s="1"/>
  <c r="M66" i="1" s="1"/>
  <c r="N66" i="1" s="1"/>
  <c r="K65" i="1"/>
  <c r="L65" i="1" s="1"/>
  <c r="M65" i="1" s="1"/>
  <c r="N65" i="1" s="1"/>
  <c r="K64" i="1"/>
  <c r="L64" i="1" s="1"/>
  <c r="M64" i="1" s="1"/>
  <c r="K63" i="1"/>
  <c r="L63" i="1" s="1"/>
  <c r="M63" i="1" s="1"/>
  <c r="K62" i="1"/>
  <c r="L62" i="1" s="1"/>
  <c r="M62" i="1" s="1"/>
  <c r="K61" i="1"/>
  <c r="L61" i="1" s="1"/>
  <c r="M61" i="1" s="1"/>
  <c r="K60" i="1"/>
  <c r="L60" i="1" s="1"/>
  <c r="M60" i="1" s="1"/>
  <c r="K59" i="1"/>
  <c r="L59" i="1" s="1"/>
  <c r="M59" i="1" s="1"/>
  <c r="K54" i="1"/>
  <c r="L54" i="1" s="1"/>
  <c r="M54" i="1" s="1"/>
  <c r="K55" i="1"/>
  <c r="L55" i="1" s="1"/>
  <c r="M55" i="1" s="1"/>
  <c r="K56" i="1"/>
  <c r="L56" i="1" s="1"/>
  <c r="M56" i="1" s="1"/>
  <c r="K50" i="1"/>
  <c r="L50" i="1" s="1"/>
  <c r="M50" i="1" s="1"/>
  <c r="N50" i="1" s="1"/>
  <c r="K48" i="1"/>
  <c r="L48" i="1" s="1"/>
  <c r="M48" i="1" s="1"/>
  <c r="K47" i="1"/>
  <c r="L47" i="1" s="1"/>
  <c r="M47" i="1" s="1"/>
  <c r="K38" i="1"/>
  <c r="L38" i="1" s="1"/>
  <c r="M38" i="1" s="1"/>
  <c r="K44" i="1"/>
  <c r="L44" i="1" s="1"/>
  <c r="M44" i="1" s="1"/>
  <c r="K43" i="1"/>
  <c r="L43" i="1" s="1"/>
  <c r="M43" i="1" s="1"/>
  <c r="K39" i="1"/>
  <c r="L39" i="1" s="1"/>
  <c r="M39" i="1" s="1"/>
  <c r="G35" i="1"/>
  <c r="I35" i="1"/>
  <c r="J35" i="1" s="1"/>
  <c r="G36" i="1"/>
  <c r="I36" i="1"/>
  <c r="J36" i="1" s="1"/>
  <c r="I37" i="1"/>
  <c r="J37" i="1" s="1"/>
  <c r="G41" i="1"/>
  <c r="I41" i="1"/>
  <c r="J41" i="1" s="1"/>
  <c r="G40" i="1"/>
  <c r="N63" i="1" l="1"/>
  <c r="N56" i="1"/>
  <c r="N61" i="1"/>
  <c r="N64" i="1"/>
  <c r="N48" i="1"/>
  <c r="N62" i="1"/>
  <c r="N60" i="1"/>
  <c r="N70" i="1"/>
  <c r="N55" i="1"/>
  <c r="N44" i="1"/>
  <c r="K35" i="1"/>
  <c r="L35" i="1" s="1"/>
  <c r="M35" i="1" s="1"/>
  <c r="K36" i="1"/>
  <c r="L36" i="1" s="1"/>
  <c r="M36" i="1" s="1"/>
  <c r="K37" i="1"/>
  <c r="L37" i="1" s="1"/>
  <c r="M37" i="1" s="1"/>
  <c r="N38" i="1" s="1"/>
  <c r="K41" i="1"/>
  <c r="L41" i="1" s="1"/>
  <c r="M41" i="1" s="1"/>
  <c r="N39" i="1" l="1"/>
  <c r="N36" i="1"/>
  <c r="N37" i="1"/>
  <c r="I103" i="1" l="1"/>
  <c r="J103" i="1" s="1"/>
  <c r="I97" i="1"/>
  <c r="J97" i="1" s="1"/>
  <c r="I107" i="1"/>
  <c r="J107" i="1" s="1"/>
  <c r="K103" i="1" l="1"/>
  <c r="L103" i="1" s="1"/>
  <c r="M103" i="1" s="1"/>
  <c r="K97" i="1"/>
  <c r="L97" i="1" s="1"/>
  <c r="M97" i="1" s="1"/>
  <c r="K107" i="1"/>
  <c r="L107" i="1" s="1"/>
  <c r="M107" i="1" s="1"/>
  <c r="I101" i="1" l="1"/>
  <c r="J101" i="1" s="1"/>
  <c r="I100" i="1"/>
  <c r="J100" i="1" s="1"/>
  <c r="I99" i="1"/>
  <c r="J99" i="1" s="1"/>
  <c r="K99" i="1" s="1"/>
  <c r="L99" i="1" s="1"/>
  <c r="M99" i="1" l="1"/>
  <c r="K100" i="1"/>
  <c r="L100" i="1" s="1"/>
  <c r="M100" i="1" s="1"/>
  <c r="K101" i="1"/>
  <c r="L101" i="1" s="1"/>
  <c r="M101" i="1" s="1"/>
  <c r="H22" i="2" l="1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23" i="2" l="1"/>
  <c r="I67" i="1"/>
  <c r="J67" i="1" s="1"/>
  <c r="K67" i="1" s="1"/>
  <c r="L67" i="1" s="1"/>
  <c r="M67" i="1" s="1"/>
  <c r="I73" i="1"/>
  <c r="J73" i="1" s="1"/>
  <c r="I72" i="1"/>
  <c r="J72" i="1" s="1"/>
  <c r="I68" i="1"/>
  <c r="J68" i="1" s="1"/>
  <c r="I57" i="1"/>
  <c r="J57" i="1" s="1"/>
  <c r="I53" i="1"/>
  <c r="J53" i="1" s="1"/>
  <c r="I52" i="1"/>
  <c r="J52" i="1" s="1"/>
  <c r="I51" i="1"/>
  <c r="J51" i="1" s="1"/>
  <c r="I42" i="1"/>
  <c r="J42" i="1" s="1"/>
  <c r="I46" i="1"/>
  <c r="J46" i="1" s="1"/>
  <c r="I45" i="1"/>
  <c r="J45" i="1" s="1"/>
  <c r="I79" i="1"/>
  <c r="J79" i="1" s="1"/>
  <c r="K73" i="1" l="1"/>
  <c r="L73" i="1" s="1"/>
  <c r="M73" i="1" s="1"/>
  <c r="K72" i="1"/>
  <c r="L72" i="1" s="1"/>
  <c r="M72" i="1" s="1"/>
  <c r="K68" i="1"/>
  <c r="L68" i="1" s="1"/>
  <c r="M68" i="1" s="1"/>
  <c r="N69" i="1" s="1"/>
  <c r="N67" i="1"/>
  <c r="K57" i="1"/>
  <c r="L57" i="1" s="1"/>
  <c r="M57" i="1" s="1"/>
  <c r="K53" i="1"/>
  <c r="L53" i="1" s="1"/>
  <c r="M53" i="1" s="1"/>
  <c r="N54" i="1" s="1"/>
  <c r="K52" i="1"/>
  <c r="L52" i="1" s="1"/>
  <c r="M52" i="1" s="1"/>
  <c r="K51" i="1"/>
  <c r="L51" i="1" s="1"/>
  <c r="M51" i="1" s="1"/>
  <c r="K42" i="1"/>
  <c r="L42" i="1" s="1"/>
  <c r="M42" i="1" s="1"/>
  <c r="N43" i="1" s="1"/>
  <c r="K46" i="1"/>
  <c r="L46" i="1" s="1"/>
  <c r="M46" i="1" s="1"/>
  <c r="N47" i="1" s="1"/>
  <c r="K45" i="1"/>
  <c r="L45" i="1" s="1"/>
  <c r="M45" i="1" s="1"/>
  <c r="K79" i="1"/>
  <c r="L79" i="1" s="1"/>
  <c r="M79" i="1" s="1"/>
  <c r="I78" i="1"/>
  <c r="J78" i="1" s="1"/>
  <c r="I76" i="1"/>
  <c r="J76" i="1" s="1"/>
  <c r="I71" i="1"/>
  <c r="J71" i="1" s="1"/>
  <c r="K71" i="1" s="1"/>
  <c r="I77" i="1"/>
  <c r="J77" i="1" s="1"/>
  <c r="K77" i="1" s="1"/>
  <c r="I58" i="1"/>
  <c r="J58" i="1" s="1"/>
  <c r="I49" i="1"/>
  <c r="J49" i="1" s="1"/>
  <c r="I40" i="1"/>
  <c r="J40" i="1" s="1"/>
  <c r="N46" i="1" l="1"/>
  <c r="N52" i="1"/>
  <c r="N53" i="1"/>
  <c r="N57" i="1"/>
  <c r="N45" i="1"/>
  <c r="N73" i="1"/>
  <c r="N68" i="1"/>
  <c r="N79" i="1"/>
  <c r="K78" i="1"/>
  <c r="L78" i="1" s="1"/>
  <c r="M78" i="1" s="1"/>
  <c r="L71" i="1"/>
  <c r="M71" i="1" s="1"/>
  <c r="K76" i="1"/>
  <c r="L76" i="1" s="1"/>
  <c r="M76" i="1" s="1"/>
  <c r="L77" i="1"/>
  <c r="M77" i="1" s="1"/>
  <c r="K58" i="1"/>
  <c r="L58" i="1" s="1"/>
  <c r="M58" i="1" s="1"/>
  <c r="K49" i="1"/>
  <c r="L49" i="1" s="1"/>
  <c r="M49" i="1" s="1"/>
  <c r="K40" i="1"/>
  <c r="L40" i="1" s="1"/>
  <c r="M40" i="1" s="1"/>
  <c r="N72" i="1" l="1"/>
  <c r="N74" i="1"/>
  <c r="N58" i="1"/>
  <c r="N59" i="1"/>
  <c r="N40" i="1"/>
  <c r="N41" i="1"/>
  <c r="N78" i="1"/>
  <c r="N42" i="1"/>
  <c r="N49" i="1"/>
  <c r="N51" i="1"/>
  <c r="N77" i="1"/>
  <c r="N76" i="1"/>
  <c r="N71" i="1"/>
  <c r="I90" i="1" l="1"/>
  <c r="J90" i="1" s="1"/>
  <c r="K90" i="1" l="1"/>
  <c r="L90" i="1" s="1"/>
  <c r="M90" i="1" s="1"/>
  <c r="I88" i="1" l="1"/>
  <c r="J88" i="1" s="1"/>
  <c r="I86" i="1"/>
  <c r="J86" i="1" s="1"/>
  <c r="I87" i="1"/>
  <c r="J87" i="1" s="1"/>
  <c r="K87" i="1" s="1"/>
  <c r="K88" i="1" l="1"/>
  <c r="L88" i="1" s="1"/>
  <c r="M88" i="1" s="1"/>
  <c r="K86" i="1"/>
  <c r="L86" i="1" s="1"/>
  <c r="M86" i="1" s="1"/>
  <c r="L87" i="1"/>
  <c r="M87" i="1" s="1"/>
  <c r="M85" i="1" l="1"/>
  <c r="M34" i="1"/>
  <c r="N35" i="1" s="1"/>
  <c r="N97" i="1" l="1"/>
  <c r="I19" i="1"/>
  <c r="J19" i="1" s="1"/>
  <c r="K19" i="1" s="1"/>
  <c r="I21" i="1"/>
  <c r="J21" i="1" s="1"/>
  <c r="I22" i="1"/>
  <c r="J22" i="1" s="1"/>
  <c r="K22" i="1" s="1"/>
  <c r="I23" i="1"/>
  <c r="J23" i="1" s="1"/>
  <c r="I24" i="1"/>
  <c r="J24" i="1" s="1"/>
  <c r="K24" i="1" s="1"/>
  <c r="I25" i="1"/>
  <c r="J25" i="1" s="1"/>
  <c r="I26" i="1"/>
  <c r="J26" i="1" s="1"/>
  <c r="K26" i="1" s="1"/>
  <c r="I27" i="1"/>
  <c r="J27" i="1" s="1"/>
  <c r="I28" i="1"/>
  <c r="J28" i="1" s="1"/>
  <c r="K28" i="1" s="1"/>
  <c r="I29" i="1"/>
  <c r="J29" i="1" s="1"/>
  <c r="I30" i="1"/>
  <c r="J30" i="1" s="1"/>
  <c r="K30" i="1" s="1"/>
  <c r="K25" i="1" l="1"/>
  <c r="L25" i="1" s="1"/>
  <c r="M25" i="1" s="1"/>
  <c r="K27" i="1"/>
  <c r="L27" i="1" s="1"/>
  <c r="M27" i="1" s="1"/>
  <c r="K29" i="1"/>
  <c r="L29" i="1" s="1"/>
  <c r="M29" i="1" s="1"/>
  <c r="K21" i="1"/>
  <c r="L21" i="1" s="1"/>
  <c r="M21" i="1" s="1"/>
  <c r="K23" i="1"/>
  <c r="L23" i="1" s="1"/>
  <c r="M23" i="1" s="1"/>
  <c r="L30" i="1"/>
  <c r="M30" i="1" s="1"/>
  <c r="L28" i="1"/>
  <c r="M28" i="1" s="1"/>
  <c r="L26" i="1"/>
  <c r="M26" i="1" s="1"/>
  <c r="L24" i="1"/>
  <c r="M24" i="1" s="1"/>
  <c r="L22" i="1"/>
  <c r="M22" i="1" s="1"/>
  <c r="L19" i="1"/>
  <c r="M19" i="1" s="1"/>
  <c r="I17" i="1"/>
  <c r="J17" i="1" s="1"/>
  <c r="K17" i="1" s="1"/>
  <c r="M16" i="1" l="1"/>
  <c r="L17" i="1"/>
  <c r="M17" i="1" s="1"/>
  <c r="N104" i="1" l="1"/>
  <c r="N31" i="1"/>
  <c r="N20" i="1"/>
  <c r="N92" i="1"/>
  <c r="N93" i="1"/>
  <c r="N108" i="1"/>
  <c r="N95" i="1"/>
  <c r="N106" i="1"/>
  <c r="N103" i="1"/>
  <c r="N107" i="1"/>
  <c r="N99" i="1"/>
  <c r="N100" i="1"/>
  <c r="N101" i="1"/>
  <c r="N90" i="1"/>
  <c r="N86" i="1"/>
  <c r="N88" i="1"/>
  <c r="N87" i="1"/>
  <c r="N21" i="1"/>
  <c r="N19" i="1"/>
  <c r="N25" i="1"/>
  <c r="N23" i="1"/>
  <c r="N28" i="1"/>
  <c r="N22" i="1"/>
  <c r="N29" i="1"/>
  <c r="N27" i="1"/>
  <c r="N26" i="1"/>
  <c r="N30" i="1"/>
  <c r="N24" i="1"/>
  <c r="N17" i="1"/>
  <c r="J111" i="1"/>
  <c r="N16" i="1" l="1"/>
</calcChain>
</file>

<file path=xl/sharedStrings.xml><?xml version="1.0" encoding="utf-8"?>
<sst xmlns="http://schemas.openxmlformats.org/spreadsheetml/2006/main" count="491" uniqueCount="232">
  <si>
    <t>LOGO</t>
  </si>
  <si>
    <t>Ordem de Serviço</t>
  </si>
  <si>
    <t>Prioridade:</t>
  </si>
  <si>
    <t>URGENTE</t>
  </si>
  <si>
    <t xml:space="preserve">24 horas </t>
  </si>
  <si>
    <t>ALTA</t>
  </si>
  <si>
    <t>3 dias</t>
  </si>
  <si>
    <t>MÉDIA</t>
  </si>
  <si>
    <t>7 dias</t>
  </si>
  <si>
    <t>BAIXA</t>
  </si>
  <si>
    <t xml:space="preserve">15 dias </t>
  </si>
  <si>
    <r>
      <t xml:space="preserve">UNIDADE: </t>
    </r>
    <r>
      <rPr>
        <sz val="8"/>
        <color rgb="FFFF0000"/>
        <rFont val="Arial"/>
        <family val="2"/>
      </rPr>
      <t>UFSCar Campus São Carlos</t>
    </r>
  </si>
  <si>
    <t>SOLICITAÇÃO</t>
  </si>
  <si>
    <r>
      <t xml:space="preserve">Solicitante: </t>
    </r>
    <r>
      <rPr>
        <sz val="8"/>
        <color rgb="FFFF0000"/>
        <rFont val="Arial"/>
        <family val="2"/>
      </rPr>
      <t>Prefeitura Universitária do Campus São Carlos</t>
    </r>
  </si>
  <si>
    <r>
      <t xml:space="preserve">Ambiente: </t>
    </r>
    <r>
      <rPr>
        <sz val="8"/>
        <color rgb="FFFF0000"/>
        <rFont val="Arial"/>
        <family val="2"/>
      </rPr>
      <t>Campus São Carlos</t>
    </r>
  </si>
  <si>
    <r>
      <t xml:space="preserve">Prazo de execução: </t>
    </r>
    <r>
      <rPr>
        <sz val="8"/>
        <color rgb="FFFF0000"/>
        <rFont val="Arial"/>
        <family val="2"/>
      </rPr>
      <t>Continuado</t>
    </r>
  </si>
  <si>
    <t>ITEM</t>
  </si>
  <si>
    <t>TIPO</t>
  </si>
  <si>
    <t>CÓDIGO</t>
  </si>
  <si>
    <t>BANCO</t>
  </si>
  <si>
    <t>DESCRIÇÃO DAS ETAPAS</t>
  </si>
  <si>
    <t>UNID.</t>
  </si>
  <si>
    <t>QUANT.</t>
  </si>
  <si>
    <t>PREÇO</t>
  </si>
  <si>
    <t>TOTAL DA ETAPA</t>
  </si>
  <si>
    <t>%</t>
  </si>
  <si>
    <t>ORÇAMENTO</t>
  </si>
  <si>
    <t>UNITÁRIO SEM BDI</t>
  </si>
  <si>
    <t>BDI (22,32%)</t>
  </si>
  <si>
    <t>UNITÁRIO COM BDI</t>
  </si>
  <si>
    <t>UNITÁRIO C/ BDI e DESCONTO</t>
  </si>
  <si>
    <t>EQUIPE DE PRESTAÇÃO DE SERVIÇOS ROTINEIROS DE MANUTENÇÃO PREDIAL</t>
  </si>
  <si>
    <t>1.1</t>
  </si>
  <si>
    <t xml:space="preserve">Composição </t>
  </si>
  <si>
    <t>SINAPI</t>
  </si>
  <si>
    <t>h</t>
  </si>
  <si>
    <t>BDI (15,32%)</t>
  </si>
  <si>
    <t>MATERIAIS NECESSÁRIOS PARA O DESEMPENHO DAS ROTINAS</t>
  </si>
  <si>
    <t>SERVIÇOS / EQUIPAMENTOS ADICIONAIS NECESSÁRIOS DURANTE AS ROTINAS</t>
  </si>
  <si>
    <t>TOTAL DO SERVIÇO - R$</t>
  </si>
  <si>
    <t>APROVAÇÃO DO ORÇAMENTO</t>
  </si>
  <si>
    <t>Ordem Serviço Eletrônica</t>
  </si>
  <si>
    <t>APROVAÇÃO ORÇAMENTO</t>
  </si>
  <si>
    <t>Conforme Serviços.UFSCar</t>
  </si>
  <si>
    <t xml:space="preserve">
Conforme Servicos.UFSCar
</t>
  </si>
  <si>
    <t xml:space="preserve">Data de início:
Hora de início:
</t>
  </si>
  <si>
    <t xml:space="preserve">Data de conclusão:
Hora de conclusão:
</t>
  </si>
  <si>
    <t xml:space="preserve"> _____________________________________________
Fiscal do Contrato / Assinatura
</t>
  </si>
  <si>
    <t xml:space="preserve">EXECUÇÃO / ATESTE DE
APROVAÇAO DO SERVIÇO
</t>
  </si>
  <si>
    <t xml:space="preserve">Observações do fiscal do contrato: </t>
  </si>
  <si>
    <r>
      <t xml:space="preserve">Prazo de início: </t>
    </r>
    <r>
      <rPr>
        <sz val="8"/>
        <color rgb="FFFF0000"/>
        <rFont val="Arial"/>
        <family val="2"/>
      </rPr>
      <t>13/06/2022</t>
    </r>
  </si>
  <si>
    <r>
      <t xml:space="preserve">CONTRATO: </t>
    </r>
    <r>
      <rPr>
        <sz val="8"/>
        <color rgb="FFFF0000"/>
        <rFont val="Arial"/>
        <family val="2"/>
      </rPr>
      <t xml:space="preserve"> 023/2022</t>
    </r>
  </si>
  <si>
    <t>DESCONTO (0,03%)</t>
  </si>
  <si>
    <t>ESCONTO (0,03%)</t>
  </si>
  <si>
    <t xml:space="preserve"> 88267 </t>
  </si>
  <si>
    <t>ENCANADOR OU BOMBEIRO HIDRÁULICO COM ENCARGOS COMPLEMENTARES</t>
  </si>
  <si>
    <t xml:space="preserve"> 88248 </t>
  </si>
  <si>
    <t>AUXILIAR DE ENCANADOR OU BOMBEIRO HIDRÁULICO COM ENCARGOS COMPLEMENTARES</t>
  </si>
  <si>
    <t xml:space="preserve"> 88309 </t>
  </si>
  <si>
    <t>PEDREIRO COM ENCARGOS COMPLEMENTARES</t>
  </si>
  <si>
    <t xml:space="preserve"> 88242 </t>
  </si>
  <si>
    <t>AJUDANTE DE PEDREIRO COM ENCARGOS COMPLEMENTARES</t>
  </si>
  <si>
    <t>ENCARREGADO GERAL COM ENCARGOS COMPLEMENTARES</t>
  </si>
  <si>
    <t xml:space="preserve"> 88241 </t>
  </si>
  <si>
    <t>AJUDANTE DE OPERAÇÃO EM GERAL COM ENCARGOS COMPLEMENTARES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</si>
  <si>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</si>
  <si>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</si>
  <si>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</si>
  <si>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</si>
  <si>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</si>
  <si>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</si>
  <si>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</si>
  <si>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</si>
  <si>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</si>
  <si>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</si>
  <si>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</si>
  <si>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3.1</t>
  </si>
  <si>
    <t>3.3</t>
  </si>
  <si>
    <t>3.2</t>
  </si>
  <si>
    <t>PINTOR COM ENCARGOS COMPLEMENTARES</t>
  </si>
  <si>
    <t>3.4</t>
  </si>
  <si>
    <t>Insumos</t>
  </si>
  <si>
    <t>2.5</t>
  </si>
  <si>
    <t>2.15</t>
  </si>
  <si>
    <t>2.10</t>
  </si>
  <si>
    <t>2.7</t>
  </si>
  <si>
    <t>2.9</t>
  </si>
  <si>
    <t>2.12</t>
  </si>
  <si>
    <r>
      <t xml:space="preserve">Data Orçamento: </t>
    </r>
    <r>
      <rPr>
        <sz val="8"/>
        <color rgb="FFFF0000"/>
        <rFont val="Arial"/>
        <family val="2"/>
      </rPr>
      <t>Jun/22</t>
    </r>
  </si>
  <si>
    <t>2.6</t>
  </si>
  <si>
    <t>2.13</t>
  </si>
  <si>
    <t>2.14</t>
  </si>
  <si>
    <t>2.16</t>
  </si>
  <si>
    <t>2.17</t>
  </si>
  <si>
    <t>KG</t>
  </si>
  <si>
    <t>3.7</t>
  </si>
  <si>
    <t>3.8</t>
  </si>
  <si>
    <t>3.10</t>
  </si>
  <si>
    <t>3.11</t>
  </si>
  <si>
    <r>
      <t xml:space="preserve">Mês de referência: </t>
    </r>
    <r>
      <rPr>
        <sz val="8"/>
        <color rgb="FFFF0000"/>
        <rFont val="Arial"/>
        <family val="2"/>
      </rPr>
      <t>Maio/2025 (data da proposta)</t>
    </r>
  </si>
  <si>
    <r>
      <t xml:space="preserve">Observações: 
1) As composições de custos apresentadas nesta planilha orçamentária englobam em seu valor toda a mão de obra, materiais, ferramentas, equipamentos e demais itens necessários à sua perfeita e completa execução.
2) Preços das composições e insumos do </t>
    </r>
    <r>
      <rPr>
        <b/>
        <sz val="8"/>
        <color rgb="FFFF0000"/>
        <rFont val="Arial"/>
        <family val="2"/>
      </rPr>
      <t xml:space="preserve">SINAPI São Paulo (mês 05/2025) </t>
    </r>
    <r>
      <rPr>
        <sz val="8"/>
        <color theme="1"/>
        <rFont val="Arial"/>
        <family val="2"/>
      </rPr>
      <t xml:space="preserve">e/ou demais preços do mercado vigentes na mesma data.
3) A identificação de materiais ou equipamentos por determinada marca implica apenas na caracterização de uma analogia ou similaridade, não tendo caráter vinculante e sim, meramente indicativo.
4) O BDI e o desconto adotados são os acordados no respectivo contrato, bem como a modalidade de impostos desonerados ou padrão, considerando o ISS da Prefeitura local do serviço.
</t>
    </r>
  </si>
  <si>
    <t>JOELHO PVC, SOLDAVEL, 90 GRAUS, 25 MM, PARA AGUA FRIA PREDIAL</t>
  </si>
  <si>
    <t>L</t>
  </si>
  <si>
    <t>TINTA LATEX ACRILICA STANDARD, COR BRANCO NEVE</t>
  </si>
  <si>
    <t>2.23</t>
  </si>
  <si>
    <t>MASSA ACRILICA PARA SUPERFICIES INTERNAS E EXTERNAS</t>
  </si>
  <si>
    <t>2.41</t>
  </si>
  <si>
    <t>TORNEIRA METALICA CROMADA DE MESA PARA LAVATORIO, BICA ALTA, COM AREJADOR (REF 1195)</t>
  </si>
  <si>
    <t>TORNEIRA METALICA CROMADA PARA JARDIM / TANQUE, COM BICO PLASTICO, CANO LONGO, DE PAREDE, PADRAO POPULAR / USO GERAL , 1/2 " OU 3/4 " (REF 1153 / 1130)</t>
  </si>
  <si>
    <t>2.21</t>
  </si>
  <si>
    <t>2.22</t>
  </si>
  <si>
    <t>2.26</t>
  </si>
  <si>
    <t>2.27</t>
  </si>
  <si>
    <t>2.28</t>
  </si>
  <si>
    <t>2.29</t>
  </si>
  <si>
    <t>2.30</t>
  </si>
  <si>
    <t>2.40</t>
  </si>
  <si>
    <t>2.31</t>
  </si>
  <si>
    <t>2.35</t>
  </si>
  <si>
    <t>2.32</t>
  </si>
  <si>
    <t>2.36</t>
  </si>
  <si>
    <t>2.43</t>
  </si>
  <si>
    <t>2.37</t>
  </si>
  <si>
    <t>2.42</t>
  </si>
  <si>
    <t>M²</t>
  </si>
  <si>
    <t>3.5</t>
  </si>
  <si>
    <t>3.6</t>
  </si>
  <si>
    <t>3.9</t>
  </si>
  <si>
    <t>8.01.02</t>
  </si>
  <si>
    <t>FDE</t>
  </si>
  <si>
    <t>ALUGUEL CAÇAMBA 4M3</t>
  </si>
  <si>
    <t>TINTA ACRILICA PREMIUM PARA PISO CONCRETO</t>
  </si>
  <si>
    <t>GESSO EM PO PARA REVESTIMENTOS/MOLDURAS/SANCAS E USO GERAL</t>
  </si>
  <si>
    <t>RESINA ACRILICA PREMIUM BASE AGUA - COR BRANCA</t>
  </si>
  <si>
    <t>LUVA DE CORRER PVC PBA, JE, DN 75 / DE 85 MM, PARA REDE DE AGUA</t>
  </si>
  <si>
    <t>LUVA SOLDAVEL COM BUCHA DE LATAO, PVC, 25 MM X 1/2"</t>
  </si>
  <si>
    <t>CIMENTO PORTLAND COMPOSTO CP II-32</t>
  </si>
  <si>
    <t>REVESTIMENTO EM CERAMICA ESMALTADA, FORMATO MAIOR A 2025 CM2</t>
  </si>
  <si>
    <t>BLOCO CERAMICO / TIJOLO VAZADO PARA ALVENARIA DE VEDACAO, 9 FUROS NA HORIZONTAL DE 14 X 19 X 39 CM (L X A X C)</t>
  </si>
  <si>
    <t>ESCOVA CIRCULAR EM ACO LATONADO, 6 X 1" (DIAMETRO X ESPESSURA), FURO DE 1 1/4 ", FIO ONDULADO *0,30* MM</t>
  </si>
  <si>
    <t>CAMINHÃO PARA EQUIPAMENTO DE LIMPEZA A SUCÇÃO, COM CAMINHÃO TRUCADO DE PESO BRUTO TOTAL 23000 KG, CARGA ÚTIL MÁXIMA 15935 KG, DISTÂNCIA ENTRE EIXOS 4,80 M, POTÊNCIA 230 CV, INCLUSIVE LIMPADORA A SUCÇÃO, TANQUE 12000 L - CHP DIURNO. AF_05/2023</t>
  </si>
  <si>
    <t>H</t>
  </si>
  <si>
    <t>Vidro 3mm</t>
  </si>
  <si>
    <t>Local</t>
  </si>
  <si>
    <t>Quant.</t>
  </si>
  <si>
    <t>largura (cm)</t>
  </si>
  <si>
    <t>Comprimento (Cm)</t>
  </si>
  <si>
    <t>m²</t>
  </si>
  <si>
    <t>OBS</t>
  </si>
  <si>
    <t>DEQ</t>
  </si>
  <si>
    <t>total m²</t>
  </si>
  <si>
    <t>UAC</t>
  </si>
  <si>
    <t>AT09</t>
  </si>
  <si>
    <t>DGERO</t>
  </si>
  <si>
    <t>PSICOLOGIA</t>
  </si>
  <si>
    <t>ANFITEATRO</t>
  </si>
  <si>
    <t>NFP</t>
  </si>
  <si>
    <t>AT1</t>
  </si>
  <si>
    <t>NAP</t>
  </si>
  <si>
    <t>AT2</t>
  </si>
  <si>
    <t xml:space="preserve"> 88489 </t>
  </si>
  <si>
    <t>PINTURA LÁTEX ACRÍLICA PREMIUM, APLICAÇÃO MANUAL EM PAREDES, DUAS DEMÃOS. AF_04/2023</t>
  </si>
  <si>
    <t>APLICAÇÃO MANUAL DE PINTURA COM TINTA LÁTEX ACRÍLICA EM TETO, DUAS DEMÃOS. AF_06/2014</t>
  </si>
  <si>
    <t>APLICAÇÃO MANUAL DE MASSA ACRÍLICA EM PAREDES EXTERNAS DE CASAS, DUAS DEMÃOS. AF_05/2017</t>
  </si>
  <si>
    <r>
      <t xml:space="preserve">Descrição serviço: </t>
    </r>
    <r>
      <rPr>
        <b/>
        <sz val="8"/>
        <color theme="1"/>
        <rFont val="Arial"/>
        <family val="2"/>
      </rPr>
      <t xml:space="preserve">ROTINAS DE MANUTENÇÃO PREDIAL NO CAMPUS SÃO CARLOS, REFERENTE AO </t>
    </r>
    <r>
      <rPr>
        <b/>
        <sz val="8"/>
        <rFont val="Arial"/>
        <family val="2"/>
      </rPr>
      <t xml:space="preserve">PERIODO DE </t>
    </r>
    <r>
      <rPr>
        <b/>
        <sz val="8"/>
        <color rgb="FFFF0000"/>
        <rFont val="Arial"/>
        <family val="2"/>
      </rPr>
      <t>AGOSTO/2025</t>
    </r>
  </si>
  <si>
    <t>TINTA LATEX ACRILICA STANDARD, COR AREIA REAL</t>
  </si>
  <si>
    <t>COLA BRANCA BASE PVA</t>
  </si>
  <si>
    <t>LUVA DE CORRER PVC PBA, JE, DN 100 / DE 110 MM, PARA REDE DE AGUA</t>
  </si>
  <si>
    <t>LUVA PVC SOLDAVEL, 75 MM, PARA AGUA FRIA PREDIAL</t>
  </si>
  <si>
    <t>LUVA PVC SOLDAVEL, 85 MM, PARA AGUA FRIA PREDIAL</t>
  </si>
  <si>
    <t>ANEL BORRACHA, PARA TUBO/CONEXAO PVC PBA, DN 75 MM, PARA REDE AGUA</t>
  </si>
  <si>
    <t>TELHA DE FIBROCIMENTO ONDULADA E = 4 MM, DE 2,44 X 0,50 M (SEM AMIANTO)</t>
  </si>
  <si>
    <t>TORNEIRA DE BOIA CONVENCIONAL PARA CAIXA D'AGUA, AGUA FRIA, 3/4", COM HASTE E TORNEIRA METALICOS E BALAO PLASTICO</t>
  </si>
  <si>
    <t>ADAPTADOR PVC SOLDAVEL, COM FLANGE E ANEL DE VEDACAO, 25 MM X 3/4", PARA CAIXA D'AGUA</t>
  </si>
  <si>
    <t>ADAPTADOR PVC SOLDAVEL, COM FLANGE E ANEL DE VEDACAO, 32 MM X 1", PARA CAIXA D'AGUA</t>
  </si>
  <si>
    <t>ADAPTADOR PVC SOLDAVEL, COM FLANGE E ANEL DE VEDACAO, 50 MM X 1 1/2", PARA CAIXA D'AGUA</t>
  </si>
  <si>
    <t>BUCHA DE NYLON SEM ABA S6, COM PARAFUSO DE 4,20 X 40 MM EM ACO ZINCADO COM ROSCA SOBERBA, CABECA CHATA E FENDA PHILLIPS</t>
  </si>
  <si>
    <t>BUCHA DE NYLON SEM ABA S8, COM PARAFUSO DE 4,80 X 50 MM EM ACO ZINCADO COM ROSCA SOBERBA, CABECA CHATA E FENDA PHILLIPS</t>
  </si>
  <si>
    <t>BUCHA DE NYLON SEM ABA S10, COM PARAFUSO DE 6,10 X 65 MM EM ACO ZINCADO COM ROSCA SOBERBA, CABECA CHATA E FENDA PHILLIPS</t>
  </si>
  <si>
    <t>CAIXA D'AGUA / RESERVATORIO EM POLIESTER REFORCADO COM FIBRA DE VIDRO, 500 LITROS, COM TAMPA</t>
  </si>
  <si>
    <t>CURVA PVC LONGA 90 GRAUS, DN 75 MM, PARA ESGOTO PREDIAL</t>
  </si>
  <si>
    <t>ENGATE / RABICHO FLEXIVEL INOX 1/2 " X 40 CM</t>
  </si>
  <si>
    <t>JOELHO PVC, ROSCAVEL, 45 GRAUS, 3/4", PARA AGUA FRIA PREDIAL</t>
  </si>
  <si>
    <t>JOELHO PVC, SOLDAVEL, 90 GRAUS, 50 MM, COR MARROM, PARA AGUA FRIA PREDIAL</t>
  </si>
  <si>
    <t>LAMPADA LED 10 W BIVOLT BRANCA, FORMATO TRADICIONAL (BASE E27)</t>
  </si>
  <si>
    <t>REGISTRO DE ESFERA, PVC, COM VOLANTE, VS, SOLDAVEL, DN 25 MM, COM CORPO DIVIDIDO</t>
  </si>
  <si>
    <t>6.95.47</t>
  </si>
  <si>
    <t>REPARO P/VALVULA DESCARGA HIDRA LISA II</t>
  </si>
  <si>
    <t>REGISTRO GAVETA BRUTO EM LATAO FORJADO, BITOLA 2"</t>
  </si>
  <si>
    <t>TE SANITARIO, PVC, DN 50 X 50 MM, SERIE NORMAL, PARA ESGOTO PREDIAL</t>
  </si>
  <si>
    <t>UNIAO PVC, SOLDAVEL, 25 MM, PARA AGUA FRIA PREDIAL</t>
  </si>
  <si>
    <t>UNIAO PVC, SOLDAVEL, 32 MM, PARA AGUA FRIA PREDIAL</t>
  </si>
  <si>
    <t>UNIAO PVC, SOLDAVEL, 50 MM, PARA AGUA FRIA PREDIAL</t>
  </si>
  <si>
    <t>VALVULA DE DESCARGA EM METAL CROMADO PARA MICTORIO COM ACIONAMENTO POR PRESSAO E FECHAMENTO AUTOMATICO</t>
  </si>
  <si>
    <t>PASTA LUBRIFICANTE PARA TUBOS E CONEXOES COM JUNTA ELASTICA, EMBALAGEM DE *400* GR (USO EM PVC, ACO, POLIETILENO E OUTROS)</t>
  </si>
  <si>
    <t>DESOBSTRUÇÃO BARRAGEM</t>
  </si>
  <si>
    <t>PINTURA EM GERAL CAIXA DÁGUA COM LOGOTIPO</t>
  </si>
  <si>
    <t>PINTURA COM TINTA ALQUÍDICA DE ACABAMENTO (ESMALTE SINTÉTICO BRILHANTE) APLICADA A ROLO OU PINCEL SOBRE SUPERFÍCIES METÁLICAS (EXCETO PERFIL) EXECUTADO EM OBRA (POR DEMÃO). AF_01/2020</t>
  </si>
  <si>
    <t>LIXAMENTO MANUAL EM SUPERFÍCIES METÁLICAS EM OBRA.AF_01/2020</t>
  </si>
  <si>
    <t>PINTOR DE LETREIROS COM ENCARGOS COMPLEMENTARES</t>
  </si>
  <si>
    <t>PINTURA EPOXI BIOTERIO</t>
  </si>
  <si>
    <t>PINTURA CAROLINA BORY</t>
  </si>
  <si>
    <t>PINTURA LETREIRO PORTARIA SUL</t>
  </si>
  <si>
    <t>PINTURA DE PISO COM TINTA EPÓXI, APLICAÇÃO MECÂNICA, 2 DEMÃOS. AF_05/2021</t>
  </si>
  <si>
    <t>PINTURA ANEXO REITORIA</t>
  </si>
  <si>
    <t>3.12</t>
  </si>
  <si>
    <t>3.13</t>
  </si>
  <si>
    <t>3.14</t>
  </si>
  <si>
    <t>3.15</t>
  </si>
  <si>
    <t>3.16</t>
  </si>
  <si>
    <t>PINTURA EM GERAL DAC - PARCIAL</t>
  </si>
  <si>
    <t>CORREÇÃO AGOSTO 2025 - AJUDANTES</t>
  </si>
  <si>
    <t>CORREÇÃO AGOSTO 2025 - ENCANADOR</t>
  </si>
  <si>
    <t>CORREÇÃO AGOSTO 2025 - ENCARREGADO</t>
  </si>
  <si>
    <t>kg</t>
  </si>
  <si>
    <t>2.1</t>
  </si>
  <si>
    <t>2.2</t>
  </si>
  <si>
    <t>2.3</t>
  </si>
  <si>
    <t>2.4</t>
  </si>
  <si>
    <t>2.8</t>
  </si>
  <si>
    <t>2.11</t>
  </si>
  <si>
    <t>2.18</t>
  </si>
  <si>
    <t>2.19</t>
  </si>
  <si>
    <t>2.20</t>
  </si>
  <si>
    <t>2.24</t>
  </si>
  <si>
    <t>2.25</t>
  </si>
  <si>
    <t>2.33</t>
  </si>
  <si>
    <t>2.34</t>
  </si>
  <si>
    <t>2.38</t>
  </si>
  <si>
    <t>2.39</t>
  </si>
  <si>
    <t>2.44</t>
  </si>
  <si>
    <t>2.45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</si>
</sst>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 &quot;* #,##0.00_-;&quot;-R$ &quot;* #,##0.00_-;_-&quot;R$ &quot;* \-??_-;_-@_-"/>
  </numFmts>
  <fonts count="34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color theme="1"/>
      <name val="Arial"/>
      <family val="2"/>
    </font>
    <font>
      <b/>
      <sz val="8"/>
      <color rgb="FF3F3F3F"/>
      <name val="Arial"/>
      <family val="2"/>
    </font>
    <font>
      <sz val="8"/>
      <color rgb="FF3F3F3F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3F3F3F"/>
      <name val="Calibri"/>
      <family val="2"/>
      <charset val="1"/>
    </font>
    <font>
      <i/>
      <sz val="11"/>
      <color rgb="FF7F7F7F"/>
      <name val="Calibri"/>
      <family val="2"/>
      <charset val="1"/>
    </font>
    <font>
      <b/>
      <sz val="8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Arial"/>
      <family val="1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name val="Arial"/>
      <family val="1"/>
    </font>
    <font>
      <b/>
      <sz val="11"/>
      <color theme="1"/>
      <name val="Calibri"/>
      <family val="2"/>
      <scheme val="minor"/>
    </font>
    <font>
      <sz val="8"/>
      <color rgb="FF333333"/>
      <name val="Arial"/>
      <family val="2"/>
    </font>
    <font>
      <b/>
      <sz val="8"/>
      <color rgb="FF0070C0"/>
      <name val="Arial"/>
      <family val="2"/>
    </font>
    <font>
      <sz val="8"/>
      <color rgb="FF0070C0"/>
      <name val="Arial"/>
      <family val="2"/>
    </font>
    <font>
      <b/>
      <sz val="8"/>
      <color rgb="FFFF0000"/>
      <name val="Arial"/>
      <family val="1"/>
    </font>
    <font>
      <b/>
      <sz val="8"/>
      <color rgb="FF0070C0"/>
      <name val="Arial"/>
      <family val="1"/>
    </font>
    <font>
      <sz val="8"/>
      <color rgb="FFFF0000"/>
      <name val="Arial"/>
      <family val="1"/>
    </font>
    <font>
      <b/>
      <sz val="8"/>
      <color rgb="FF0070C0"/>
      <name val="Calibri"/>
      <family val="2"/>
      <scheme val="minor"/>
    </font>
    <font>
      <b/>
      <sz val="8"/>
      <color rgb="FF00B0F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thin">
        <color rgb="FF3F3F3F"/>
      </top>
      <bottom/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3F3F3F"/>
      </top>
      <bottom style="medium">
        <color indexed="64"/>
      </bottom>
      <diagonal/>
    </border>
    <border>
      <left/>
      <right style="thin">
        <color rgb="FF3F3F3F"/>
      </right>
      <top style="thin">
        <color indexed="64"/>
      </top>
      <bottom/>
      <diagonal/>
    </border>
  </borders>
  <cellStyleXfs count="12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  <xf numFmtId="44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6" fillId="4" borderId="1" applyProtection="0"/>
    <xf numFmtId="0" fontId="17" fillId="0" borderId="0" applyBorder="0" applyProtection="0"/>
    <xf numFmtId="0" fontId="22" fillId="0" borderId="0"/>
    <xf numFmtId="164" fontId="22" fillId="0" borderId="0" applyBorder="0" applyProtection="0"/>
    <xf numFmtId="0" fontId="23" fillId="0" borderId="0" applyBorder="0" applyProtection="0"/>
    <xf numFmtId="0" fontId="16" fillId="4" borderId="1" applyProtection="0"/>
    <xf numFmtId="0" fontId="24" fillId="0" borderId="0"/>
  </cellStyleXfs>
  <cellXfs count="207">
    <xf numFmtId="0" fontId="0" fillId="0" borderId="0" xfId="0"/>
    <xf numFmtId="0" fontId="4" fillId="2" borderId="9" xfId="1" applyFont="1" applyBorder="1" applyAlignment="1"/>
    <xf numFmtId="0" fontId="5" fillId="2" borderId="9" xfId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5" fillId="2" borderId="25" xfId="1" applyFont="1" applyBorder="1" applyAlignment="1">
      <alignment horizontal="center" vertical="center"/>
    </xf>
    <xf numFmtId="0" fontId="4" fillId="2" borderId="26" xfId="1" applyFont="1" applyBorder="1" applyAlignment="1">
      <alignment vertical="center"/>
    </xf>
    <xf numFmtId="0" fontId="4" fillId="2" borderId="18" xfId="1" applyFont="1" applyBorder="1" applyAlignment="1">
      <alignment vertical="center"/>
    </xf>
    <xf numFmtId="0" fontId="4" fillId="2" borderId="26" xfId="1" applyFont="1" applyBorder="1" applyAlignment="1">
      <alignment horizontal="center" vertical="center"/>
    </xf>
    <xf numFmtId="0" fontId="4" fillId="2" borderId="27" xfId="1" applyFont="1" applyBorder="1" applyAlignment="1">
      <alignment horizontal="center" vertical="center"/>
    </xf>
    <xf numFmtId="4" fontId="4" fillId="2" borderId="27" xfId="1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4" xfId="2" applyFont="1" applyBorder="1" applyAlignment="1" applyProtection="1">
      <alignment horizontal="left" vertical="center" wrapText="1"/>
    </xf>
    <xf numFmtId="0" fontId="9" fillId="0" borderId="24" xfId="2" applyFont="1" applyBorder="1" applyAlignment="1" applyProtection="1">
      <alignment horizontal="center" vertical="center"/>
    </xf>
    <xf numFmtId="4" fontId="9" fillId="0" borderId="24" xfId="2" applyNumberFormat="1" applyFont="1" applyBorder="1" applyAlignment="1" applyProtection="1">
      <alignment horizontal="center" vertical="center"/>
    </xf>
    <xf numFmtId="0" fontId="5" fillId="2" borderId="29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9" fillId="0" borderId="24" xfId="1" applyFont="1" applyFill="1" applyBorder="1" applyAlignment="1">
      <alignment horizontal="center" vertical="center"/>
    </xf>
    <xf numFmtId="0" fontId="9" fillId="0" borderId="0" xfId="0" applyFont="1"/>
    <xf numFmtId="0" fontId="9" fillId="0" borderId="24" xfId="2" applyFont="1" applyFill="1" applyBorder="1" applyAlignment="1" applyProtection="1">
      <alignment horizontal="left" vertical="center" wrapText="1"/>
    </xf>
    <xf numFmtId="44" fontId="4" fillId="2" borderId="27" xfId="3" applyFont="1" applyFill="1" applyBorder="1" applyAlignment="1">
      <alignment horizontal="center" vertical="center"/>
    </xf>
    <xf numFmtId="44" fontId="4" fillId="2" borderId="24" xfId="3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4" xfId="0" applyFont="1" applyBorder="1"/>
    <xf numFmtId="0" fontId="8" fillId="3" borderId="24" xfId="0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/>
    </xf>
    <xf numFmtId="0" fontId="14" fillId="0" borderId="0" xfId="0" applyFont="1"/>
    <xf numFmtId="0" fontId="13" fillId="0" borderId="0" xfId="0" applyFont="1"/>
    <xf numFmtId="0" fontId="13" fillId="2" borderId="25" xfId="1" applyFont="1" applyBorder="1" applyAlignment="1">
      <alignment horizontal="center" vertical="center"/>
    </xf>
    <xf numFmtId="0" fontId="18" fillId="2" borderId="27" xfId="1" applyFont="1" applyBorder="1" applyAlignment="1">
      <alignment horizontal="center" vertical="center"/>
    </xf>
    <xf numFmtId="44" fontId="18" fillId="2" borderId="27" xfId="3" applyFont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4" xfId="2" applyFont="1" applyFill="1" applyBorder="1" applyAlignment="1" applyProtection="1">
      <alignment horizontal="left" vertical="center" wrapText="1"/>
    </xf>
    <xf numFmtId="0" fontId="13" fillId="0" borderId="24" xfId="2" applyFont="1" applyBorder="1" applyAlignment="1" applyProtection="1">
      <alignment horizontal="center" vertical="center"/>
    </xf>
    <xf numFmtId="4" fontId="13" fillId="0" borderId="24" xfId="2" applyNumberFormat="1" applyFont="1" applyBorder="1" applyAlignment="1" applyProtection="1">
      <alignment horizontal="center" vertical="center"/>
    </xf>
    <xf numFmtId="0" fontId="19" fillId="2" borderId="24" xfId="1" applyFont="1" applyBorder="1"/>
    <xf numFmtId="0" fontId="18" fillId="0" borderId="39" xfId="0" applyFont="1" applyBorder="1" applyAlignment="1">
      <alignment vertical="top"/>
    </xf>
    <xf numFmtId="0" fontId="20" fillId="0" borderId="11" xfId="0" applyFont="1" applyBorder="1" applyAlignment="1">
      <alignment vertical="top"/>
    </xf>
    <xf numFmtId="0" fontId="15" fillId="0" borderId="0" xfId="0" applyFont="1"/>
    <xf numFmtId="4" fontId="13" fillId="0" borderId="24" xfId="2" applyNumberFormat="1" applyFont="1" applyFill="1" applyBorder="1" applyAlignment="1" applyProtection="1">
      <alignment horizontal="center" vertical="center"/>
    </xf>
    <xf numFmtId="2" fontId="8" fillId="0" borderId="24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24" xfId="0" applyFont="1" applyBorder="1" applyAlignment="1">
      <alignment vertical="center"/>
    </xf>
    <xf numFmtId="43" fontId="15" fillId="0" borderId="0" xfId="0" applyNumberFormat="1" applyFont="1"/>
    <xf numFmtId="0" fontId="9" fillId="0" borderId="0" xfId="0" applyFont="1" applyFill="1" applyAlignment="1">
      <alignment vertical="center"/>
    </xf>
    <xf numFmtId="0" fontId="9" fillId="0" borderId="24" xfId="4" applyFont="1" applyFill="1" applyBorder="1" applyAlignment="1">
      <alignment vertical="center"/>
    </xf>
    <xf numFmtId="0" fontId="9" fillId="0" borderId="24" xfId="0" applyFont="1" applyFill="1" applyBorder="1" applyAlignment="1">
      <alignment horizontal="center" vertical="center" wrapText="1"/>
    </xf>
    <xf numFmtId="4" fontId="8" fillId="0" borderId="24" xfId="0" applyNumberFormat="1" applyFont="1" applyFill="1" applyBorder="1" applyAlignment="1">
      <alignment horizontal="center" vertical="center" wrapText="1"/>
    </xf>
    <xf numFmtId="4" fontId="13" fillId="0" borderId="16" xfId="2" applyNumberFormat="1" applyFont="1" applyFill="1" applyBorder="1" applyAlignment="1" applyProtection="1">
      <alignment horizontal="center" vertical="center"/>
    </xf>
    <xf numFmtId="0" fontId="21" fillId="5" borderId="24" xfId="0" applyFont="1" applyFill="1" applyBorder="1" applyAlignment="1">
      <alignment horizontal="center" vertical="center" wrapText="1"/>
    </xf>
    <xf numFmtId="0" fontId="21" fillId="0" borderId="24" xfId="0" applyFont="1" applyBorder="1" applyAlignment="1">
      <alignment horizontal="left" vertical="center" wrapText="1"/>
    </xf>
    <xf numFmtId="4" fontId="8" fillId="5" borderId="24" xfId="0" applyNumberFormat="1" applyFont="1" applyFill="1" applyBorder="1" applyAlignment="1">
      <alignment horizontal="center" vertical="center" wrapText="1"/>
    </xf>
    <xf numFmtId="0" fontId="8" fillId="2" borderId="27" xfId="1" applyFont="1" applyBorder="1" applyAlignment="1">
      <alignment horizontal="center" vertical="center"/>
    </xf>
    <xf numFmtId="0" fontId="8" fillId="2" borderId="24" xfId="1" applyFont="1" applyBorder="1" applyAlignment="1">
      <alignment horizontal="center" vertical="center"/>
    </xf>
    <xf numFmtId="0" fontId="18" fillId="2" borderId="24" xfId="1" applyFont="1" applyBorder="1"/>
    <xf numFmtId="0" fontId="21" fillId="0" borderId="24" xfId="0" applyFont="1" applyFill="1" applyBorder="1" applyAlignment="1">
      <alignment horizontal="center" vertical="center" wrapText="1"/>
    </xf>
    <xf numFmtId="0" fontId="21" fillId="0" borderId="24" xfId="0" applyFont="1" applyFill="1" applyBorder="1" applyAlignment="1">
      <alignment vertical="center" wrapText="1"/>
    </xf>
    <xf numFmtId="0" fontId="13" fillId="0" borderId="24" xfId="1" applyFont="1" applyFill="1" applyBorder="1" applyAlignment="1">
      <alignment horizontal="center" vertical="center"/>
    </xf>
    <xf numFmtId="0" fontId="13" fillId="0" borderId="24" xfId="4" applyFont="1" applyFill="1" applyBorder="1" applyAlignment="1">
      <alignment horizontal="left" vertical="center"/>
    </xf>
    <xf numFmtId="4" fontId="9" fillId="0" borderId="24" xfId="2" applyNumberFormat="1" applyFont="1" applyFill="1" applyBorder="1" applyAlignment="1" applyProtection="1">
      <alignment horizontal="center" vertical="center"/>
    </xf>
    <xf numFmtId="0" fontId="13" fillId="0" borderId="24" xfId="4" applyFont="1" applyFill="1" applyBorder="1" applyAlignment="1">
      <alignment vertical="center"/>
    </xf>
    <xf numFmtId="0" fontId="9" fillId="0" borderId="24" xfId="4" applyFont="1" applyFill="1" applyBorder="1"/>
    <xf numFmtId="0" fontId="13" fillId="0" borderId="24" xfId="4" applyFont="1" applyFill="1" applyBorder="1"/>
    <xf numFmtId="0" fontId="9" fillId="0" borderId="0" xfId="0" applyFont="1" applyFill="1"/>
    <xf numFmtId="0" fontId="9" fillId="0" borderId="24" xfId="0" applyFont="1" applyFill="1" applyBorder="1" applyAlignment="1">
      <alignment horizontal="left" vertical="center"/>
    </xf>
    <xf numFmtId="0" fontId="13" fillId="0" borderId="24" xfId="0" applyFont="1" applyBorder="1" applyAlignment="1">
      <alignment vertical="center"/>
    </xf>
    <xf numFmtId="0" fontId="9" fillId="0" borderId="24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26" fillId="0" borderId="24" xfId="0" applyFont="1" applyBorder="1" applyAlignment="1">
      <alignment vertical="center"/>
    </xf>
    <xf numFmtId="0" fontId="9" fillId="0" borderId="24" xfId="5" applyFont="1" applyFill="1" applyBorder="1" applyAlignment="1" applyProtection="1">
      <alignment horizontal="center" vertical="center"/>
    </xf>
    <xf numFmtId="0" fontId="15" fillId="0" borderId="24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26" fillId="0" borderId="24" xfId="0" applyFont="1" applyFill="1" applyBorder="1" applyAlignment="1">
      <alignment vertical="center"/>
    </xf>
    <xf numFmtId="0" fontId="15" fillId="0" borderId="0" xfId="0" applyFont="1" applyFill="1"/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4" xfId="0" applyFill="1" applyBorder="1" applyAlignment="1">
      <alignment horizontal="center"/>
    </xf>
    <xf numFmtId="2" fontId="25" fillId="0" borderId="24" xfId="0" applyNumberFormat="1" applyFont="1" applyBorder="1"/>
    <xf numFmtId="0" fontId="21" fillId="0" borderId="24" xfId="0" applyFont="1" applyFill="1" applyBorder="1" applyAlignment="1">
      <alignment horizontal="left" vertical="top" wrapText="1"/>
    </xf>
    <xf numFmtId="0" fontId="9" fillId="0" borderId="14" xfId="2" applyFont="1" applyFill="1" applyBorder="1" applyAlignment="1" applyProtection="1">
      <alignment horizontal="left" vertical="center" wrapText="1"/>
    </xf>
    <xf numFmtId="4" fontId="13" fillId="0" borderId="14" xfId="2" applyNumberFormat="1" applyFont="1" applyFill="1" applyBorder="1" applyAlignment="1" applyProtection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4" fontId="27" fillId="0" borderId="24" xfId="2" applyNumberFormat="1" applyFont="1" applyBorder="1" applyAlignment="1" applyProtection="1">
      <alignment horizontal="center" vertical="center"/>
    </xf>
    <xf numFmtId="0" fontId="28" fillId="0" borderId="21" xfId="2" applyFont="1" applyBorder="1" applyAlignment="1" applyProtection="1">
      <alignment horizontal="center" vertical="center"/>
    </xf>
    <xf numFmtId="0" fontId="28" fillId="0" borderId="24" xfId="0" applyFont="1" applyBorder="1" applyAlignment="1">
      <alignment horizontal="center" vertical="center"/>
    </xf>
    <xf numFmtId="4" fontId="28" fillId="0" borderId="24" xfId="2" applyNumberFormat="1" applyFont="1" applyBorder="1" applyAlignment="1" applyProtection="1">
      <alignment horizontal="center" vertical="center"/>
    </xf>
    <xf numFmtId="0" fontId="28" fillId="0" borderId="24" xfId="2" applyFont="1" applyBorder="1" applyAlignment="1" applyProtection="1">
      <alignment horizontal="center" vertical="center"/>
    </xf>
    <xf numFmtId="4" fontId="29" fillId="5" borderId="15" xfId="0" applyNumberFormat="1" applyFont="1" applyFill="1" applyBorder="1" applyAlignment="1">
      <alignment horizontal="center" vertical="center" wrapText="1"/>
    </xf>
    <xf numFmtId="4" fontId="30" fillId="5" borderId="15" xfId="0" applyNumberFormat="1" applyFont="1" applyFill="1" applyBorder="1" applyAlignment="1">
      <alignment horizontal="center" vertical="center" wrapText="1"/>
    </xf>
    <xf numFmtId="4" fontId="30" fillId="0" borderId="15" xfId="0" applyNumberFormat="1" applyFont="1" applyFill="1" applyBorder="1" applyAlignment="1">
      <alignment horizontal="center" vertical="center" wrapText="1"/>
    </xf>
    <xf numFmtId="4" fontId="30" fillId="5" borderId="24" xfId="0" applyNumberFormat="1" applyFont="1" applyFill="1" applyBorder="1" applyAlignment="1">
      <alignment horizontal="center" vertical="center" wrapText="1"/>
    </xf>
    <xf numFmtId="0" fontId="31" fillId="0" borderId="24" xfId="0" applyFont="1" applyFill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/>
    </xf>
    <xf numFmtId="2" fontId="10" fillId="0" borderId="24" xfId="1" applyNumberFormat="1" applyFont="1" applyFill="1" applyBorder="1" applyAlignment="1">
      <alignment horizontal="center" vertical="center"/>
    </xf>
    <xf numFmtId="0" fontId="27" fillId="0" borderId="24" xfId="1" applyFont="1" applyFill="1" applyBorder="1" applyAlignment="1">
      <alignment horizontal="center" vertical="center"/>
    </xf>
    <xf numFmtId="2" fontId="27" fillId="0" borderId="24" xfId="1" applyNumberFormat="1" applyFont="1" applyFill="1" applyBorder="1" applyAlignment="1">
      <alignment horizontal="center" vertical="center"/>
    </xf>
    <xf numFmtId="4" fontId="27" fillId="0" borderId="24" xfId="0" applyNumberFormat="1" applyFont="1" applyFill="1" applyBorder="1" applyAlignment="1">
      <alignment horizontal="center" vertical="center" wrapText="1"/>
    </xf>
    <xf numFmtId="0" fontId="32" fillId="0" borderId="24" xfId="1" applyFont="1" applyFill="1" applyBorder="1" applyAlignment="1">
      <alignment horizontal="center" vertical="center"/>
    </xf>
    <xf numFmtId="2" fontId="32" fillId="0" borderId="24" xfId="1" applyNumberFormat="1" applyFont="1" applyFill="1" applyBorder="1" applyAlignment="1">
      <alignment horizontal="center" vertical="center"/>
    </xf>
    <xf numFmtId="4" fontId="10" fillId="0" borderId="24" xfId="2" applyNumberFormat="1" applyFont="1" applyBorder="1" applyAlignment="1" applyProtection="1">
      <alignment horizontal="center" vertical="center"/>
    </xf>
    <xf numFmtId="2" fontId="33" fillId="0" borderId="24" xfId="1" applyNumberFormat="1" applyFont="1" applyFill="1" applyBorder="1" applyAlignment="1">
      <alignment horizontal="center" vertical="center"/>
    </xf>
    <xf numFmtId="4" fontId="33" fillId="0" borderId="24" xfId="2" applyNumberFormat="1" applyFont="1" applyBorder="1" applyAlignment="1" applyProtection="1">
      <alignment horizontal="center" vertical="center"/>
    </xf>
    <xf numFmtId="4" fontId="10" fillId="0" borderId="24" xfId="0" applyNumberFormat="1" applyFont="1" applyFill="1" applyBorder="1" applyAlignment="1">
      <alignment horizontal="center" vertical="center" wrapText="1"/>
    </xf>
    <xf numFmtId="0" fontId="33" fillId="0" borderId="24" xfId="1" applyFont="1" applyFill="1" applyBorder="1" applyAlignment="1">
      <alignment horizontal="center" vertical="center"/>
    </xf>
    <xf numFmtId="4" fontId="7" fillId="0" borderId="24" xfId="2" applyNumberFormat="1" applyFont="1" applyBorder="1" applyAlignment="1" applyProtection="1">
      <alignment horizontal="center" vertical="center"/>
    </xf>
    <xf numFmtId="0" fontId="8" fillId="0" borderId="14" xfId="0" applyFont="1" applyFill="1" applyBorder="1" applyAlignment="1">
      <alignment horizontal="left" vertical="center"/>
    </xf>
    <xf numFmtId="0" fontId="8" fillId="0" borderId="15" xfId="0" applyFont="1" applyFill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5" fillId="2" borderId="9" xfId="1" applyFont="1" applyBorder="1" applyAlignment="1">
      <alignment horizontal="center" vertical="center" textRotation="90"/>
    </xf>
    <xf numFmtId="0" fontId="3" fillId="0" borderId="17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2" borderId="5" xfId="1" applyFont="1" applyBorder="1" applyAlignment="1">
      <alignment horizontal="center"/>
    </xf>
    <xf numFmtId="0" fontId="4" fillId="2" borderId="6" xfId="1" applyFont="1" applyBorder="1" applyAlignment="1">
      <alignment horizontal="center"/>
    </xf>
    <xf numFmtId="0" fontId="5" fillId="2" borderId="1" xfId="1" applyFont="1" applyAlignment="1">
      <alignment horizontal="center"/>
    </xf>
    <xf numFmtId="0" fontId="5" fillId="2" borderId="9" xfId="1" applyFont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1" xfId="0" applyFont="1" applyBorder="1" applyAlignment="1">
      <alignment horizontal="center"/>
    </xf>
    <xf numFmtId="0" fontId="5" fillId="2" borderId="30" xfId="1" applyFont="1" applyBorder="1" applyAlignment="1">
      <alignment horizontal="left" vertical="top"/>
    </xf>
    <xf numFmtId="0" fontId="5" fillId="2" borderId="1" xfId="1" applyFont="1" applyAlignment="1">
      <alignment horizontal="left" vertical="top"/>
    </xf>
    <xf numFmtId="0" fontId="5" fillId="2" borderId="1" xfId="1" applyFont="1" applyAlignment="1">
      <alignment horizontal="center" vertical="center"/>
    </xf>
    <xf numFmtId="0" fontId="3" fillId="0" borderId="32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5" fillId="2" borderId="34" xfId="1" applyFont="1" applyBorder="1" applyAlignment="1">
      <alignment horizontal="center" vertical="center" textRotation="90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7" xfId="0" applyFont="1" applyBorder="1" applyAlignment="1">
      <alignment horizontal="left" vertical="top" wrapText="1"/>
    </xf>
    <xf numFmtId="0" fontId="3" fillId="0" borderId="33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/>
    </xf>
    <xf numFmtId="0" fontId="3" fillId="0" borderId="33" xfId="0" applyFont="1" applyBorder="1" applyAlignment="1">
      <alignment horizontal="center" wrapText="1"/>
    </xf>
    <xf numFmtId="0" fontId="3" fillId="0" borderId="33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5" fillId="2" borderId="38" xfId="1" applyFont="1" applyBorder="1" applyAlignment="1">
      <alignment horizontal="left" vertical="center" textRotation="90" wrapText="1"/>
    </xf>
    <xf numFmtId="0" fontId="5" fillId="2" borderId="28" xfId="1" applyFont="1" applyBorder="1" applyAlignment="1">
      <alignment horizontal="left" vertical="center" textRotation="90"/>
    </xf>
    <xf numFmtId="0" fontId="5" fillId="2" borderId="43" xfId="1" applyFont="1" applyBorder="1" applyAlignment="1">
      <alignment horizontal="left" vertical="center" textRotation="90"/>
    </xf>
    <xf numFmtId="0" fontId="3" fillId="0" borderId="40" xfId="0" applyFont="1" applyBorder="1" applyAlignment="1">
      <alignment horizontal="left" vertical="top"/>
    </xf>
    <xf numFmtId="0" fontId="3" fillId="0" borderId="41" xfId="0" applyFont="1" applyBorder="1" applyAlignment="1">
      <alignment horizontal="left" vertical="top"/>
    </xf>
    <xf numFmtId="0" fontId="5" fillId="2" borderId="28" xfId="1" applyFont="1" applyBorder="1" applyAlignment="1">
      <alignment horizontal="center" vertical="center" textRotation="90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8" fillId="2" borderId="26" xfId="1" applyFont="1" applyBorder="1" applyAlignment="1">
      <alignment horizontal="center" vertical="center"/>
    </xf>
    <xf numFmtId="0" fontId="18" fillId="2" borderId="18" xfId="1" applyFont="1" applyBorder="1" applyAlignment="1">
      <alignment horizontal="center" vertical="center"/>
    </xf>
    <xf numFmtId="0" fontId="18" fillId="2" borderId="44" xfId="1" applyFont="1" applyBorder="1" applyAlignment="1">
      <alignment horizontal="center" vertical="center"/>
    </xf>
    <xf numFmtId="0" fontId="15" fillId="0" borderId="7" xfId="0" applyFont="1" applyBorder="1" applyAlignment="1">
      <alignment horizontal="center"/>
    </xf>
    <xf numFmtId="0" fontId="15" fillId="0" borderId="0" xfId="0" applyFont="1" applyAlignment="1">
      <alignment horizontal="center"/>
    </xf>
    <xf numFmtId="43" fontId="20" fillId="0" borderId="11" xfId="0" applyNumberFormat="1" applyFont="1" applyBorder="1" applyAlignment="1">
      <alignment horizontal="center" vertical="top"/>
    </xf>
    <xf numFmtId="0" fontId="20" fillId="0" borderId="11" xfId="0" applyFont="1" applyBorder="1" applyAlignment="1">
      <alignment horizontal="center" vertical="top"/>
    </xf>
    <xf numFmtId="0" fontId="20" fillId="0" borderId="12" xfId="0" applyFont="1" applyBorder="1" applyAlignment="1">
      <alignment horizontal="center" vertical="top"/>
    </xf>
    <xf numFmtId="0" fontId="8" fillId="0" borderId="24" xfId="0" applyFont="1" applyFill="1" applyBorder="1" applyAlignment="1">
      <alignment horizontal="left" vertic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4" fillId="2" borderId="21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5" fillId="0" borderId="14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7" fillId="0" borderId="24" xfId="1" applyFont="1" applyFill="1" applyBorder="1" applyAlignment="1">
      <alignment horizontal="center" vertical="center"/>
    </xf>
  </cellXfs>
  <cellStyles count="12">
    <cellStyle name="Excel Built-in Explanatory Text" xfId="6"/>
    <cellStyle name="Excel Built-in Output" xfId="5"/>
    <cellStyle name="Excel Built-in Output 2" xfId="10"/>
    <cellStyle name="Hiperlink" xfId="4" builtinId="8"/>
    <cellStyle name="Hiperlink 2" xfId="9"/>
    <cellStyle name="Moeda" xfId="3" builtinId="4"/>
    <cellStyle name="Moeda 2" xfId="8"/>
    <cellStyle name="Normal" xfId="0" builtinId="0"/>
    <cellStyle name="Normal 2" xfId="7"/>
    <cellStyle name="Normal 3" xfId="11"/>
    <cellStyle name="Saída" xfId="1" builtinId="21"/>
    <cellStyle name="Texto Explicativo" xfId="2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2042772</xdr:colOff>
      <xdr:row>1</xdr:row>
      <xdr:rowOff>96683</xdr:rowOff>
    </xdr:from>
    <xdr:to>
      <xdr:col>4</xdr:col>
      <xdr:colOff>2991910</xdr:colOff>
      <xdr:row>4</xdr:row>
      <xdr:rowOff>179114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0855" y="308350"/>
          <a:ext cx="949138" cy="717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file:///C:/Users/anivaldo/AppData/Roaming/Microsoft/Excel/2022/10%20Outubro/Notas%20Fiscais/NF%20516064%20Jabu%20SA.pdf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file:///C:/Users/anivaldo/Downloads/2022/10%20Outubro/Notas%20Fiscais/NF%20516064%20Jabu%20SA.pdf" TargetMode="External"/><Relationship Id="rId1" Type="http://schemas.openxmlformats.org/officeDocument/2006/relationships/hyperlink" Target="file:///C:/Users/anivaldo/AppData/Roaming/Microsoft/Excel/2022/10%20Outubro/Notas%20Fiscais/NF01%20Jabu%20SA.pdf" TargetMode="External"/><Relationship Id="rId6" Type="http://schemas.openxmlformats.org/officeDocument/2006/relationships/hyperlink" Target="file:///C:/Users/anivaldo/AppData/Roaming/Microsoft/Excel/2022/09%20Setembro/Notas%20Fiscais/NF01%20Jabu%20SA.pdf" TargetMode="External"/><Relationship Id="rId5" Type="http://schemas.openxmlformats.org/officeDocument/2006/relationships/hyperlink" Target="file:///C:/Users/anivaldo/AppData/Roaming/Microsoft/Excel/2022/10%20Outubro/Notas%20Fiscais/NF%20516064%20Jabu%20SA.pdf" TargetMode="External"/><Relationship Id="rId4" Type="http://schemas.openxmlformats.org/officeDocument/2006/relationships/hyperlink" Target="file:///C:/Users/anivaldo/AppData/Roaming/Microsoft/Excel/2022/09%20Setembro/Notas%20Fiscais/NF01%20Jabu%20S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140"/>
  <sheetViews>
    <sheetView tabSelected="1" topLeftCell="A99" zoomScale="90" zoomScaleNormal="90" workbookViewId="0">
      <selection activeCell="O130" sqref="A1:O136"/>
    </sheetView>
  </sheetViews>
  <sheetFormatPr defaultRowHeight="14.4" x14ac:dyDescent="0.3"/>
  <cols>
    <col min="2" max="3" width="10.6640625" customWidth="1"/>
    <col min="4" max="4" width="12.109375" customWidth="1"/>
    <col min="5" max="5" width="66.5546875" customWidth="1"/>
    <col min="6" max="6" width="6.44140625" customWidth="1"/>
    <col min="8" max="8" width="23.6640625" style="27" bestFit="1" customWidth="1"/>
    <col min="9" max="9" width="12.44140625" bestFit="1" customWidth="1"/>
    <col min="10" max="10" width="19" bestFit="1" customWidth="1"/>
    <col min="11" max="11" width="18.88671875" bestFit="1" customWidth="1"/>
    <col min="12" max="12" width="29.33203125" bestFit="1" customWidth="1"/>
    <col min="13" max="13" width="18" bestFit="1" customWidth="1"/>
    <col min="14" max="14" width="10.6640625" customWidth="1"/>
    <col min="15" max="15" width="4.6640625" customWidth="1"/>
    <col min="16" max="16" width="12.88671875" customWidth="1"/>
  </cols>
  <sheetData>
    <row r="1" spans="1:15" ht="17.100000000000001" customHeight="1" x14ac:dyDescent="0.3">
      <c r="A1" s="126" t="s">
        <v>0</v>
      </c>
      <c r="B1" s="127"/>
      <c r="C1" s="127"/>
      <c r="D1" s="127"/>
      <c r="E1" s="127"/>
      <c r="F1" s="127"/>
      <c r="G1" s="127"/>
      <c r="H1" s="127"/>
      <c r="I1" s="128"/>
      <c r="J1" s="135" t="s">
        <v>1</v>
      </c>
      <c r="K1" s="135"/>
      <c r="L1" s="135"/>
      <c r="M1" s="135"/>
      <c r="N1" s="135"/>
      <c r="O1" s="136"/>
    </row>
    <row r="2" spans="1:15" ht="17.100000000000001" customHeight="1" x14ac:dyDescent="0.3">
      <c r="A2" s="129"/>
      <c r="B2" s="130"/>
      <c r="C2" s="130"/>
      <c r="D2" s="130"/>
      <c r="E2" s="130"/>
      <c r="F2" s="130"/>
      <c r="G2" s="130"/>
      <c r="H2" s="130"/>
      <c r="I2" s="131"/>
      <c r="J2" s="137" t="s">
        <v>2</v>
      </c>
      <c r="K2" s="137"/>
      <c r="L2" s="137"/>
      <c r="M2" s="137"/>
      <c r="N2" s="137"/>
      <c r="O2" s="138"/>
    </row>
    <row r="3" spans="1:15" ht="17.100000000000001" customHeight="1" x14ac:dyDescent="0.3">
      <c r="A3" s="129"/>
      <c r="B3" s="130"/>
      <c r="C3" s="130"/>
      <c r="D3" s="130"/>
      <c r="E3" s="130"/>
      <c r="F3" s="130"/>
      <c r="G3" s="130"/>
      <c r="H3" s="130"/>
      <c r="I3" s="131"/>
      <c r="J3" s="137" t="s">
        <v>3</v>
      </c>
      <c r="K3" s="137"/>
      <c r="L3" s="137"/>
      <c r="M3" s="137" t="s">
        <v>4</v>
      </c>
      <c r="N3" s="137"/>
      <c r="O3" s="1"/>
    </row>
    <row r="4" spans="1:15" ht="17.100000000000001" customHeight="1" x14ac:dyDescent="0.3">
      <c r="A4" s="129"/>
      <c r="B4" s="130"/>
      <c r="C4" s="130"/>
      <c r="D4" s="130"/>
      <c r="E4" s="130"/>
      <c r="F4" s="130"/>
      <c r="G4" s="130"/>
      <c r="H4" s="130"/>
      <c r="I4" s="131"/>
      <c r="J4" s="137" t="s">
        <v>5</v>
      </c>
      <c r="K4" s="137"/>
      <c r="L4" s="137"/>
      <c r="M4" s="137" t="s">
        <v>6</v>
      </c>
      <c r="N4" s="137"/>
      <c r="O4" s="2"/>
    </row>
    <row r="5" spans="1:15" ht="17.100000000000001" customHeight="1" x14ac:dyDescent="0.3">
      <c r="A5" s="129"/>
      <c r="B5" s="130"/>
      <c r="C5" s="130"/>
      <c r="D5" s="130"/>
      <c r="E5" s="130"/>
      <c r="F5" s="130"/>
      <c r="G5" s="130"/>
      <c r="H5" s="130"/>
      <c r="I5" s="131"/>
      <c r="J5" s="137" t="s">
        <v>7</v>
      </c>
      <c r="K5" s="137"/>
      <c r="L5" s="137"/>
      <c r="M5" s="137" t="s">
        <v>8</v>
      </c>
      <c r="N5" s="137"/>
      <c r="O5" s="1"/>
    </row>
    <row r="6" spans="1:15" ht="17.100000000000001" customHeight="1" x14ac:dyDescent="0.3">
      <c r="A6" s="132"/>
      <c r="B6" s="133"/>
      <c r="C6" s="133"/>
      <c r="D6" s="133"/>
      <c r="E6" s="133"/>
      <c r="F6" s="133"/>
      <c r="G6" s="133"/>
      <c r="H6" s="133"/>
      <c r="I6" s="134"/>
      <c r="J6" s="137" t="s">
        <v>9</v>
      </c>
      <c r="K6" s="137"/>
      <c r="L6" s="137"/>
      <c r="M6" s="137" t="s">
        <v>10</v>
      </c>
      <c r="N6" s="137"/>
      <c r="O6" s="1"/>
    </row>
    <row r="7" spans="1:15" ht="17.100000000000001" customHeight="1" x14ac:dyDescent="0.3">
      <c r="A7" s="110" t="s">
        <v>11</v>
      </c>
      <c r="B7" s="111"/>
      <c r="C7" s="111"/>
      <c r="D7" s="111"/>
      <c r="E7" s="111"/>
      <c r="F7" s="111"/>
      <c r="G7" s="111"/>
      <c r="H7" s="111"/>
      <c r="I7" s="112"/>
      <c r="J7" s="113" t="s">
        <v>51</v>
      </c>
      <c r="K7" s="114"/>
      <c r="L7" s="114"/>
      <c r="M7" s="114"/>
      <c r="N7" s="115"/>
      <c r="O7" s="116" t="s">
        <v>12</v>
      </c>
    </row>
    <row r="8" spans="1:15" ht="17.100000000000001" customHeight="1" x14ac:dyDescent="0.3">
      <c r="A8" s="117" t="s">
        <v>164</v>
      </c>
      <c r="B8" s="118"/>
      <c r="C8" s="118"/>
      <c r="D8" s="118"/>
      <c r="E8" s="118"/>
      <c r="F8" s="118"/>
      <c r="G8" s="118"/>
      <c r="H8" s="118"/>
      <c r="I8" s="119"/>
      <c r="J8" s="113" t="s">
        <v>13</v>
      </c>
      <c r="K8" s="114"/>
      <c r="L8" s="114"/>
      <c r="M8" s="114"/>
      <c r="N8" s="115"/>
      <c r="O8" s="116"/>
    </row>
    <row r="9" spans="1:15" ht="17.100000000000001" customHeight="1" x14ac:dyDescent="0.3">
      <c r="A9" s="120"/>
      <c r="B9" s="121"/>
      <c r="C9" s="121"/>
      <c r="D9" s="121"/>
      <c r="E9" s="121"/>
      <c r="F9" s="121"/>
      <c r="G9" s="121"/>
      <c r="H9" s="121"/>
      <c r="I9" s="122"/>
      <c r="J9" s="113" t="s">
        <v>14</v>
      </c>
      <c r="K9" s="114"/>
      <c r="L9" s="114"/>
      <c r="M9" s="114"/>
      <c r="N9" s="115"/>
      <c r="O9" s="116"/>
    </row>
    <row r="10" spans="1:15" ht="17.100000000000001" customHeight="1" x14ac:dyDescent="0.3">
      <c r="A10" s="120"/>
      <c r="B10" s="121"/>
      <c r="C10" s="121"/>
      <c r="D10" s="121"/>
      <c r="E10" s="121"/>
      <c r="F10" s="121"/>
      <c r="G10" s="121"/>
      <c r="H10" s="121"/>
      <c r="I10" s="122"/>
      <c r="J10" s="113" t="s">
        <v>15</v>
      </c>
      <c r="K10" s="114"/>
      <c r="L10" s="114"/>
      <c r="M10" s="114"/>
      <c r="N10" s="115"/>
      <c r="O10" s="116"/>
    </row>
    <row r="11" spans="1:15" ht="17.100000000000001" customHeight="1" x14ac:dyDescent="0.3">
      <c r="A11" s="120"/>
      <c r="B11" s="121"/>
      <c r="C11" s="121"/>
      <c r="D11" s="121"/>
      <c r="E11" s="121"/>
      <c r="F11" s="121"/>
      <c r="G11" s="121"/>
      <c r="H11" s="121"/>
      <c r="I11" s="122"/>
      <c r="J11" s="113" t="s">
        <v>50</v>
      </c>
      <c r="K11" s="114"/>
      <c r="L11" s="114"/>
      <c r="M11" s="114"/>
      <c r="N11" s="115"/>
      <c r="O11" s="116"/>
    </row>
    <row r="12" spans="1:15" ht="17.100000000000001" customHeight="1" x14ac:dyDescent="0.3">
      <c r="A12" s="120"/>
      <c r="B12" s="121"/>
      <c r="C12" s="121"/>
      <c r="D12" s="121"/>
      <c r="E12" s="121"/>
      <c r="F12" s="121"/>
      <c r="G12" s="121"/>
      <c r="H12" s="121"/>
      <c r="I12" s="122"/>
      <c r="J12" s="113" t="s">
        <v>88</v>
      </c>
      <c r="K12" s="114"/>
      <c r="L12" s="114"/>
      <c r="M12" s="114"/>
      <c r="N12" s="115"/>
      <c r="O12" s="116"/>
    </row>
    <row r="13" spans="1:15" ht="17.100000000000001" customHeight="1" x14ac:dyDescent="0.3">
      <c r="A13" s="123"/>
      <c r="B13" s="124"/>
      <c r="C13" s="124"/>
      <c r="D13" s="124"/>
      <c r="E13" s="124"/>
      <c r="F13" s="124"/>
      <c r="G13" s="124"/>
      <c r="H13" s="124"/>
      <c r="I13" s="125"/>
      <c r="J13" s="113" t="s">
        <v>99</v>
      </c>
      <c r="K13" s="114"/>
      <c r="L13" s="114"/>
      <c r="M13" s="114"/>
      <c r="N13" s="115"/>
      <c r="O13" s="116"/>
    </row>
    <row r="14" spans="1:15" ht="17.100000000000001" customHeight="1" x14ac:dyDescent="0.3">
      <c r="A14" s="185" t="s">
        <v>16</v>
      </c>
      <c r="B14" s="143" t="s">
        <v>17</v>
      </c>
      <c r="C14" s="143" t="s">
        <v>18</v>
      </c>
      <c r="D14" s="143" t="s">
        <v>19</v>
      </c>
      <c r="E14" s="143" t="s">
        <v>20</v>
      </c>
      <c r="F14" s="143" t="s">
        <v>21</v>
      </c>
      <c r="G14" s="143" t="s">
        <v>22</v>
      </c>
      <c r="H14" s="196" t="s">
        <v>23</v>
      </c>
      <c r="I14" s="196"/>
      <c r="J14" s="196"/>
      <c r="K14" s="196"/>
      <c r="L14" s="197"/>
      <c r="M14" s="143" t="s">
        <v>24</v>
      </c>
      <c r="N14" s="143" t="s">
        <v>25</v>
      </c>
      <c r="O14" s="116" t="s">
        <v>26</v>
      </c>
    </row>
    <row r="15" spans="1:15" ht="17.100000000000001" customHeight="1" x14ac:dyDescent="0.3">
      <c r="A15" s="186"/>
      <c r="B15" s="144"/>
      <c r="C15" s="144"/>
      <c r="D15" s="144"/>
      <c r="E15" s="144"/>
      <c r="F15" s="144"/>
      <c r="G15" s="144"/>
      <c r="H15" s="4" t="s">
        <v>27</v>
      </c>
      <c r="I15" s="4" t="s">
        <v>28</v>
      </c>
      <c r="J15" s="3" t="s">
        <v>29</v>
      </c>
      <c r="K15" s="4" t="s">
        <v>52</v>
      </c>
      <c r="L15" s="3" t="s">
        <v>30</v>
      </c>
      <c r="M15" s="144"/>
      <c r="N15" s="144"/>
      <c r="O15" s="116"/>
    </row>
    <row r="16" spans="1:15" ht="17.100000000000001" customHeight="1" x14ac:dyDescent="0.3">
      <c r="A16" s="5">
        <v>1</v>
      </c>
      <c r="B16" s="6"/>
      <c r="C16" s="7"/>
      <c r="D16" s="7"/>
      <c r="E16" s="8" t="s">
        <v>31</v>
      </c>
      <c r="F16" s="9"/>
      <c r="G16" s="9"/>
      <c r="H16" s="53"/>
      <c r="I16" s="9"/>
      <c r="J16" s="9"/>
      <c r="K16" s="9"/>
      <c r="L16" s="9"/>
      <c r="M16" s="21">
        <f>SUM(M17:M31)</f>
        <v>98251.553224739211</v>
      </c>
      <c r="N16" s="10">
        <f>SUM(N17:N30)</f>
        <v>0.93389213949211569</v>
      </c>
      <c r="O16" s="116"/>
    </row>
    <row r="17" spans="1:15" ht="26.25" customHeight="1" x14ac:dyDescent="0.3">
      <c r="A17" s="17" t="s">
        <v>32</v>
      </c>
      <c r="B17" s="17" t="s">
        <v>33</v>
      </c>
      <c r="C17" s="11">
        <v>90776</v>
      </c>
      <c r="D17" s="11" t="s">
        <v>34</v>
      </c>
      <c r="E17" s="20" t="s">
        <v>62</v>
      </c>
      <c r="F17" s="13" t="s">
        <v>35</v>
      </c>
      <c r="G17" s="17">
        <v>180</v>
      </c>
      <c r="H17" s="83">
        <v>49.57</v>
      </c>
      <c r="I17" s="14">
        <f>H17*0.2232</f>
        <v>11.064024</v>
      </c>
      <c r="J17" s="14">
        <f>H17+I17</f>
        <v>60.634023999999997</v>
      </c>
      <c r="K17" s="14">
        <f>J17*(0.03%)</f>
        <v>1.8190207199999999E-2</v>
      </c>
      <c r="L17" s="14">
        <f>J17-K17</f>
        <v>60.615833792799997</v>
      </c>
      <c r="M17" s="14">
        <f>L17*G17</f>
        <v>10910.850082703999</v>
      </c>
      <c r="N17" s="14">
        <f>M17/M$16</f>
        <v>0.11105015365758825</v>
      </c>
      <c r="O17" s="184"/>
    </row>
    <row r="18" spans="1:15" ht="26.25" customHeight="1" x14ac:dyDescent="0.3">
      <c r="A18" s="145" t="s">
        <v>213</v>
      </c>
      <c r="B18" s="145"/>
      <c r="C18" s="145"/>
      <c r="D18" s="145"/>
      <c r="E18" s="146"/>
      <c r="F18" s="87" t="s">
        <v>35</v>
      </c>
      <c r="G18" s="85">
        <v>18</v>
      </c>
      <c r="H18" s="83">
        <v>49.57</v>
      </c>
      <c r="I18" s="86">
        <f>H18*0.2232</f>
        <v>11.064024</v>
      </c>
      <c r="J18" s="86">
        <f>H18+I18</f>
        <v>60.634023999999997</v>
      </c>
      <c r="K18" s="86">
        <f>J18*(0.03%)</f>
        <v>1.8190207199999999E-2</v>
      </c>
      <c r="L18" s="86">
        <f>J18-K18</f>
        <v>60.615833792799997</v>
      </c>
      <c r="M18" s="86">
        <f>L18*G18</f>
        <v>1091.0850082703998</v>
      </c>
      <c r="N18" s="14"/>
      <c r="O18" s="184"/>
    </row>
    <row r="19" spans="1:15" ht="26.25" customHeight="1" x14ac:dyDescent="0.3">
      <c r="A19" s="17" t="s">
        <v>65</v>
      </c>
      <c r="B19" s="17" t="s">
        <v>33</v>
      </c>
      <c r="C19" s="11">
        <v>88267</v>
      </c>
      <c r="D19" s="11" t="s">
        <v>34</v>
      </c>
      <c r="E19" s="20" t="s">
        <v>55</v>
      </c>
      <c r="F19" s="13" t="s">
        <v>35</v>
      </c>
      <c r="G19" s="17">
        <v>180</v>
      </c>
      <c r="H19" s="83">
        <v>38.36</v>
      </c>
      <c r="I19" s="14">
        <f t="shared" ref="I19:I30" si="0">H19*0.2232</f>
        <v>8.5619519999999998</v>
      </c>
      <c r="J19" s="14">
        <f t="shared" ref="J19:J30" si="1">H19+I19</f>
        <v>46.921951999999997</v>
      </c>
      <c r="K19" s="14">
        <f t="shared" ref="K19:K30" si="2">J19*(0.03%)</f>
        <v>1.4076585599999998E-2</v>
      </c>
      <c r="L19" s="14">
        <f t="shared" ref="L19:L30" si="3">J19-K19</f>
        <v>46.907875414399996</v>
      </c>
      <c r="M19" s="14">
        <f t="shared" ref="M19:M30" si="4">L19*G19</f>
        <v>8443.4175745920002</v>
      </c>
      <c r="N19" s="14">
        <f t="shared" ref="N19:N30" si="5">M19/M$16</f>
        <v>8.5936733796753789E-2</v>
      </c>
      <c r="O19" s="184"/>
    </row>
    <row r="20" spans="1:15" ht="26.25" customHeight="1" x14ac:dyDescent="0.3">
      <c r="A20" s="145" t="s">
        <v>212</v>
      </c>
      <c r="B20" s="145"/>
      <c r="C20" s="145"/>
      <c r="D20" s="145"/>
      <c r="E20" s="146"/>
      <c r="F20" s="87" t="s">
        <v>35</v>
      </c>
      <c r="G20" s="85">
        <v>18</v>
      </c>
      <c r="H20" s="83">
        <v>38.36</v>
      </c>
      <c r="I20" s="86">
        <f t="shared" ref="I20" si="6">H20*0.2232</f>
        <v>8.5619519999999998</v>
      </c>
      <c r="J20" s="86">
        <f t="shared" ref="J20" si="7">H20+I20</f>
        <v>46.921951999999997</v>
      </c>
      <c r="K20" s="86">
        <f t="shared" ref="K20" si="8">J20*(0.03%)</f>
        <v>1.4076585599999998E-2</v>
      </c>
      <c r="L20" s="86">
        <f t="shared" ref="L20" si="9">J20-K20</f>
        <v>46.907875414399996</v>
      </c>
      <c r="M20" s="86">
        <f t="shared" ref="M20" si="10">L20*G20</f>
        <v>844.34175745919993</v>
      </c>
      <c r="N20" s="86">
        <f t="shared" ref="N20" si="11">M20/M$16</f>
        <v>8.5936733796753775E-3</v>
      </c>
      <c r="O20" s="184"/>
    </row>
    <row r="21" spans="1:15" ht="26.25" customHeight="1" x14ac:dyDescent="0.3">
      <c r="A21" s="17" t="s">
        <v>66</v>
      </c>
      <c r="B21" s="17" t="s">
        <v>33</v>
      </c>
      <c r="C21" s="11" t="s">
        <v>54</v>
      </c>
      <c r="D21" s="11" t="s">
        <v>34</v>
      </c>
      <c r="E21" s="20" t="s">
        <v>55</v>
      </c>
      <c r="F21" s="13" t="s">
        <v>35</v>
      </c>
      <c r="G21" s="17">
        <v>180</v>
      </c>
      <c r="H21" s="83">
        <v>38.36</v>
      </c>
      <c r="I21" s="14">
        <f t="shared" si="0"/>
        <v>8.5619519999999998</v>
      </c>
      <c r="J21" s="14">
        <f t="shared" si="1"/>
        <v>46.921951999999997</v>
      </c>
      <c r="K21" s="14">
        <f t="shared" si="2"/>
        <v>1.4076585599999998E-2</v>
      </c>
      <c r="L21" s="14">
        <f t="shared" si="3"/>
        <v>46.907875414399996</v>
      </c>
      <c r="M21" s="14">
        <f t="shared" si="4"/>
        <v>8443.4175745920002</v>
      </c>
      <c r="N21" s="14">
        <f t="shared" si="5"/>
        <v>8.5936733796753789E-2</v>
      </c>
      <c r="O21" s="184"/>
    </row>
    <row r="22" spans="1:15" ht="26.25" customHeight="1" x14ac:dyDescent="0.3">
      <c r="A22" s="17" t="s">
        <v>67</v>
      </c>
      <c r="B22" s="17" t="s">
        <v>33</v>
      </c>
      <c r="C22" s="11">
        <v>88248</v>
      </c>
      <c r="D22" s="11" t="s">
        <v>34</v>
      </c>
      <c r="E22" s="20" t="s">
        <v>57</v>
      </c>
      <c r="F22" s="13" t="s">
        <v>35</v>
      </c>
      <c r="G22" s="17">
        <v>180</v>
      </c>
      <c r="H22" s="83">
        <v>31.51</v>
      </c>
      <c r="I22" s="14">
        <f t="shared" si="0"/>
        <v>7.0330320000000004</v>
      </c>
      <c r="J22" s="14">
        <f t="shared" si="1"/>
        <v>38.543032000000004</v>
      </c>
      <c r="K22" s="14">
        <f t="shared" si="2"/>
        <v>1.1562909600000001E-2</v>
      </c>
      <c r="L22" s="14">
        <f t="shared" si="3"/>
        <v>38.531469090400002</v>
      </c>
      <c r="M22" s="14">
        <f t="shared" si="4"/>
        <v>6935.6644362719999</v>
      </c>
      <c r="N22" s="14">
        <f t="shared" si="5"/>
        <v>7.0590888475904903E-2</v>
      </c>
      <c r="O22" s="184"/>
    </row>
    <row r="23" spans="1:15" ht="26.25" customHeight="1" x14ac:dyDescent="0.3">
      <c r="A23" s="17" t="s">
        <v>68</v>
      </c>
      <c r="B23" s="17" t="s">
        <v>33</v>
      </c>
      <c r="C23" s="11" t="s">
        <v>56</v>
      </c>
      <c r="D23" s="11" t="s">
        <v>34</v>
      </c>
      <c r="E23" s="20" t="s">
        <v>57</v>
      </c>
      <c r="F23" s="13" t="s">
        <v>35</v>
      </c>
      <c r="G23" s="17">
        <v>180</v>
      </c>
      <c r="H23" s="83">
        <v>31.51</v>
      </c>
      <c r="I23" s="14">
        <f t="shared" si="0"/>
        <v>7.0330320000000004</v>
      </c>
      <c r="J23" s="14">
        <f t="shared" si="1"/>
        <v>38.543032000000004</v>
      </c>
      <c r="K23" s="14">
        <f t="shared" si="2"/>
        <v>1.1562909600000001E-2</v>
      </c>
      <c r="L23" s="14">
        <f t="shared" si="3"/>
        <v>38.531469090400002</v>
      </c>
      <c r="M23" s="14">
        <f t="shared" si="4"/>
        <v>6935.6644362719999</v>
      </c>
      <c r="N23" s="14">
        <f t="shared" si="5"/>
        <v>7.0590888475904903E-2</v>
      </c>
      <c r="O23" s="184"/>
    </row>
    <row r="24" spans="1:15" ht="26.25" customHeight="1" x14ac:dyDescent="0.3">
      <c r="A24" s="17" t="s">
        <v>69</v>
      </c>
      <c r="B24" s="17" t="s">
        <v>33</v>
      </c>
      <c r="C24" s="11">
        <v>88309</v>
      </c>
      <c r="D24" s="11" t="s">
        <v>34</v>
      </c>
      <c r="E24" s="20" t="s">
        <v>59</v>
      </c>
      <c r="F24" s="13" t="s">
        <v>35</v>
      </c>
      <c r="G24" s="17">
        <v>180</v>
      </c>
      <c r="H24" s="83">
        <v>34.08</v>
      </c>
      <c r="I24" s="14">
        <f t="shared" si="0"/>
        <v>7.6066560000000001</v>
      </c>
      <c r="J24" s="14">
        <f t="shared" si="1"/>
        <v>41.686655999999999</v>
      </c>
      <c r="K24" s="14">
        <f t="shared" si="2"/>
        <v>1.2505996799999999E-2</v>
      </c>
      <c r="L24" s="14">
        <f t="shared" si="3"/>
        <v>41.674150003199998</v>
      </c>
      <c r="M24" s="14">
        <f t="shared" si="4"/>
        <v>7501.3470005759991</v>
      </c>
      <c r="N24" s="14">
        <f t="shared" si="5"/>
        <v>7.6348380807960609E-2</v>
      </c>
      <c r="O24" s="184"/>
    </row>
    <row r="25" spans="1:15" ht="26.25" customHeight="1" x14ac:dyDescent="0.3">
      <c r="A25" s="17" t="s">
        <v>70</v>
      </c>
      <c r="B25" s="17" t="s">
        <v>33</v>
      </c>
      <c r="C25" s="11" t="s">
        <v>58</v>
      </c>
      <c r="D25" s="11" t="s">
        <v>34</v>
      </c>
      <c r="E25" s="20" t="s">
        <v>59</v>
      </c>
      <c r="F25" s="13" t="s">
        <v>35</v>
      </c>
      <c r="G25" s="17">
        <v>180</v>
      </c>
      <c r="H25" s="83">
        <v>34.08</v>
      </c>
      <c r="I25" s="14">
        <f t="shared" si="0"/>
        <v>7.6066560000000001</v>
      </c>
      <c r="J25" s="14">
        <f t="shared" si="1"/>
        <v>41.686655999999999</v>
      </c>
      <c r="K25" s="14">
        <f t="shared" si="2"/>
        <v>1.2505996799999999E-2</v>
      </c>
      <c r="L25" s="14">
        <f t="shared" si="3"/>
        <v>41.674150003199998</v>
      </c>
      <c r="M25" s="14">
        <f t="shared" si="4"/>
        <v>7501.3470005759991</v>
      </c>
      <c r="N25" s="14">
        <f t="shared" si="5"/>
        <v>7.6348380807960609E-2</v>
      </c>
      <c r="O25" s="184"/>
    </row>
    <row r="26" spans="1:15" ht="26.25" customHeight="1" x14ac:dyDescent="0.3">
      <c r="A26" s="17" t="s">
        <v>71</v>
      </c>
      <c r="B26" s="17" t="s">
        <v>33</v>
      </c>
      <c r="C26" s="11">
        <v>88242</v>
      </c>
      <c r="D26" s="11" t="s">
        <v>34</v>
      </c>
      <c r="E26" s="20" t="s">
        <v>61</v>
      </c>
      <c r="F26" s="13" t="s">
        <v>35</v>
      </c>
      <c r="G26" s="17">
        <v>180</v>
      </c>
      <c r="H26" s="83">
        <v>32.08</v>
      </c>
      <c r="I26" s="14">
        <f t="shared" si="0"/>
        <v>7.1602559999999995</v>
      </c>
      <c r="J26" s="14">
        <f t="shared" si="1"/>
        <v>39.240255999999995</v>
      </c>
      <c r="K26" s="14">
        <f t="shared" si="2"/>
        <v>1.1772076799999998E-2</v>
      </c>
      <c r="L26" s="14">
        <f t="shared" si="3"/>
        <v>39.228483923199995</v>
      </c>
      <c r="M26" s="14">
        <f t="shared" si="4"/>
        <v>7061.127106175999</v>
      </c>
      <c r="N26" s="14">
        <f t="shared" si="5"/>
        <v>7.1867842028150705E-2</v>
      </c>
      <c r="O26" s="184"/>
    </row>
    <row r="27" spans="1:15" ht="26.25" customHeight="1" x14ac:dyDescent="0.3">
      <c r="A27" s="17" t="s">
        <v>72</v>
      </c>
      <c r="B27" s="17" t="s">
        <v>33</v>
      </c>
      <c r="C27" s="11" t="s">
        <v>60</v>
      </c>
      <c r="D27" s="11" t="s">
        <v>34</v>
      </c>
      <c r="E27" s="20" t="s">
        <v>61</v>
      </c>
      <c r="F27" s="13" t="s">
        <v>35</v>
      </c>
      <c r="G27" s="17">
        <v>180</v>
      </c>
      <c r="H27" s="83">
        <v>32.08</v>
      </c>
      <c r="I27" s="14">
        <f t="shared" si="0"/>
        <v>7.1602559999999995</v>
      </c>
      <c r="J27" s="14">
        <f t="shared" si="1"/>
        <v>39.240255999999995</v>
      </c>
      <c r="K27" s="14">
        <f t="shared" si="2"/>
        <v>1.1772076799999998E-2</v>
      </c>
      <c r="L27" s="14">
        <f t="shared" si="3"/>
        <v>39.228483923199995</v>
      </c>
      <c r="M27" s="14">
        <f t="shared" si="4"/>
        <v>7061.127106175999</v>
      </c>
      <c r="N27" s="14">
        <f t="shared" si="5"/>
        <v>7.1867842028150705E-2</v>
      </c>
      <c r="O27" s="184"/>
    </row>
    <row r="28" spans="1:15" ht="26.25" customHeight="1" x14ac:dyDescent="0.3">
      <c r="A28" s="17" t="s">
        <v>73</v>
      </c>
      <c r="B28" s="17" t="s">
        <v>33</v>
      </c>
      <c r="C28" s="11" t="s">
        <v>60</v>
      </c>
      <c r="D28" s="11" t="s">
        <v>34</v>
      </c>
      <c r="E28" s="20" t="s">
        <v>61</v>
      </c>
      <c r="F28" s="13" t="s">
        <v>35</v>
      </c>
      <c r="G28" s="17">
        <v>180</v>
      </c>
      <c r="H28" s="83">
        <v>32.08</v>
      </c>
      <c r="I28" s="14">
        <f t="shared" si="0"/>
        <v>7.1602559999999995</v>
      </c>
      <c r="J28" s="14">
        <f t="shared" si="1"/>
        <v>39.240255999999995</v>
      </c>
      <c r="K28" s="14">
        <f t="shared" si="2"/>
        <v>1.1772076799999998E-2</v>
      </c>
      <c r="L28" s="14">
        <f t="shared" si="3"/>
        <v>39.228483923199995</v>
      </c>
      <c r="M28" s="14">
        <f t="shared" si="4"/>
        <v>7061.127106175999</v>
      </c>
      <c r="N28" s="14">
        <f t="shared" si="5"/>
        <v>7.1867842028150705E-2</v>
      </c>
      <c r="O28" s="184"/>
    </row>
    <row r="29" spans="1:15" ht="26.25" customHeight="1" x14ac:dyDescent="0.3">
      <c r="A29" s="17" t="s">
        <v>74</v>
      </c>
      <c r="B29" s="17" t="s">
        <v>33</v>
      </c>
      <c r="C29" s="11">
        <v>88241</v>
      </c>
      <c r="D29" s="11" t="s">
        <v>34</v>
      </c>
      <c r="E29" s="12" t="s">
        <v>64</v>
      </c>
      <c r="F29" s="13" t="s">
        <v>35</v>
      </c>
      <c r="G29" s="17">
        <v>180</v>
      </c>
      <c r="H29" s="83">
        <v>29.66</v>
      </c>
      <c r="I29" s="14">
        <f t="shared" si="0"/>
        <v>6.6201120000000007</v>
      </c>
      <c r="J29" s="14">
        <f t="shared" si="1"/>
        <v>36.280112000000003</v>
      </c>
      <c r="K29" s="14">
        <f t="shared" si="2"/>
        <v>1.0884033600000001E-2</v>
      </c>
      <c r="L29" s="14">
        <f t="shared" si="3"/>
        <v>36.269227966400003</v>
      </c>
      <c r="M29" s="14">
        <f t="shared" si="4"/>
        <v>6528.4610339520004</v>
      </c>
      <c r="N29" s="14">
        <f t="shared" si="5"/>
        <v>6.6446390104580755E-2</v>
      </c>
      <c r="O29" s="184"/>
    </row>
    <row r="30" spans="1:15" ht="26.25" customHeight="1" x14ac:dyDescent="0.3">
      <c r="A30" s="17" t="s">
        <v>75</v>
      </c>
      <c r="B30" s="17" t="s">
        <v>33</v>
      </c>
      <c r="C30" s="11" t="s">
        <v>63</v>
      </c>
      <c r="D30" s="11" t="s">
        <v>34</v>
      </c>
      <c r="E30" s="12" t="s">
        <v>64</v>
      </c>
      <c r="F30" s="13" t="s">
        <v>35</v>
      </c>
      <c r="G30" s="17">
        <v>180</v>
      </c>
      <c r="H30" s="83">
        <v>29.66</v>
      </c>
      <c r="I30" s="14">
        <f t="shared" si="0"/>
        <v>6.6201120000000007</v>
      </c>
      <c r="J30" s="14">
        <f t="shared" si="1"/>
        <v>36.280112000000003</v>
      </c>
      <c r="K30" s="14">
        <f t="shared" si="2"/>
        <v>1.0884033600000001E-2</v>
      </c>
      <c r="L30" s="14">
        <f t="shared" si="3"/>
        <v>36.269227966400003</v>
      </c>
      <c r="M30" s="14">
        <f t="shared" si="4"/>
        <v>6528.4610339520004</v>
      </c>
      <c r="N30" s="14">
        <f t="shared" si="5"/>
        <v>6.6446390104580755E-2</v>
      </c>
      <c r="O30" s="184"/>
    </row>
    <row r="31" spans="1:15" ht="26.25" customHeight="1" x14ac:dyDescent="0.3">
      <c r="A31" s="145" t="s">
        <v>211</v>
      </c>
      <c r="B31" s="145"/>
      <c r="C31" s="145"/>
      <c r="D31" s="145"/>
      <c r="E31" s="146"/>
      <c r="F31" s="84" t="s">
        <v>35</v>
      </c>
      <c r="G31" s="85">
        <v>149</v>
      </c>
      <c r="H31" s="83">
        <v>29.66</v>
      </c>
      <c r="I31" s="86">
        <f t="shared" ref="I31" si="12">H31*0.2232</f>
        <v>6.6201120000000007</v>
      </c>
      <c r="J31" s="86">
        <f t="shared" ref="J31" si="13">H31+I31</f>
        <v>36.280112000000003</v>
      </c>
      <c r="K31" s="86">
        <f t="shared" ref="K31" si="14">J31*(0.03%)</f>
        <v>1.0884033600000001E-2</v>
      </c>
      <c r="L31" s="86">
        <f t="shared" ref="L31" si="15">J31-K31</f>
        <v>36.269227966400003</v>
      </c>
      <c r="M31" s="86">
        <f t="shared" ref="M31" si="16">L31*G31</f>
        <v>5404.1149669936003</v>
      </c>
      <c r="N31" s="86">
        <f t="shared" ref="N31" si="17">M31/M$16</f>
        <v>5.5002845142125174E-2</v>
      </c>
      <c r="O31" s="184"/>
    </row>
    <row r="32" spans="1:15" x14ac:dyDescent="0.3">
      <c r="A32" s="185" t="s">
        <v>16</v>
      </c>
      <c r="B32" s="143" t="s">
        <v>17</v>
      </c>
      <c r="C32" s="143" t="s">
        <v>18</v>
      </c>
      <c r="D32" s="143" t="s">
        <v>19</v>
      </c>
      <c r="E32" s="143" t="s">
        <v>20</v>
      </c>
      <c r="F32" s="143" t="s">
        <v>21</v>
      </c>
      <c r="G32" s="143" t="s">
        <v>22</v>
      </c>
      <c r="H32" s="196" t="s">
        <v>23</v>
      </c>
      <c r="I32" s="196"/>
      <c r="J32" s="196"/>
      <c r="K32" s="196"/>
      <c r="L32" s="197"/>
      <c r="M32" s="143" t="s">
        <v>24</v>
      </c>
      <c r="N32" s="143" t="s">
        <v>25</v>
      </c>
      <c r="O32" s="184"/>
    </row>
    <row r="33" spans="1:119" ht="17.100000000000001" customHeight="1" x14ac:dyDescent="0.3">
      <c r="A33" s="186"/>
      <c r="B33" s="144"/>
      <c r="C33" s="144"/>
      <c r="D33" s="144"/>
      <c r="E33" s="144"/>
      <c r="F33" s="144"/>
      <c r="G33" s="144"/>
      <c r="H33" s="4" t="s">
        <v>27</v>
      </c>
      <c r="I33" s="25" t="s">
        <v>36</v>
      </c>
      <c r="J33" s="3" t="s">
        <v>29</v>
      </c>
      <c r="K33" s="4" t="s">
        <v>52</v>
      </c>
      <c r="L33" s="3" t="s">
        <v>30</v>
      </c>
      <c r="M33" s="144"/>
      <c r="N33" s="144"/>
      <c r="O33" s="116"/>
    </row>
    <row r="34" spans="1:119" ht="17.100000000000001" customHeight="1" x14ac:dyDescent="0.3">
      <c r="A34" s="15">
        <v>2</v>
      </c>
      <c r="B34" s="198" t="s">
        <v>37</v>
      </c>
      <c r="C34" s="198"/>
      <c r="D34" s="199"/>
      <c r="E34" s="199"/>
      <c r="F34" s="199"/>
      <c r="G34" s="16"/>
      <c r="H34" s="54"/>
      <c r="I34" s="16"/>
      <c r="J34" s="16"/>
      <c r="K34" s="16"/>
      <c r="L34" s="16"/>
      <c r="M34" s="22">
        <f>SUM(M35:M82)</f>
        <v>21550.001749952829</v>
      </c>
      <c r="N34" s="16"/>
      <c r="O34" s="184"/>
    </row>
    <row r="35" spans="1:119" x14ac:dyDescent="0.3">
      <c r="A35" s="18" t="s">
        <v>215</v>
      </c>
      <c r="B35" s="18" t="s">
        <v>81</v>
      </c>
      <c r="C35" s="18">
        <v>7353</v>
      </c>
      <c r="D35" s="18" t="s">
        <v>34</v>
      </c>
      <c r="E35" s="62" t="s">
        <v>133</v>
      </c>
      <c r="F35" s="18" t="s">
        <v>102</v>
      </c>
      <c r="G35" s="18">
        <f>3.6*2</f>
        <v>7.2</v>
      </c>
      <c r="H35" s="95">
        <v>35.76</v>
      </c>
      <c r="I35" s="14">
        <f t="shared" ref="I35" si="18">H35*0.1532</f>
        <v>5.4784319999999997</v>
      </c>
      <c r="J35" s="14">
        <f t="shared" ref="J35" si="19">H35+I35</f>
        <v>41.238431999999996</v>
      </c>
      <c r="K35" s="14">
        <f t="shared" ref="K35" si="20">J35*(0.03%)</f>
        <v>1.2371529599999999E-2</v>
      </c>
      <c r="L35" s="14">
        <f t="shared" ref="L35" si="21">J35-K35</f>
        <v>41.226060470399993</v>
      </c>
      <c r="M35" s="14">
        <f t="shared" ref="M35" si="22">L35*G35</f>
        <v>296.82763538687993</v>
      </c>
      <c r="N35" s="14">
        <f t="shared" ref="N35" si="23">M35/M34</f>
        <v>1.377390307578651E-2</v>
      </c>
      <c r="O35" s="184"/>
    </row>
    <row r="36" spans="1:119" s="19" customFormat="1" ht="17.100000000000001" customHeight="1" x14ac:dyDescent="0.2">
      <c r="A36" s="18" t="s">
        <v>216</v>
      </c>
      <c r="B36" s="18" t="s">
        <v>81</v>
      </c>
      <c r="C36" s="11">
        <v>43651</v>
      </c>
      <c r="D36" s="18" t="s">
        <v>34</v>
      </c>
      <c r="E36" s="43" t="s">
        <v>105</v>
      </c>
      <c r="F36" s="18" t="s">
        <v>94</v>
      </c>
      <c r="G36" s="18">
        <f>23*4</f>
        <v>92</v>
      </c>
      <c r="H36" s="95">
        <v>6.92</v>
      </c>
      <c r="I36" s="14">
        <f t="shared" ref="I36:I56" si="24">H36*0.1532</f>
        <v>1.060144</v>
      </c>
      <c r="J36" s="14">
        <f t="shared" ref="J36:J56" si="25">H36+I36</f>
        <v>7.9801440000000001</v>
      </c>
      <c r="K36" s="14">
        <f t="shared" ref="K36:K56" si="26">J36*(0.03%)</f>
        <v>2.3940431999999998E-3</v>
      </c>
      <c r="L36" s="14">
        <f t="shared" ref="L36:L56" si="27">J36-K36</f>
        <v>7.9777499568000003</v>
      </c>
      <c r="M36" s="14">
        <f t="shared" ref="M36:M50" si="28">L36*G36</f>
        <v>733.95299602559999</v>
      </c>
      <c r="N36" s="35">
        <f t="shared" ref="N36" si="29">M36/M35</f>
        <v>2.4726572209793694</v>
      </c>
      <c r="O36" s="184"/>
    </row>
    <row r="37" spans="1:119" x14ac:dyDescent="0.3">
      <c r="A37" s="18" t="s">
        <v>217</v>
      </c>
      <c r="B37" s="18" t="s">
        <v>81</v>
      </c>
      <c r="C37" s="23">
        <v>3315</v>
      </c>
      <c r="D37" s="18" t="s">
        <v>34</v>
      </c>
      <c r="E37" s="43" t="s">
        <v>132</v>
      </c>
      <c r="F37" s="18" t="s">
        <v>94</v>
      </c>
      <c r="G37" s="18">
        <v>10</v>
      </c>
      <c r="H37" s="95">
        <v>0.8</v>
      </c>
      <c r="I37" s="14">
        <f t="shared" ref="I37:I39" si="30">H37*0.1532</f>
        <v>0.12256</v>
      </c>
      <c r="J37" s="14">
        <f t="shared" ref="J37:J39" si="31">H37+I37</f>
        <v>0.92256000000000005</v>
      </c>
      <c r="K37" s="14">
        <f t="shared" ref="K37:K39" si="32">J37*(0.03%)</f>
        <v>2.7676799999999999E-4</v>
      </c>
      <c r="L37" s="14">
        <f t="shared" ref="L37:L39" si="33">J37-K37</f>
        <v>0.92228323200000006</v>
      </c>
      <c r="M37" s="14">
        <f t="shared" ref="M37:M39" si="34">L37*G37</f>
        <v>9.2228323200000002</v>
      </c>
      <c r="N37" s="14">
        <f t="shared" ref="N37:N78" si="35">M37/M36</f>
        <v>1.2565971349585323E-2</v>
      </c>
      <c r="O37" s="184"/>
    </row>
    <row r="38" spans="1:119" x14ac:dyDescent="0.3">
      <c r="A38" s="18" t="s">
        <v>218</v>
      </c>
      <c r="B38" s="18" t="s">
        <v>81</v>
      </c>
      <c r="C38" s="18">
        <v>7348</v>
      </c>
      <c r="D38" s="18" t="s">
        <v>34</v>
      </c>
      <c r="E38" s="61" t="s">
        <v>131</v>
      </c>
      <c r="F38" s="18" t="s">
        <v>102</v>
      </c>
      <c r="G38" s="18">
        <f>18*2</f>
        <v>36</v>
      </c>
      <c r="H38" s="96">
        <v>21.64</v>
      </c>
      <c r="I38" s="14">
        <f t="shared" si="30"/>
        <v>3.315248</v>
      </c>
      <c r="J38" s="14">
        <f t="shared" si="31"/>
        <v>24.955248000000001</v>
      </c>
      <c r="K38" s="14">
        <f t="shared" si="32"/>
        <v>7.4865743999999994E-3</v>
      </c>
      <c r="L38" s="14">
        <f t="shared" si="33"/>
        <v>24.9477614256</v>
      </c>
      <c r="M38" s="14">
        <f t="shared" si="34"/>
        <v>898.11941132159996</v>
      </c>
      <c r="N38" s="14">
        <f t="shared" ref="N38" si="36">M38/M37</f>
        <v>97.38</v>
      </c>
      <c r="O38" s="184"/>
    </row>
    <row r="39" spans="1:119" s="19" customFormat="1" ht="15" customHeight="1" x14ac:dyDescent="0.2">
      <c r="A39" s="18" t="s">
        <v>82</v>
      </c>
      <c r="B39" s="18" t="s">
        <v>81</v>
      </c>
      <c r="C39" s="47">
        <v>44396</v>
      </c>
      <c r="D39" s="47" t="s">
        <v>34</v>
      </c>
      <c r="E39" s="69" t="s">
        <v>166</v>
      </c>
      <c r="F39" s="18" t="s">
        <v>94</v>
      </c>
      <c r="G39" s="47">
        <v>3</v>
      </c>
      <c r="H39" s="97">
        <v>47.51</v>
      </c>
      <c r="I39" s="105">
        <f t="shared" si="30"/>
        <v>7.2785320000000002</v>
      </c>
      <c r="J39" s="60">
        <f t="shared" si="31"/>
        <v>54.788531999999996</v>
      </c>
      <c r="K39" s="60">
        <f t="shared" si="32"/>
        <v>1.6436559599999997E-2</v>
      </c>
      <c r="L39" s="60">
        <f t="shared" si="33"/>
        <v>54.772095440399994</v>
      </c>
      <c r="M39" s="60">
        <f t="shared" si="34"/>
        <v>164.31628632119998</v>
      </c>
      <c r="N39" s="14">
        <f>M39/M37</f>
        <v>17.816249999999997</v>
      </c>
      <c r="O39" s="184"/>
    </row>
    <row r="40" spans="1:119" s="19" customFormat="1" ht="17.100000000000001" customHeight="1" x14ac:dyDescent="0.2">
      <c r="A40" s="18" t="s">
        <v>89</v>
      </c>
      <c r="B40" s="58" t="s">
        <v>81</v>
      </c>
      <c r="C40" s="58">
        <v>35692</v>
      </c>
      <c r="D40" s="58" t="s">
        <v>34</v>
      </c>
      <c r="E40" s="61" t="s">
        <v>103</v>
      </c>
      <c r="F40" s="58" t="s">
        <v>102</v>
      </c>
      <c r="G40" s="58">
        <f>18*4</f>
        <v>72</v>
      </c>
      <c r="H40" s="98">
        <v>21.12</v>
      </c>
      <c r="I40" s="35">
        <f t="shared" si="24"/>
        <v>3.2355840000000002</v>
      </c>
      <c r="J40" s="35">
        <f t="shared" si="25"/>
        <v>24.355584</v>
      </c>
      <c r="K40" s="35">
        <f t="shared" si="26"/>
        <v>7.3066751999999995E-3</v>
      </c>
      <c r="L40" s="35">
        <f t="shared" si="27"/>
        <v>24.348277324800002</v>
      </c>
      <c r="M40" s="35">
        <f t="shared" si="28"/>
        <v>1753.0759673856001</v>
      </c>
      <c r="N40" s="14">
        <f t="shared" si="35"/>
        <v>10.668911808040415</v>
      </c>
      <c r="O40" s="184"/>
    </row>
    <row r="41" spans="1:119" s="19" customFormat="1" ht="17.100000000000001" customHeight="1" x14ac:dyDescent="0.2">
      <c r="A41" s="18" t="s">
        <v>85</v>
      </c>
      <c r="B41" s="58" t="s">
        <v>81</v>
      </c>
      <c r="C41" s="58">
        <v>35692</v>
      </c>
      <c r="D41" s="58" t="s">
        <v>34</v>
      </c>
      <c r="E41" s="61" t="s">
        <v>165</v>
      </c>
      <c r="F41" s="58" t="s">
        <v>102</v>
      </c>
      <c r="G41" s="58">
        <f>18*2</f>
        <v>36</v>
      </c>
      <c r="H41" s="98">
        <v>21.12</v>
      </c>
      <c r="I41" s="35">
        <f t="shared" ref="I41" si="37">H41*0.1532</f>
        <v>3.2355840000000002</v>
      </c>
      <c r="J41" s="35">
        <f t="shared" ref="J41" si="38">H41+I41</f>
        <v>24.355584</v>
      </c>
      <c r="K41" s="35">
        <f t="shared" ref="K41" si="39">J41*(0.03%)</f>
        <v>7.3066751999999995E-3</v>
      </c>
      <c r="L41" s="35">
        <f t="shared" ref="L41" si="40">J41-K41</f>
        <v>24.348277324800002</v>
      </c>
      <c r="M41" s="35">
        <f t="shared" ref="M41" si="41">L41*G41</f>
        <v>876.53798369280003</v>
      </c>
      <c r="N41" s="14">
        <f t="shared" ref="N41" si="42">M41/M40</f>
        <v>0.5</v>
      </c>
      <c r="O41" s="184"/>
    </row>
    <row r="42" spans="1:119" ht="15" customHeight="1" x14ac:dyDescent="0.3">
      <c r="A42" s="18" t="s">
        <v>219</v>
      </c>
      <c r="B42" s="18" t="s">
        <v>81</v>
      </c>
      <c r="C42" s="23">
        <v>3826</v>
      </c>
      <c r="D42" s="18" t="s">
        <v>34</v>
      </c>
      <c r="E42" s="43" t="s">
        <v>167</v>
      </c>
      <c r="F42" s="18" t="s">
        <v>21</v>
      </c>
      <c r="G42" s="18">
        <v>5</v>
      </c>
      <c r="H42" s="95">
        <v>56.29</v>
      </c>
      <c r="I42" s="14">
        <f t="shared" si="24"/>
        <v>8.6236280000000001</v>
      </c>
      <c r="J42" s="14">
        <f t="shared" si="25"/>
        <v>64.913628000000003</v>
      </c>
      <c r="K42" s="14">
        <f t="shared" si="26"/>
        <v>1.9474088399999999E-2</v>
      </c>
      <c r="L42" s="14">
        <f t="shared" si="27"/>
        <v>64.8941539116</v>
      </c>
      <c r="M42" s="14">
        <f t="shared" si="28"/>
        <v>324.47076955800003</v>
      </c>
      <c r="N42" s="14">
        <f>M42/M40</f>
        <v>0.18508654250841752</v>
      </c>
      <c r="O42" s="184"/>
    </row>
    <row r="43" spans="1:119" x14ac:dyDescent="0.3">
      <c r="A43" s="18" t="s">
        <v>86</v>
      </c>
      <c r="B43" s="18" t="s">
        <v>81</v>
      </c>
      <c r="C43" s="58">
        <v>3827</v>
      </c>
      <c r="D43" s="58" t="s">
        <v>34</v>
      </c>
      <c r="E43" s="61" t="s">
        <v>134</v>
      </c>
      <c r="F43" s="58" t="s">
        <v>21</v>
      </c>
      <c r="G43" s="58">
        <v>10</v>
      </c>
      <c r="H43" s="98">
        <v>35.369999999999997</v>
      </c>
      <c r="I43" s="35">
        <f t="shared" si="24"/>
        <v>5.4186839999999998</v>
      </c>
      <c r="J43" s="35">
        <f t="shared" si="25"/>
        <v>40.788683999999996</v>
      </c>
      <c r="K43" s="35">
        <f t="shared" si="26"/>
        <v>1.2236605199999999E-2</v>
      </c>
      <c r="L43" s="35">
        <f t="shared" si="27"/>
        <v>40.776447394799995</v>
      </c>
      <c r="M43" s="14">
        <f t="shared" si="28"/>
        <v>407.76447394799993</v>
      </c>
      <c r="N43" s="14">
        <f t="shared" ref="N43:N44" si="43">M43/M42</f>
        <v>1.2567063421566882</v>
      </c>
      <c r="O43" s="184"/>
    </row>
    <row r="44" spans="1:119" s="19" customFormat="1" ht="17.100000000000001" customHeight="1" x14ac:dyDescent="0.2">
      <c r="A44" s="18" t="s">
        <v>84</v>
      </c>
      <c r="B44" s="18" t="s">
        <v>81</v>
      </c>
      <c r="C44" s="18">
        <v>3865</v>
      </c>
      <c r="D44" s="18" t="s">
        <v>34</v>
      </c>
      <c r="E44" s="43" t="s">
        <v>168</v>
      </c>
      <c r="F44" s="18" t="s">
        <v>21</v>
      </c>
      <c r="G44" s="18">
        <v>5</v>
      </c>
      <c r="H44" s="96">
        <v>20.41</v>
      </c>
      <c r="I44" s="14">
        <f t="shared" si="24"/>
        <v>3.1268120000000001</v>
      </c>
      <c r="J44" s="14">
        <f t="shared" si="25"/>
        <v>23.536812000000001</v>
      </c>
      <c r="K44" s="14">
        <f t="shared" si="26"/>
        <v>7.0610435999999997E-3</v>
      </c>
      <c r="L44" s="14">
        <f t="shared" si="27"/>
        <v>23.529750956400001</v>
      </c>
      <c r="M44" s="14">
        <f t="shared" si="28"/>
        <v>117.648754782</v>
      </c>
      <c r="N44" s="35">
        <f t="shared" si="43"/>
        <v>0.28852134577325422</v>
      </c>
      <c r="O44" s="184"/>
    </row>
    <row r="45" spans="1:119" s="19" customFormat="1" ht="17.100000000000001" customHeight="1" x14ac:dyDescent="0.2">
      <c r="A45" s="18" t="s">
        <v>220</v>
      </c>
      <c r="B45" s="18" t="s">
        <v>81</v>
      </c>
      <c r="C45" s="18">
        <v>3866</v>
      </c>
      <c r="D45" s="18" t="s">
        <v>34</v>
      </c>
      <c r="E45" s="61" t="s">
        <v>169</v>
      </c>
      <c r="F45" s="18" t="s">
        <v>21</v>
      </c>
      <c r="G45" s="18">
        <v>5</v>
      </c>
      <c r="H45" s="94">
        <v>45.83</v>
      </c>
      <c r="I45" s="14">
        <f t="shared" ref="I45:I48" si="44">H45*0.1532</f>
        <v>7.0211559999999995</v>
      </c>
      <c r="J45" s="14">
        <f t="shared" ref="J45:J48" si="45">H45+I45</f>
        <v>52.851155999999996</v>
      </c>
      <c r="K45" s="14">
        <f t="shared" ref="K45:K48" si="46">J45*(0.03%)</f>
        <v>1.5855346799999996E-2</v>
      </c>
      <c r="L45" s="14">
        <f t="shared" ref="L45:L48" si="47">J45-K45</f>
        <v>52.835300653199994</v>
      </c>
      <c r="M45" s="14">
        <f t="shared" ref="M45:M48" si="48">L45*G45</f>
        <v>264.17650326599994</v>
      </c>
      <c r="N45" s="14">
        <f t="shared" si="35"/>
        <v>2.2454679078882895</v>
      </c>
      <c r="O45" s="184"/>
    </row>
    <row r="46" spans="1:119" s="68" customFormat="1" ht="15" customHeight="1" x14ac:dyDescent="0.3">
      <c r="A46" s="18" t="s">
        <v>87</v>
      </c>
      <c r="B46" s="58" t="s">
        <v>81</v>
      </c>
      <c r="C46" s="58">
        <v>329</v>
      </c>
      <c r="D46" s="58" t="s">
        <v>34</v>
      </c>
      <c r="E46" s="66" t="s">
        <v>170</v>
      </c>
      <c r="F46" s="58" t="s">
        <v>21</v>
      </c>
      <c r="G46" s="58">
        <v>20</v>
      </c>
      <c r="H46" s="99">
        <v>5.72</v>
      </c>
      <c r="I46" s="35">
        <f t="shared" si="44"/>
        <v>0.87630399999999997</v>
      </c>
      <c r="J46" s="35">
        <f t="shared" si="45"/>
        <v>6.5963039999999999</v>
      </c>
      <c r="K46" s="35">
        <f t="shared" si="46"/>
        <v>1.9788911999999996E-3</v>
      </c>
      <c r="L46" s="35">
        <f t="shared" si="47"/>
        <v>6.5943251087999997</v>
      </c>
      <c r="M46" s="35">
        <f t="shared" si="48"/>
        <v>131.88650217599999</v>
      </c>
      <c r="N46" s="14">
        <f t="shared" si="35"/>
        <v>0.49923630809513425</v>
      </c>
      <c r="O46" s="184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</row>
    <row r="47" spans="1:119" s="45" customFormat="1" ht="15" customHeight="1" x14ac:dyDescent="0.3">
      <c r="A47" s="18" t="s">
        <v>90</v>
      </c>
      <c r="B47" s="18" t="s">
        <v>81</v>
      </c>
      <c r="C47" s="18">
        <v>1379</v>
      </c>
      <c r="D47" s="18" t="s">
        <v>34</v>
      </c>
      <c r="E47" s="72" t="s">
        <v>136</v>
      </c>
      <c r="F47" s="206" t="s">
        <v>214</v>
      </c>
      <c r="G47" s="18">
        <f>50*50</f>
        <v>2500</v>
      </c>
      <c r="H47" s="96">
        <v>0.62</v>
      </c>
      <c r="I47" s="60">
        <f t="shared" si="44"/>
        <v>9.4983999999999999E-2</v>
      </c>
      <c r="J47" s="60">
        <f t="shared" si="45"/>
        <v>0.71498399999999995</v>
      </c>
      <c r="K47" s="60">
        <f t="shared" si="46"/>
        <v>2.1449519999999997E-4</v>
      </c>
      <c r="L47" s="60">
        <f t="shared" si="47"/>
        <v>0.7147695047999999</v>
      </c>
      <c r="M47" s="60">
        <f t="shared" si="48"/>
        <v>1786.9237619999997</v>
      </c>
      <c r="N47" s="14">
        <f>M47/M46</f>
        <v>13.548951048951047</v>
      </c>
      <c r="O47" s="184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42"/>
      <c r="BM47" s="42"/>
      <c r="BN47" s="42"/>
      <c r="BO47" s="42"/>
      <c r="BP47" s="42"/>
      <c r="BQ47" s="42"/>
      <c r="BR47" s="42"/>
      <c r="BS47" s="42"/>
      <c r="BT47" s="42"/>
      <c r="BU47" s="42"/>
      <c r="BV47" s="42"/>
      <c r="BW47" s="42"/>
      <c r="BX47" s="42"/>
      <c r="BY47" s="42"/>
      <c r="BZ47" s="42"/>
      <c r="CA47" s="42"/>
      <c r="CB47" s="42"/>
      <c r="CC47" s="42"/>
      <c r="CD47" s="42"/>
      <c r="CE47" s="42"/>
      <c r="CF47" s="42"/>
      <c r="CG47" s="42"/>
      <c r="CH47" s="42"/>
      <c r="CI47" s="42"/>
      <c r="CJ47" s="42"/>
      <c r="CK47" s="42"/>
      <c r="CL47" s="42"/>
      <c r="CM47" s="42"/>
      <c r="CN47" s="42"/>
      <c r="CO47" s="42"/>
      <c r="CP47" s="42"/>
      <c r="CQ47" s="42"/>
      <c r="CR47" s="42"/>
      <c r="CS47" s="42"/>
      <c r="CT47" s="42"/>
      <c r="CU47" s="42"/>
      <c r="CV47" s="42"/>
      <c r="CW47" s="42"/>
      <c r="CX47" s="42"/>
      <c r="CY47" s="42"/>
      <c r="CZ47" s="42"/>
      <c r="DA47" s="42"/>
      <c r="DB47" s="42"/>
      <c r="DC47" s="42"/>
      <c r="DD47" s="42"/>
      <c r="DE47" s="42"/>
      <c r="DF47" s="42"/>
      <c r="DG47" s="42"/>
      <c r="DH47" s="42"/>
      <c r="DI47" s="42"/>
      <c r="DJ47" s="42"/>
      <c r="DK47" s="42"/>
      <c r="DL47" s="42"/>
      <c r="DM47" s="42"/>
      <c r="DN47" s="42"/>
      <c r="DO47" s="42"/>
    </row>
    <row r="48" spans="1:119" x14ac:dyDescent="0.3">
      <c r="A48" s="18" t="s">
        <v>91</v>
      </c>
      <c r="B48" s="18" t="s">
        <v>81</v>
      </c>
      <c r="C48" s="23">
        <v>10515</v>
      </c>
      <c r="D48" s="18" t="s">
        <v>34</v>
      </c>
      <c r="E48" s="24" t="s">
        <v>137</v>
      </c>
      <c r="F48" s="18" t="s">
        <v>124</v>
      </c>
      <c r="G48" s="18">
        <v>9.36</v>
      </c>
      <c r="H48" s="83">
        <v>45.08</v>
      </c>
      <c r="I48" s="14">
        <f t="shared" si="44"/>
        <v>6.906256</v>
      </c>
      <c r="J48" s="14">
        <f t="shared" si="45"/>
        <v>51.986255999999997</v>
      </c>
      <c r="K48" s="14">
        <f t="shared" si="46"/>
        <v>1.5595876799999998E-2</v>
      </c>
      <c r="L48" s="14">
        <f t="shared" si="47"/>
        <v>51.970660123199998</v>
      </c>
      <c r="M48" s="14">
        <f t="shared" si="48"/>
        <v>486.44537875315194</v>
      </c>
      <c r="N48" s="14">
        <f t="shared" ref="N48" si="49">M48/M47</f>
        <v>0.27222503225806455</v>
      </c>
      <c r="O48" s="184"/>
    </row>
    <row r="49" spans="1:119" s="19" customFormat="1" ht="17.100000000000001" customHeight="1" x14ac:dyDescent="0.2">
      <c r="A49" s="18" t="s">
        <v>83</v>
      </c>
      <c r="B49" s="18" t="s">
        <v>81</v>
      </c>
      <c r="C49" s="11">
        <v>7213</v>
      </c>
      <c r="D49" s="18" t="s">
        <v>34</v>
      </c>
      <c r="E49" s="43" t="s">
        <v>171</v>
      </c>
      <c r="F49" s="18" t="s">
        <v>21</v>
      </c>
      <c r="G49" s="18">
        <v>30</v>
      </c>
      <c r="H49" s="95">
        <v>16.93</v>
      </c>
      <c r="I49" s="14">
        <f t="shared" si="24"/>
        <v>2.5936759999999999</v>
      </c>
      <c r="J49" s="14">
        <f t="shared" si="25"/>
        <v>19.523675999999998</v>
      </c>
      <c r="K49" s="14">
        <f t="shared" si="26"/>
        <v>5.8571027999999989E-3</v>
      </c>
      <c r="L49" s="14">
        <f t="shared" si="27"/>
        <v>19.517818897199998</v>
      </c>
      <c r="M49" s="14">
        <f t="shared" si="28"/>
        <v>585.5345669159999</v>
      </c>
      <c r="N49" s="14">
        <f t="shared" si="35"/>
        <v>1.2037005437626556</v>
      </c>
      <c r="O49" s="184"/>
    </row>
    <row r="50" spans="1:119" s="19" customFormat="1" ht="17.100000000000001" customHeight="1" x14ac:dyDescent="0.2">
      <c r="A50" s="18" t="s">
        <v>92</v>
      </c>
      <c r="B50" s="18" t="s">
        <v>81</v>
      </c>
      <c r="C50" s="18">
        <v>11830</v>
      </c>
      <c r="D50" s="18" t="s">
        <v>34</v>
      </c>
      <c r="E50" s="71" t="s">
        <v>172</v>
      </c>
      <c r="F50" s="18" t="s">
        <v>21</v>
      </c>
      <c r="G50" s="18">
        <v>10</v>
      </c>
      <c r="H50" s="96">
        <v>47.3</v>
      </c>
      <c r="I50" s="14">
        <f t="shared" si="24"/>
        <v>7.2463600000000001</v>
      </c>
      <c r="J50" s="14">
        <f t="shared" si="25"/>
        <v>54.54636</v>
      </c>
      <c r="K50" s="14">
        <f t="shared" si="26"/>
        <v>1.6363908E-2</v>
      </c>
      <c r="L50" s="14">
        <f t="shared" si="27"/>
        <v>54.529996091999998</v>
      </c>
      <c r="M50" s="14">
        <f t="shared" si="28"/>
        <v>545.29996091999999</v>
      </c>
      <c r="N50" s="14" t="e">
        <f>M50/#REF!</f>
        <v>#REF!</v>
      </c>
      <c r="O50" s="184"/>
    </row>
    <row r="51" spans="1:119" s="42" customFormat="1" ht="15" customHeight="1" x14ac:dyDescent="0.3">
      <c r="A51" s="18" t="s">
        <v>93</v>
      </c>
      <c r="B51" s="18" t="s">
        <v>81</v>
      </c>
      <c r="C51" s="11">
        <v>96</v>
      </c>
      <c r="D51" s="18" t="s">
        <v>34</v>
      </c>
      <c r="E51" s="43" t="s">
        <v>173</v>
      </c>
      <c r="F51" s="18" t="s">
        <v>21</v>
      </c>
      <c r="G51" s="18">
        <v>5</v>
      </c>
      <c r="H51" s="95">
        <v>12.87</v>
      </c>
      <c r="I51" s="14">
        <f t="shared" si="24"/>
        <v>1.971684</v>
      </c>
      <c r="J51" s="14">
        <f t="shared" si="25"/>
        <v>14.841683999999999</v>
      </c>
      <c r="K51" s="14">
        <f t="shared" si="26"/>
        <v>4.452505199999999E-3</v>
      </c>
      <c r="L51" s="14">
        <f t="shared" si="27"/>
        <v>14.837231494799999</v>
      </c>
      <c r="M51" s="14">
        <f t="shared" ref="M51:M70" si="50">L51*G51</f>
        <v>74.186157473999998</v>
      </c>
      <c r="N51" s="14">
        <f t="shared" si="35"/>
        <v>0.13604651162790699</v>
      </c>
      <c r="O51" s="184"/>
    </row>
    <row r="52" spans="1:119" s="19" customFormat="1" ht="17.100000000000001" customHeight="1" x14ac:dyDescent="0.2">
      <c r="A52" s="18" t="s">
        <v>221</v>
      </c>
      <c r="B52" s="18" t="s">
        <v>81</v>
      </c>
      <c r="C52" s="18">
        <v>97</v>
      </c>
      <c r="D52" s="18" t="s">
        <v>34</v>
      </c>
      <c r="E52" s="63" t="s">
        <v>174</v>
      </c>
      <c r="F52" s="18" t="s">
        <v>21</v>
      </c>
      <c r="G52" s="18">
        <v>5</v>
      </c>
      <c r="H52" s="96">
        <v>19.37</v>
      </c>
      <c r="I52" s="14">
        <f t="shared" si="24"/>
        <v>2.9674840000000002</v>
      </c>
      <c r="J52" s="14">
        <f t="shared" si="25"/>
        <v>22.337484</v>
      </c>
      <c r="K52" s="14">
        <f t="shared" si="26"/>
        <v>6.701245199999999E-3</v>
      </c>
      <c r="L52" s="14">
        <f t="shared" si="27"/>
        <v>22.330782754800001</v>
      </c>
      <c r="M52" s="14">
        <f t="shared" si="50"/>
        <v>111.653913774</v>
      </c>
      <c r="N52" s="14">
        <f t="shared" si="35"/>
        <v>1.5050505050505052</v>
      </c>
      <c r="O52" s="184"/>
    </row>
    <row r="53" spans="1:119" s="19" customFormat="1" ht="17.100000000000001" customHeight="1" x14ac:dyDescent="0.2">
      <c r="A53" s="18" t="s">
        <v>222</v>
      </c>
      <c r="B53" s="18" t="s">
        <v>81</v>
      </c>
      <c r="C53" s="18">
        <v>99</v>
      </c>
      <c r="D53" s="18" t="s">
        <v>34</v>
      </c>
      <c r="E53" s="59" t="s">
        <v>175</v>
      </c>
      <c r="F53" s="18" t="s">
        <v>21</v>
      </c>
      <c r="G53" s="18">
        <v>5</v>
      </c>
      <c r="H53" s="95">
        <v>27.4</v>
      </c>
      <c r="I53" s="14">
        <f t="shared" si="24"/>
        <v>4.1976800000000001</v>
      </c>
      <c r="J53" s="14">
        <f t="shared" si="25"/>
        <v>31.597679999999997</v>
      </c>
      <c r="K53" s="14">
        <f t="shared" si="26"/>
        <v>9.4793039999999974E-3</v>
      </c>
      <c r="L53" s="14">
        <f t="shared" si="27"/>
        <v>31.588200695999998</v>
      </c>
      <c r="M53" s="14">
        <f t="shared" si="50"/>
        <v>157.94100347999998</v>
      </c>
      <c r="N53" s="14">
        <f t="shared" si="35"/>
        <v>1.4145585957666493</v>
      </c>
      <c r="O53" s="184"/>
    </row>
    <row r="54" spans="1:119" s="45" customFormat="1" ht="15" customHeight="1" x14ac:dyDescent="0.3">
      <c r="A54" s="18" t="s">
        <v>223</v>
      </c>
      <c r="B54" s="18" t="s">
        <v>81</v>
      </c>
      <c r="C54" s="18">
        <v>11950</v>
      </c>
      <c r="D54" s="18" t="s">
        <v>34</v>
      </c>
      <c r="E54" s="46" t="s">
        <v>176</v>
      </c>
      <c r="F54" s="18" t="s">
        <v>21</v>
      </c>
      <c r="G54" s="18">
        <v>300</v>
      </c>
      <c r="H54" s="96">
        <v>0.12</v>
      </c>
      <c r="I54" s="14">
        <f t="shared" si="24"/>
        <v>1.8384000000000001E-2</v>
      </c>
      <c r="J54" s="14">
        <f t="shared" si="25"/>
        <v>0.13838400000000001</v>
      </c>
      <c r="K54" s="14">
        <f t="shared" si="26"/>
        <v>4.1515199999999999E-5</v>
      </c>
      <c r="L54" s="14">
        <f t="shared" si="27"/>
        <v>0.1383424848</v>
      </c>
      <c r="M54" s="14">
        <f t="shared" si="50"/>
        <v>41.502745439999998</v>
      </c>
      <c r="N54" s="35">
        <f t="shared" si="35"/>
        <v>0.26277372262773724</v>
      </c>
      <c r="O54" s="184"/>
    </row>
    <row r="55" spans="1:119" s="45" customFormat="1" ht="15" customHeight="1" x14ac:dyDescent="0.3">
      <c r="A55" s="18" t="s">
        <v>109</v>
      </c>
      <c r="B55" s="18" t="s">
        <v>81</v>
      </c>
      <c r="C55" s="18">
        <v>7583</v>
      </c>
      <c r="D55" s="18" t="s">
        <v>34</v>
      </c>
      <c r="E55" s="46" t="s">
        <v>177</v>
      </c>
      <c r="F55" s="18" t="s">
        <v>21</v>
      </c>
      <c r="G55" s="18">
        <v>300</v>
      </c>
      <c r="H55" s="96">
        <v>0.25</v>
      </c>
      <c r="I55" s="14">
        <f t="shared" si="24"/>
        <v>3.8300000000000001E-2</v>
      </c>
      <c r="J55" s="14">
        <f t="shared" si="25"/>
        <v>0.2883</v>
      </c>
      <c r="K55" s="14">
        <f t="shared" si="26"/>
        <v>8.6489999999999994E-5</v>
      </c>
      <c r="L55" s="14">
        <f t="shared" si="27"/>
        <v>0.28821351000000001</v>
      </c>
      <c r="M55" s="14">
        <f t="shared" si="50"/>
        <v>86.464053000000007</v>
      </c>
      <c r="N55" s="35">
        <f t="shared" si="35"/>
        <v>2.0833333333333335</v>
      </c>
      <c r="O55" s="184"/>
    </row>
    <row r="56" spans="1:119" s="45" customFormat="1" ht="15" customHeight="1" x14ac:dyDescent="0.3">
      <c r="A56" s="18" t="s">
        <v>110</v>
      </c>
      <c r="B56" s="18" t="s">
        <v>81</v>
      </c>
      <c r="C56" s="18">
        <v>7568</v>
      </c>
      <c r="D56" s="18" t="s">
        <v>34</v>
      </c>
      <c r="E56" s="46" t="s">
        <v>178</v>
      </c>
      <c r="F56" s="18" t="s">
        <v>21</v>
      </c>
      <c r="G56" s="18">
        <v>300</v>
      </c>
      <c r="H56" s="96">
        <v>0.36</v>
      </c>
      <c r="I56" s="14">
        <f t="shared" si="24"/>
        <v>5.5152E-2</v>
      </c>
      <c r="J56" s="14">
        <f t="shared" si="25"/>
        <v>0.41515199999999997</v>
      </c>
      <c r="K56" s="14">
        <f t="shared" si="26"/>
        <v>1.2454559999999998E-4</v>
      </c>
      <c r="L56" s="14">
        <f t="shared" si="27"/>
        <v>0.41502745439999994</v>
      </c>
      <c r="M56" s="14">
        <f t="shared" si="50"/>
        <v>124.50823631999998</v>
      </c>
      <c r="N56" s="35">
        <f t="shared" si="35"/>
        <v>1.4399999999999997</v>
      </c>
      <c r="O56" s="184"/>
    </row>
    <row r="57" spans="1:119" s="19" customFormat="1" ht="17.100000000000001" customHeight="1" x14ac:dyDescent="0.2">
      <c r="A57" s="18" t="s">
        <v>104</v>
      </c>
      <c r="B57" s="18" t="s">
        <v>81</v>
      </c>
      <c r="C57" s="70">
        <v>11871</v>
      </c>
      <c r="D57" s="18" t="s">
        <v>34</v>
      </c>
      <c r="E57" s="43" t="s">
        <v>179</v>
      </c>
      <c r="F57" s="18" t="s">
        <v>21</v>
      </c>
      <c r="G57" s="18">
        <v>3</v>
      </c>
      <c r="H57" s="83">
        <v>458.03</v>
      </c>
      <c r="I57" s="14">
        <f t="shared" ref="I57:I79" si="51">H57*0.1532</f>
        <v>70.17019599999999</v>
      </c>
      <c r="J57" s="14">
        <f t="shared" ref="J57:J70" si="52">H57+I57</f>
        <v>528.20019600000001</v>
      </c>
      <c r="K57" s="14">
        <f t="shared" ref="K57:K79" si="53">J57*(0.03%)</f>
        <v>0.1584600588</v>
      </c>
      <c r="L57" s="14">
        <f t="shared" ref="L57:L70" si="54">J57-K57</f>
        <v>528.04173594120005</v>
      </c>
      <c r="M57" s="14">
        <f t="shared" si="50"/>
        <v>1584.1252078236002</v>
      </c>
      <c r="N57" s="14">
        <f t="shared" si="35"/>
        <v>12.723055555555559</v>
      </c>
      <c r="O57" s="184"/>
    </row>
    <row r="58" spans="1:119" s="19" customFormat="1" ht="17.100000000000001" customHeight="1" x14ac:dyDescent="0.2">
      <c r="A58" s="18" t="s">
        <v>224</v>
      </c>
      <c r="B58" s="18" t="s">
        <v>81</v>
      </c>
      <c r="C58" s="18">
        <v>1969</v>
      </c>
      <c r="D58" s="18" t="s">
        <v>34</v>
      </c>
      <c r="E58" s="43" t="s">
        <v>180</v>
      </c>
      <c r="F58" s="18" t="s">
        <v>21</v>
      </c>
      <c r="G58" s="18">
        <v>2</v>
      </c>
      <c r="H58" s="101">
        <v>48.05</v>
      </c>
      <c r="I58" s="14">
        <f t="shared" si="51"/>
        <v>7.3612599999999997</v>
      </c>
      <c r="J58" s="14">
        <f t="shared" si="52"/>
        <v>55.411259999999999</v>
      </c>
      <c r="K58" s="14">
        <f t="shared" si="53"/>
        <v>1.6623377999999998E-2</v>
      </c>
      <c r="L58" s="14">
        <f t="shared" si="54"/>
        <v>55.394636622</v>
      </c>
      <c r="M58" s="14">
        <f t="shared" si="50"/>
        <v>110.789273244</v>
      </c>
      <c r="N58" s="14">
        <f t="shared" si="35"/>
        <v>6.9937194798011762E-2</v>
      </c>
      <c r="O58" s="184"/>
    </row>
    <row r="59" spans="1:119" s="42" customFormat="1" ht="15" customHeight="1" x14ac:dyDescent="0.2">
      <c r="A59" s="18" t="s">
        <v>225</v>
      </c>
      <c r="B59" s="18" t="s">
        <v>81</v>
      </c>
      <c r="C59" s="18">
        <v>11684</v>
      </c>
      <c r="D59" s="18" t="s">
        <v>34</v>
      </c>
      <c r="E59" s="24" t="s">
        <v>181</v>
      </c>
      <c r="F59" s="18" t="s">
        <v>21</v>
      </c>
      <c r="G59" s="18">
        <v>20</v>
      </c>
      <c r="H59" s="102">
        <v>47.36</v>
      </c>
      <c r="I59" s="14">
        <f t="shared" si="51"/>
        <v>7.2555519999999998</v>
      </c>
      <c r="J59" s="14">
        <f t="shared" si="52"/>
        <v>54.615552000000001</v>
      </c>
      <c r="K59" s="14">
        <f t="shared" si="53"/>
        <v>1.6384665599999997E-2</v>
      </c>
      <c r="L59" s="14">
        <f t="shared" si="54"/>
        <v>54.599167334400001</v>
      </c>
      <c r="M59" s="14">
        <f t="shared" si="50"/>
        <v>1091.983346688</v>
      </c>
      <c r="N59" s="35">
        <f t="shared" si="35"/>
        <v>9.8563995837669101</v>
      </c>
      <c r="O59" s="184"/>
    </row>
    <row r="60" spans="1:119" s="74" customFormat="1" ht="16.5" customHeight="1" x14ac:dyDescent="0.2">
      <c r="A60" s="18" t="s">
        <v>111</v>
      </c>
      <c r="B60" s="18" t="s">
        <v>81</v>
      </c>
      <c r="C60" s="18">
        <v>3534</v>
      </c>
      <c r="D60" s="18" t="s">
        <v>34</v>
      </c>
      <c r="E60" s="59" t="s">
        <v>182</v>
      </c>
      <c r="F60" s="18" t="s">
        <v>21</v>
      </c>
      <c r="G60" s="18">
        <v>20</v>
      </c>
      <c r="H60" s="101">
        <v>7.94</v>
      </c>
      <c r="I60" s="14">
        <f t="shared" si="51"/>
        <v>1.2164080000000002</v>
      </c>
      <c r="J60" s="14">
        <f t="shared" si="52"/>
        <v>9.1564080000000008</v>
      </c>
      <c r="K60" s="14">
        <f t="shared" si="53"/>
        <v>2.7469223999999999E-3</v>
      </c>
      <c r="L60" s="14">
        <f t="shared" si="54"/>
        <v>9.1536610776000007</v>
      </c>
      <c r="M60" s="14">
        <f t="shared" si="50"/>
        <v>183.07322155200001</v>
      </c>
      <c r="N60" s="14">
        <f>M60/M59</f>
        <v>0.16765202702702703</v>
      </c>
      <c r="O60" s="184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</row>
    <row r="61" spans="1:119" s="42" customFormat="1" ht="15" customHeight="1" x14ac:dyDescent="0.3">
      <c r="A61" s="18" t="s">
        <v>112</v>
      </c>
      <c r="B61" s="18" t="s">
        <v>81</v>
      </c>
      <c r="C61" s="18">
        <v>3529</v>
      </c>
      <c r="D61" s="18" t="s">
        <v>34</v>
      </c>
      <c r="E61" s="43" t="s">
        <v>101</v>
      </c>
      <c r="F61" s="18" t="s">
        <v>21</v>
      </c>
      <c r="G61" s="18">
        <v>20</v>
      </c>
      <c r="H61" s="101">
        <v>0.76</v>
      </c>
      <c r="I61" s="14">
        <f t="shared" si="51"/>
        <v>0.11643200000000001</v>
      </c>
      <c r="J61" s="14">
        <f t="shared" si="52"/>
        <v>0.87643199999999999</v>
      </c>
      <c r="K61" s="14">
        <f t="shared" si="53"/>
        <v>2.6292959999999995E-4</v>
      </c>
      <c r="L61" s="14">
        <f t="shared" si="54"/>
        <v>0.87616907040000003</v>
      </c>
      <c r="M61" s="14">
        <f t="shared" si="50"/>
        <v>17.523381407999999</v>
      </c>
      <c r="N61" s="35">
        <f t="shared" ref="N61:N62" si="55">M61/M60</f>
        <v>9.5717884130982353E-2</v>
      </c>
      <c r="O61" s="184"/>
    </row>
    <row r="62" spans="1:119" s="42" customFormat="1" ht="15" customHeight="1" x14ac:dyDescent="0.3">
      <c r="A62" s="18" t="s">
        <v>113</v>
      </c>
      <c r="B62" s="18" t="s">
        <v>81</v>
      </c>
      <c r="C62" s="18">
        <v>3540</v>
      </c>
      <c r="D62" s="18" t="s">
        <v>34</v>
      </c>
      <c r="E62" s="43" t="s">
        <v>183</v>
      </c>
      <c r="F62" s="18" t="s">
        <v>21</v>
      </c>
      <c r="G62" s="18">
        <v>10</v>
      </c>
      <c r="H62" s="101">
        <v>5.22</v>
      </c>
      <c r="I62" s="14">
        <f t="shared" si="51"/>
        <v>0.79970399999999997</v>
      </c>
      <c r="J62" s="14">
        <f t="shared" si="52"/>
        <v>6.0197039999999999</v>
      </c>
      <c r="K62" s="14">
        <f t="shared" si="53"/>
        <v>1.8059111999999997E-3</v>
      </c>
      <c r="L62" s="14">
        <f t="shared" si="54"/>
        <v>6.0178980888</v>
      </c>
      <c r="M62" s="14">
        <f t="shared" si="50"/>
        <v>60.178980887999998</v>
      </c>
      <c r="N62" s="35">
        <f t="shared" si="55"/>
        <v>3.4342105263157898</v>
      </c>
      <c r="O62" s="184"/>
    </row>
    <row r="63" spans="1:119" s="19" customFormat="1" ht="17.100000000000001" customHeight="1" x14ac:dyDescent="0.2">
      <c r="A63" s="18" t="s">
        <v>114</v>
      </c>
      <c r="B63" s="18" t="s">
        <v>81</v>
      </c>
      <c r="C63" s="18">
        <v>38194</v>
      </c>
      <c r="D63" s="18" t="s">
        <v>34</v>
      </c>
      <c r="E63" s="24" t="s">
        <v>184</v>
      </c>
      <c r="F63" s="18" t="s">
        <v>21</v>
      </c>
      <c r="G63" s="18">
        <v>15</v>
      </c>
      <c r="H63" s="102">
        <v>4.29</v>
      </c>
      <c r="I63" s="14">
        <f t="shared" si="51"/>
        <v>0.65722800000000003</v>
      </c>
      <c r="J63" s="14">
        <f t="shared" si="52"/>
        <v>4.947228</v>
      </c>
      <c r="K63" s="14">
        <f t="shared" si="53"/>
        <v>1.4841683999999998E-3</v>
      </c>
      <c r="L63" s="14">
        <f t="shared" si="54"/>
        <v>4.9457438315999998</v>
      </c>
      <c r="M63" s="14">
        <f t="shared" si="50"/>
        <v>74.186157473999998</v>
      </c>
      <c r="N63" s="14">
        <f>M63/M62</f>
        <v>1.2327586206896552</v>
      </c>
      <c r="O63" s="18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74"/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 s="74"/>
      <c r="BE63" s="74"/>
      <c r="BF63" s="74"/>
      <c r="BG63" s="74"/>
      <c r="BH63" s="74"/>
      <c r="BI63" s="74"/>
      <c r="BJ63" s="74"/>
      <c r="BK63" s="74"/>
      <c r="BL63" s="74"/>
      <c r="BM63" s="74"/>
      <c r="BN63" s="74"/>
      <c r="BO63" s="74"/>
      <c r="BP63" s="74"/>
      <c r="BQ63" s="74"/>
      <c r="BR63" s="74"/>
      <c r="BS63" s="74"/>
      <c r="BT63" s="74"/>
      <c r="BU63" s="74"/>
      <c r="BV63" s="74"/>
      <c r="BW63" s="74"/>
      <c r="BX63" s="74"/>
      <c r="BY63" s="74"/>
      <c r="BZ63" s="74"/>
      <c r="CA63" s="74"/>
      <c r="CB63" s="74"/>
      <c r="CC63" s="74"/>
      <c r="CD63" s="74"/>
      <c r="CE63" s="74"/>
      <c r="CF63" s="74"/>
      <c r="CG63" s="74"/>
      <c r="CH63" s="74"/>
      <c r="CI63" s="74"/>
      <c r="CJ63" s="74"/>
      <c r="CK63" s="74"/>
      <c r="CL63" s="74"/>
      <c r="CM63" s="74"/>
      <c r="CN63" s="74"/>
      <c r="CO63" s="74"/>
      <c r="CP63" s="74"/>
      <c r="CQ63" s="74"/>
      <c r="CR63" s="74"/>
      <c r="CS63" s="74"/>
      <c r="CT63" s="74"/>
      <c r="CU63" s="74"/>
      <c r="CV63" s="74"/>
      <c r="CW63" s="74"/>
      <c r="CX63" s="74"/>
      <c r="CY63" s="74"/>
      <c r="CZ63" s="74"/>
      <c r="DA63" s="74"/>
      <c r="DB63" s="74"/>
      <c r="DC63" s="74"/>
      <c r="DD63" s="74"/>
      <c r="DE63" s="74"/>
      <c r="DF63" s="74"/>
      <c r="DG63" s="74"/>
      <c r="DH63" s="74"/>
      <c r="DI63" s="74"/>
      <c r="DJ63" s="74"/>
      <c r="DK63" s="74"/>
      <c r="DL63" s="74"/>
      <c r="DM63" s="74"/>
      <c r="DN63" s="74"/>
      <c r="DO63" s="74"/>
    </row>
    <row r="64" spans="1:119" x14ac:dyDescent="0.3">
      <c r="A64" s="18" t="s">
        <v>115</v>
      </c>
      <c r="B64" s="18" t="s">
        <v>81</v>
      </c>
      <c r="C64" s="18">
        <v>3874</v>
      </c>
      <c r="D64" s="18" t="s">
        <v>34</v>
      </c>
      <c r="E64" s="71" t="s">
        <v>135</v>
      </c>
      <c r="F64" s="18" t="s">
        <v>21</v>
      </c>
      <c r="G64" s="18">
        <v>10</v>
      </c>
      <c r="H64" s="101">
        <v>6.25</v>
      </c>
      <c r="I64" s="14">
        <f t="shared" si="51"/>
        <v>0.95750000000000002</v>
      </c>
      <c r="J64" s="14">
        <f t="shared" si="52"/>
        <v>7.2074999999999996</v>
      </c>
      <c r="K64" s="14">
        <f t="shared" si="53"/>
        <v>2.1622499999999997E-3</v>
      </c>
      <c r="L64" s="14">
        <f t="shared" si="54"/>
        <v>7.20533775</v>
      </c>
      <c r="M64" s="14">
        <f t="shared" si="50"/>
        <v>72.053377499999996</v>
      </c>
      <c r="N64" s="14">
        <f t="shared" ref="N64" si="56">M64/M63</f>
        <v>0.97125097125097126</v>
      </c>
      <c r="O64" s="184"/>
    </row>
    <row r="65" spans="1:119" s="19" customFormat="1" ht="17.100000000000001" customHeight="1" x14ac:dyDescent="0.2">
      <c r="A65" s="18" t="s">
        <v>117</v>
      </c>
      <c r="B65" s="18" t="s">
        <v>81</v>
      </c>
      <c r="C65" s="23">
        <v>11674</v>
      </c>
      <c r="D65" s="18" t="s">
        <v>34</v>
      </c>
      <c r="E65" s="24" t="s">
        <v>185</v>
      </c>
      <c r="F65" s="18" t="s">
        <v>21</v>
      </c>
      <c r="G65" s="18">
        <v>10</v>
      </c>
      <c r="H65" s="100">
        <v>26.51</v>
      </c>
      <c r="I65" s="14">
        <f t="shared" si="51"/>
        <v>4.0613320000000002</v>
      </c>
      <c r="J65" s="14">
        <f t="shared" si="52"/>
        <v>30.571332000000002</v>
      </c>
      <c r="K65" s="14">
        <f t="shared" si="53"/>
        <v>9.1713995999999996E-3</v>
      </c>
      <c r="L65" s="14">
        <f t="shared" si="54"/>
        <v>30.562160600400002</v>
      </c>
      <c r="M65" s="14">
        <f t="shared" si="50"/>
        <v>305.621606004</v>
      </c>
      <c r="N65" s="14" t="e">
        <f>M65/M$33</f>
        <v>#DIV/0!</v>
      </c>
      <c r="O65" s="184"/>
    </row>
    <row r="66" spans="1:119" x14ac:dyDescent="0.3">
      <c r="A66" s="18" t="s">
        <v>119</v>
      </c>
      <c r="B66" s="18" t="s">
        <v>81</v>
      </c>
      <c r="C66" s="18" t="s">
        <v>186</v>
      </c>
      <c r="D66" s="18" t="s">
        <v>129</v>
      </c>
      <c r="E66" s="24" t="s">
        <v>187</v>
      </c>
      <c r="F66" s="18" t="s">
        <v>21</v>
      </c>
      <c r="G66" s="18">
        <v>15</v>
      </c>
      <c r="H66" s="100">
        <v>98</v>
      </c>
      <c r="I66" s="14">
        <f t="shared" si="51"/>
        <v>15.0136</v>
      </c>
      <c r="J66" s="14">
        <f t="shared" si="52"/>
        <v>113.0136</v>
      </c>
      <c r="K66" s="14">
        <f t="shared" si="53"/>
        <v>3.3904079999999996E-2</v>
      </c>
      <c r="L66" s="14">
        <f t="shared" si="54"/>
        <v>112.97969592</v>
      </c>
      <c r="M66" s="14">
        <f t="shared" si="50"/>
        <v>1694.6954387999999</v>
      </c>
      <c r="N66" s="14" t="e">
        <f>M66/M$33</f>
        <v>#DIV/0!</v>
      </c>
      <c r="O66" s="184"/>
    </row>
    <row r="67" spans="1:119" s="42" customFormat="1" ht="15" customHeight="1" x14ac:dyDescent="0.3">
      <c r="A67" s="18" t="s">
        <v>226</v>
      </c>
      <c r="B67" s="18" t="s">
        <v>81</v>
      </c>
      <c r="C67" s="18">
        <v>6028</v>
      </c>
      <c r="D67" s="18" t="s">
        <v>34</v>
      </c>
      <c r="E67" s="43" t="s">
        <v>188</v>
      </c>
      <c r="F67" s="18" t="s">
        <v>21</v>
      </c>
      <c r="G67" s="18">
        <v>2</v>
      </c>
      <c r="H67" s="104">
        <v>95.98</v>
      </c>
      <c r="I67" s="14">
        <f t="shared" si="51"/>
        <v>14.704136</v>
      </c>
      <c r="J67" s="14">
        <f t="shared" si="52"/>
        <v>110.68413600000001</v>
      </c>
      <c r="K67" s="14">
        <f t="shared" si="53"/>
        <v>3.3205240800000001E-2</v>
      </c>
      <c r="L67" s="14">
        <f t="shared" si="54"/>
        <v>110.65093075920001</v>
      </c>
      <c r="M67" s="14">
        <f t="shared" si="50"/>
        <v>221.30186151840002</v>
      </c>
      <c r="N67" s="14">
        <f t="shared" si="35"/>
        <v>0.13058503401360547</v>
      </c>
      <c r="O67" s="184"/>
    </row>
    <row r="68" spans="1:119" s="45" customFormat="1" ht="15" customHeight="1" x14ac:dyDescent="0.3">
      <c r="A68" s="18" t="s">
        <v>227</v>
      </c>
      <c r="B68" s="18" t="s">
        <v>81</v>
      </c>
      <c r="C68" s="18">
        <v>7097</v>
      </c>
      <c r="D68" s="18" t="s">
        <v>34</v>
      </c>
      <c r="E68" s="72" t="s">
        <v>189</v>
      </c>
      <c r="F68" s="18" t="s">
        <v>21</v>
      </c>
      <c r="G68" s="18">
        <v>5</v>
      </c>
      <c r="H68" s="101">
        <v>8.11</v>
      </c>
      <c r="I68" s="60">
        <f t="shared" si="51"/>
        <v>1.2424519999999999</v>
      </c>
      <c r="J68" s="60">
        <f t="shared" si="52"/>
        <v>9.3524519999999995</v>
      </c>
      <c r="K68" s="60">
        <f t="shared" si="53"/>
        <v>2.8057355999999995E-3</v>
      </c>
      <c r="L68" s="60">
        <f t="shared" si="54"/>
        <v>9.3496462643999987</v>
      </c>
      <c r="M68" s="60">
        <f t="shared" si="50"/>
        <v>46.748231321999995</v>
      </c>
      <c r="N68" s="14">
        <f>M68/M66</f>
        <v>2.7585034013605441E-2</v>
      </c>
      <c r="O68" s="184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/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2"/>
      <c r="CA68" s="42"/>
      <c r="CB68" s="42"/>
      <c r="CC68" s="42"/>
      <c r="CD68" s="42"/>
      <c r="CE68" s="42"/>
      <c r="CF68" s="42"/>
      <c r="CG68" s="42"/>
      <c r="CH68" s="42"/>
      <c r="CI68" s="42"/>
      <c r="CJ68" s="42"/>
      <c r="CK68" s="42"/>
      <c r="CL68" s="42"/>
      <c r="CM68" s="42"/>
      <c r="CN68" s="42"/>
      <c r="CO68" s="42"/>
      <c r="CP68" s="42"/>
      <c r="CQ68" s="42"/>
      <c r="CR68" s="42"/>
      <c r="CS68" s="42"/>
      <c r="CT68" s="42"/>
      <c r="CU68" s="42"/>
      <c r="CV68" s="42"/>
      <c r="CW68" s="42"/>
      <c r="CX68" s="42"/>
      <c r="CY68" s="42"/>
      <c r="CZ68" s="42"/>
      <c r="DA68" s="42"/>
      <c r="DB68" s="42"/>
      <c r="DC68" s="42"/>
      <c r="DD68" s="42"/>
      <c r="DE68" s="42"/>
      <c r="DF68" s="42"/>
      <c r="DG68" s="42"/>
      <c r="DH68" s="42"/>
      <c r="DI68" s="42"/>
      <c r="DJ68" s="42"/>
      <c r="DK68" s="42"/>
      <c r="DL68" s="42"/>
      <c r="DM68" s="42"/>
      <c r="DN68" s="42"/>
      <c r="DO68" s="42"/>
    </row>
    <row r="69" spans="1:119" s="19" customFormat="1" ht="17.100000000000001" customHeight="1" x14ac:dyDescent="0.2">
      <c r="A69" s="18" t="s">
        <v>118</v>
      </c>
      <c r="B69" s="18" t="s">
        <v>81</v>
      </c>
      <c r="C69" s="18">
        <v>11762</v>
      </c>
      <c r="D69" s="18" t="s">
        <v>34</v>
      </c>
      <c r="E69" s="63" t="s">
        <v>108</v>
      </c>
      <c r="F69" s="18" t="s">
        <v>21</v>
      </c>
      <c r="G69" s="18">
        <v>10</v>
      </c>
      <c r="H69" s="101">
        <v>49.24</v>
      </c>
      <c r="I69" s="14">
        <f t="shared" si="51"/>
        <v>7.5435680000000005</v>
      </c>
      <c r="J69" s="14">
        <f t="shared" si="52"/>
        <v>56.783568000000002</v>
      </c>
      <c r="K69" s="14">
        <f t="shared" si="53"/>
        <v>1.7035070399999998E-2</v>
      </c>
      <c r="L69" s="14">
        <f t="shared" si="54"/>
        <v>56.766532929600004</v>
      </c>
      <c r="M69" s="14">
        <f t="shared" si="50"/>
        <v>567.66532929599998</v>
      </c>
      <c r="N69" s="35">
        <f t="shared" ref="N69:N70" si="57">M69/M68</f>
        <v>12.143033292231813</v>
      </c>
      <c r="O69" s="184"/>
    </row>
    <row r="70" spans="1:119" s="19" customFormat="1" ht="17.100000000000001" customHeight="1" x14ac:dyDescent="0.2">
      <c r="A70" s="18" t="s">
        <v>120</v>
      </c>
      <c r="B70" s="18" t="s">
        <v>81</v>
      </c>
      <c r="C70" s="18">
        <v>36791</v>
      </c>
      <c r="D70" s="18" t="s">
        <v>34</v>
      </c>
      <c r="E70" s="59" t="s">
        <v>107</v>
      </c>
      <c r="F70" s="18" t="s">
        <v>21</v>
      </c>
      <c r="G70" s="18">
        <v>10</v>
      </c>
      <c r="H70" s="104">
        <v>117.18</v>
      </c>
      <c r="I70" s="14">
        <f t="shared" si="51"/>
        <v>17.951976000000002</v>
      </c>
      <c r="J70" s="14">
        <f t="shared" si="52"/>
        <v>135.13197600000001</v>
      </c>
      <c r="K70" s="14">
        <f t="shared" si="53"/>
        <v>4.0539592799999996E-2</v>
      </c>
      <c r="L70" s="14">
        <f t="shared" si="54"/>
        <v>135.09143640720001</v>
      </c>
      <c r="M70" s="14">
        <f t="shared" si="50"/>
        <v>1350.9143640720001</v>
      </c>
      <c r="N70" s="35">
        <f t="shared" si="57"/>
        <v>2.3797725426482539</v>
      </c>
      <c r="O70" s="184"/>
    </row>
    <row r="71" spans="1:119" s="64" customFormat="1" ht="15" customHeight="1" x14ac:dyDescent="0.2">
      <c r="A71" s="18" t="s">
        <v>122</v>
      </c>
      <c r="B71" s="18" t="s">
        <v>81</v>
      </c>
      <c r="C71" s="18">
        <v>9906</v>
      </c>
      <c r="D71" s="18" t="s">
        <v>34</v>
      </c>
      <c r="E71" s="43" t="s">
        <v>190</v>
      </c>
      <c r="F71" s="18" t="s">
        <v>21</v>
      </c>
      <c r="G71" s="18">
        <v>5</v>
      </c>
      <c r="H71" s="101">
        <v>8.35</v>
      </c>
      <c r="I71" s="14">
        <f t="shared" si="51"/>
        <v>1.27922</v>
      </c>
      <c r="J71" s="14">
        <f t="shared" ref="J71:J78" si="58">H71+I71</f>
        <v>9.6292200000000001</v>
      </c>
      <c r="K71" s="14">
        <f t="shared" si="53"/>
        <v>2.8887659999999996E-3</v>
      </c>
      <c r="L71" s="14">
        <f t="shared" ref="L71:L78" si="59">J71-K71</f>
        <v>9.6263312340000002</v>
      </c>
      <c r="M71" s="14">
        <f t="shared" ref="M71:M78" si="60">L71*G71</f>
        <v>48.131656169999999</v>
      </c>
      <c r="N71" s="14">
        <f t="shared" si="35"/>
        <v>3.5628946919269495E-2</v>
      </c>
      <c r="O71" s="184"/>
    </row>
    <row r="72" spans="1:119" s="42" customFormat="1" ht="15" customHeight="1" x14ac:dyDescent="0.2">
      <c r="A72" s="18" t="s">
        <v>228</v>
      </c>
      <c r="B72" s="58" t="s">
        <v>81</v>
      </c>
      <c r="C72" s="18">
        <v>9895</v>
      </c>
      <c r="D72" s="18" t="s">
        <v>34</v>
      </c>
      <c r="E72" s="72" t="s">
        <v>191</v>
      </c>
      <c r="F72" s="18" t="s">
        <v>21</v>
      </c>
      <c r="G72" s="18">
        <v>5</v>
      </c>
      <c r="H72" s="101">
        <v>14.06</v>
      </c>
      <c r="I72" s="40">
        <f t="shared" si="51"/>
        <v>2.1539920000000001</v>
      </c>
      <c r="J72" s="40">
        <f t="shared" si="58"/>
        <v>16.213992000000001</v>
      </c>
      <c r="K72" s="40">
        <f t="shared" si="53"/>
        <v>4.8641976E-3</v>
      </c>
      <c r="L72" s="40">
        <f t="shared" si="59"/>
        <v>16.209127802400001</v>
      </c>
      <c r="M72" s="40">
        <f t="shared" si="60"/>
        <v>81.045639012000009</v>
      </c>
      <c r="N72" s="14">
        <f t="shared" si="35"/>
        <v>1.6838323353293416</v>
      </c>
      <c r="O72" s="184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</row>
    <row r="73" spans="1:119" s="19" customFormat="1" ht="17.100000000000001" customHeight="1" x14ac:dyDescent="0.2">
      <c r="A73" s="18" t="s">
        <v>229</v>
      </c>
      <c r="B73" s="58" t="s">
        <v>81</v>
      </c>
      <c r="C73" s="18">
        <v>9897</v>
      </c>
      <c r="D73" s="18" t="s">
        <v>34</v>
      </c>
      <c r="E73" s="73" t="s">
        <v>192</v>
      </c>
      <c r="F73" s="18" t="s">
        <v>21</v>
      </c>
      <c r="G73" s="18">
        <v>5</v>
      </c>
      <c r="H73" s="104">
        <v>28.88</v>
      </c>
      <c r="I73" s="60">
        <f t="shared" si="51"/>
        <v>4.4244159999999999</v>
      </c>
      <c r="J73" s="60">
        <f t="shared" si="58"/>
        <v>33.304415999999996</v>
      </c>
      <c r="K73" s="60">
        <f t="shared" si="53"/>
        <v>9.9913247999999979E-3</v>
      </c>
      <c r="L73" s="60">
        <f t="shared" si="59"/>
        <v>33.294424675199998</v>
      </c>
      <c r="M73" s="60">
        <f t="shared" si="60"/>
        <v>166.47212337599998</v>
      </c>
      <c r="N73" s="14">
        <f t="shared" si="35"/>
        <v>2.0540540540540535</v>
      </c>
      <c r="O73" s="184"/>
    </row>
    <row r="74" spans="1:119" s="19" customFormat="1" ht="17.100000000000001" customHeight="1" x14ac:dyDescent="0.2">
      <c r="A74" s="18" t="s">
        <v>116</v>
      </c>
      <c r="B74" s="18" t="s">
        <v>81</v>
      </c>
      <c r="C74" s="18">
        <v>21112</v>
      </c>
      <c r="D74" s="18" t="s">
        <v>34</v>
      </c>
      <c r="E74" s="63" t="s">
        <v>193</v>
      </c>
      <c r="F74" s="18" t="s">
        <v>21</v>
      </c>
      <c r="G74" s="18">
        <v>10</v>
      </c>
      <c r="H74" s="101">
        <v>325.51</v>
      </c>
      <c r="I74" s="14">
        <f t="shared" si="51"/>
        <v>49.868132000000003</v>
      </c>
      <c r="J74" s="14">
        <f t="shared" si="58"/>
        <v>375.37813199999999</v>
      </c>
      <c r="K74" s="14">
        <f t="shared" si="53"/>
        <v>0.11261343959999999</v>
      </c>
      <c r="L74" s="14">
        <f t="shared" si="59"/>
        <v>375.26551856039998</v>
      </c>
      <c r="M74" s="14">
        <f t="shared" si="60"/>
        <v>3752.6551856039996</v>
      </c>
      <c r="N74" s="14">
        <f>M74/M71</f>
        <v>77.966467065868258</v>
      </c>
      <c r="O74" s="184"/>
    </row>
    <row r="75" spans="1:119" s="19" customFormat="1" ht="17.100000000000001" customHeight="1" x14ac:dyDescent="0.2">
      <c r="A75" s="18" t="s">
        <v>106</v>
      </c>
      <c r="B75" s="18" t="s">
        <v>81</v>
      </c>
      <c r="C75" s="18">
        <v>20078</v>
      </c>
      <c r="D75" s="18" t="s">
        <v>34</v>
      </c>
      <c r="E75" s="24" t="s">
        <v>194</v>
      </c>
      <c r="F75" s="18" t="s">
        <v>21</v>
      </c>
      <c r="G75" s="18">
        <v>5</v>
      </c>
      <c r="H75" s="102">
        <v>24.7</v>
      </c>
      <c r="I75" s="14">
        <f t="shared" si="51"/>
        <v>3.7840400000000001</v>
      </c>
      <c r="J75" s="14">
        <f t="shared" si="58"/>
        <v>28.48404</v>
      </c>
      <c r="K75" s="14">
        <f t="shared" si="53"/>
        <v>8.5452119999999999E-3</v>
      </c>
      <c r="L75" s="14">
        <f t="shared" si="59"/>
        <v>28.475494787999999</v>
      </c>
      <c r="M75" s="14">
        <f t="shared" si="60"/>
        <v>142.37747393999999</v>
      </c>
      <c r="N75" s="14" t="e">
        <f>M75/M$33</f>
        <v>#DIV/0!</v>
      </c>
      <c r="O75" s="184"/>
    </row>
    <row r="76" spans="1:119" s="19" customFormat="1" ht="17.100000000000001" customHeight="1" x14ac:dyDescent="0.2">
      <c r="A76" s="18" t="s">
        <v>123</v>
      </c>
      <c r="B76" s="18" t="s">
        <v>81</v>
      </c>
      <c r="C76" s="23">
        <v>10515</v>
      </c>
      <c r="D76" s="18" t="s">
        <v>34</v>
      </c>
      <c r="E76" s="24" t="s">
        <v>137</v>
      </c>
      <c r="F76" s="18" t="s">
        <v>124</v>
      </c>
      <c r="G76" s="18"/>
      <c r="H76" s="102">
        <v>45.08</v>
      </c>
      <c r="I76" s="14">
        <f t="shared" si="51"/>
        <v>6.906256</v>
      </c>
      <c r="J76" s="14">
        <f t="shared" si="58"/>
        <v>51.986255999999997</v>
      </c>
      <c r="K76" s="14">
        <f t="shared" si="53"/>
        <v>1.5595876799999998E-2</v>
      </c>
      <c r="L76" s="14">
        <f t="shared" si="59"/>
        <v>51.970660123199998</v>
      </c>
      <c r="M76" s="14">
        <f t="shared" si="60"/>
        <v>0</v>
      </c>
      <c r="N76" s="14">
        <f t="shared" si="35"/>
        <v>0</v>
      </c>
      <c r="O76" s="184"/>
    </row>
    <row r="77" spans="1:119" s="45" customFormat="1" ht="15" customHeight="1" x14ac:dyDescent="0.3">
      <c r="A77" s="18" t="s">
        <v>121</v>
      </c>
      <c r="B77" s="18" t="s">
        <v>81</v>
      </c>
      <c r="C77" s="18">
        <v>44463</v>
      </c>
      <c r="D77" s="18" t="s">
        <v>34</v>
      </c>
      <c r="E77" s="46" t="s">
        <v>138</v>
      </c>
      <c r="F77" s="18" t="s">
        <v>21</v>
      </c>
      <c r="G77" s="18"/>
      <c r="H77" s="101">
        <v>1.84</v>
      </c>
      <c r="I77" s="14">
        <f t="shared" si="51"/>
        <v>0.28188800000000003</v>
      </c>
      <c r="J77" s="14">
        <f t="shared" si="58"/>
        <v>2.1218880000000002</v>
      </c>
      <c r="K77" s="14">
        <f t="shared" si="53"/>
        <v>6.365664E-4</v>
      </c>
      <c r="L77" s="14">
        <f t="shared" si="59"/>
        <v>2.1212514336000003</v>
      </c>
      <c r="M77" s="14">
        <f t="shared" si="60"/>
        <v>0</v>
      </c>
      <c r="N77" s="14" t="e">
        <f t="shared" si="35"/>
        <v>#DIV/0!</v>
      </c>
      <c r="O77" s="184"/>
    </row>
    <row r="78" spans="1:119" s="19" customFormat="1" ht="17.100000000000001" customHeight="1" x14ac:dyDescent="0.2">
      <c r="A78" s="18" t="s">
        <v>230</v>
      </c>
      <c r="B78" s="18" t="s">
        <v>81</v>
      </c>
      <c r="C78" s="23">
        <v>44538</v>
      </c>
      <c r="D78" s="18" t="s">
        <v>34</v>
      </c>
      <c r="E78" s="24" t="s">
        <v>139</v>
      </c>
      <c r="F78" s="18" t="s">
        <v>21</v>
      </c>
      <c r="G78" s="18"/>
      <c r="H78" s="104">
        <v>57.83</v>
      </c>
      <c r="I78" s="14">
        <f t="shared" si="51"/>
        <v>8.8595559999999995</v>
      </c>
      <c r="J78" s="14">
        <f t="shared" si="58"/>
        <v>66.689555999999996</v>
      </c>
      <c r="K78" s="14">
        <f t="shared" si="53"/>
        <v>2.0006866799999998E-2</v>
      </c>
      <c r="L78" s="14">
        <f t="shared" si="59"/>
        <v>66.669549133199993</v>
      </c>
      <c r="M78" s="14">
        <f t="shared" si="60"/>
        <v>0</v>
      </c>
      <c r="N78" s="14" t="e">
        <f t="shared" si="35"/>
        <v>#DIV/0!</v>
      </c>
      <c r="O78" s="184"/>
    </row>
    <row r="79" spans="1:119" s="19" customFormat="1" ht="17.100000000000001" customHeight="1" x14ac:dyDescent="0.2">
      <c r="A79" s="18" t="s">
        <v>231</v>
      </c>
      <c r="B79" s="18" t="s">
        <v>81</v>
      </c>
      <c r="C79" s="47" t="s">
        <v>128</v>
      </c>
      <c r="D79" s="47" t="s">
        <v>129</v>
      </c>
      <c r="E79" s="67" t="s">
        <v>130</v>
      </c>
      <c r="F79" s="18" t="s">
        <v>21</v>
      </c>
      <c r="G79" s="47"/>
      <c r="H79" s="103">
        <v>460.86</v>
      </c>
      <c r="I79" s="14">
        <f t="shared" si="51"/>
        <v>70.603752</v>
      </c>
      <c r="J79" s="14">
        <f t="shared" ref="J79" si="61">H79+I79</f>
        <v>531.463752</v>
      </c>
      <c r="K79" s="14">
        <f t="shared" si="53"/>
        <v>0.15943912559999998</v>
      </c>
      <c r="L79" s="14">
        <f t="shared" ref="L79" si="62">J79-K79</f>
        <v>531.30431287440001</v>
      </c>
      <c r="M79" s="14">
        <f t="shared" ref="M79" si="63">L79*G79</f>
        <v>0</v>
      </c>
      <c r="N79" s="14" t="e">
        <f>M79/#REF!</f>
        <v>#REF!</v>
      </c>
      <c r="O79" s="184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2"/>
      <c r="BK79" s="42"/>
      <c r="BL79" s="42"/>
      <c r="BM79" s="42"/>
      <c r="BN79" s="42"/>
      <c r="BO79" s="42"/>
      <c r="BP79" s="42"/>
      <c r="BQ79" s="42"/>
      <c r="BR79" s="42"/>
      <c r="BS79" s="42"/>
      <c r="BT79" s="42"/>
      <c r="BU79" s="42"/>
      <c r="BV79" s="42"/>
      <c r="BW79" s="42"/>
      <c r="BX79" s="42"/>
      <c r="BY79" s="42"/>
      <c r="BZ79" s="42"/>
      <c r="CA79" s="42"/>
      <c r="CB79" s="42"/>
      <c r="CC79" s="42"/>
      <c r="CD79" s="42"/>
      <c r="CE79" s="42"/>
      <c r="CF79" s="42"/>
      <c r="CG79" s="42"/>
      <c r="CH79" s="42"/>
      <c r="CI79" s="42"/>
      <c r="CJ79" s="42"/>
      <c r="CK79" s="42"/>
      <c r="CL79" s="42"/>
      <c r="CM79" s="42"/>
      <c r="CN79" s="42"/>
      <c r="CO79" s="42"/>
      <c r="CP79" s="42"/>
      <c r="CQ79" s="42"/>
      <c r="CR79" s="42"/>
      <c r="CS79" s="42"/>
      <c r="CT79" s="42"/>
      <c r="CU79" s="42"/>
      <c r="CV79" s="42"/>
      <c r="CW79" s="42"/>
      <c r="CX79" s="42"/>
      <c r="CY79" s="42"/>
      <c r="CZ79" s="42"/>
      <c r="DA79" s="42"/>
      <c r="DB79" s="42"/>
      <c r="DC79" s="42"/>
      <c r="DD79" s="42"/>
      <c r="DE79" s="42"/>
      <c r="DF79" s="42"/>
      <c r="DG79" s="42"/>
      <c r="DH79" s="42"/>
      <c r="DI79" s="42"/>
      <c r="DJ79" s="42"/>
      <c r="DK79" s="42"/>
      <c r="DL79" s="42"/>
      <c r="DM79" s="42"/>
      <c r="DN79" s="42"/>
      <c r="DO79" s="42"/>
    </row>
    <row r="80" spans="1:119" s="42" customFormat="1" ht="17.25" customHeight="1" x14ac:dyDescent="0.3">
      <c r="A80" s="18"/>
      <c r="B80" s="18"/>
      <c r="C80" s="47"/>
      <c r="D80" s="47"/>
      <c r="E80" s="65"/>
      <c r="F80" s="18"/>
      <c r="G80" s="47"/>
      <c r="H80" s="48"/>
      <c r="I80" s="14"/>
      <c r="J80" s="14"/>
      <c r="K80" s="14"/>
      <c r="L80" s="14"/>
      <c r="M80" s="14"/>
      <c r="N80" s="14"/>
      <c r="O80" s="184"/>
    </row>
    <row r="81" spans="1:15" s="42" customFormat="1" ht="17.25" customHeight="1" x14ac:dyDescent="0.3">
      <c r="A81" s="18"/>
      <c r="B81" s="18"/>
      <c r="C81" s="18"/>
      <c r="D81" s="18"/>
      <c r="E81" s="43"/>
      <c r="F81" s="18"/>
      <c r="G81" s="18"/>
      <c r="H81" s="41"/>
      <c r="I81" s="14"/>
      <c r="J81" s="14"/>
      <c r="K81" s="14"/>
      <c r="L81" s="14"/>
      <c r="M81" s="14"/>
      <c r="N81" s="14"/>
      <c r="O81" s="184"/>
    </row>
    <row r="82" spans="1:15" s="19" customFormat="1" ht="17.25" customHeight="1" x14ac:dyDescent="0.2">
      <c r="A82" s="18"/>
      <c r="B82" s="18"/>
      <c r="C82" s="23"/>
      <c r="D82" s="18"/>
      <c r="E82" s="24"/>
      <c r="F82" s="18"/>
      <c r="G82" s="18"/>
      <c r="H82" s="26"/>
      <c r="I82" s="14"/>
      <c r="J82" s="14"/>
      <c r="K82" s="14"/>
      <c r="L82" s="14"/>
      <c r="M82" s="14"/>
      <c r="N82" s="14"/>
      <c r="O82" s="184"/>
    </row>
    <row r="83" spans="1:15" s="27" customFormat="1" ht="17.100000000000001" customHeight="1" x14ac:dyDescent="0.3">
      <c r="A83" s="200" t="s">
        <v>16</v>
      </c>
      <c r="B83" s="139" t="s">
        <v>17</v>
      </c>
      <c r="C83" s="139" t="s">
        <v>18</v>
      </c>
      <c r="D83" s="139" t="s">
        <v>19</v>
      </c>
      <c r="E83" s="139" t="s">
        <v>20</v>
      </c>
      <c r="F83" s="139" t="s">
        <v>21</v>
      </c>
      <c r="G83" s="139" t="s">
        <v>22</v>
      </c>
      <c r="H83" s="141" t="s">
        <v>23</v>
      </c>
      <c r="I83" s="141"/>
      <c r="J83" s="141"/>
      <c r="K83" s="141"/>
      <c r="L83" s="142"/>
      <c r="M83" s="139" t="s">
        <v>24</v>
      </c>
      <c r="N83" s="139" t="s">
        <v>25</v>
      </c>
      <c r="O83" s="116"/>
    </row>
    <row r="84" spans="1:15" s="27" customFormat="1" ht="17.100000000000001" customHeight="1" x14ac:dyDescent="0.3">
      <c r="A84" s="201"/>
      <c r="B84" s="140"/>
      <c r="C84" s="140"/>
      <c r="D84" s="140"/>
      <c r="E84" s="140"/>
      <c r="F84" s="140"/>
      <c r="G84" s="140"/>
      <c r="H84" s="4" t="s">
        <v>27</v>
      </c>
      <c r="I84" s="4" t="s">
        <v>28</v>
      </c>
      <c r="J84" s="4" t="s">
        <v>29</v>
      </c>
      <c r="K84" s="4" t="s">
        <v>53</v>
      </c>
      <c r="L84" s="4" t="s">
        <v>30</v>
      </c>
      <c r="M84" s="140"/>
      <c r="N84" s="140"/>
      <c r="O84" s="116"/>
    </row>
    <row r="85" spans="1:15" s="28" customFormat="1" ht="17.100000000000001" customHeight="1" x14ac:dyDescent="0.2">
      <c r="A85" s="29">
        <v>3</v>
      </c>
      <c r="B85" s="187" t="s">
        <v>38</v>
      </c>
      <c r="C85" s="188"/>
      <c r="D85" s="188"/>
      <c r="E85" s="188"/>
      <c r="F85" s="189"/>
      <c r="G85" s="30"/>
      <c r="H85" s="30"/>
      <c r="I85" s="30"/>
      <c r="J85" s="30"/>
      <c r="K85" s="30"/>
      <c r="L85" s="30"/>
      <c r="M85" s="31">
        <f>SUM(M86:M109)</f>
        <v>56339.363729456803</v>
      </c>
      <c r="N85" s="30"/>
      <c r="O85" s="116"/>
    </row>
    <row r="86" spans="1:15" s="28" customFormat="1" ht="26.25" customHeight="1" x14ac:dyDescent="0.2">
      <c r="A86" s="32" t="s">
        <v>76</v>
      </c>
      <c r="B86" s="32" t="s">
        <v>33</v>
      </c>
      <c r="C86" s="32" t="s">
        <v>58</v>
      </c>
      <c r="D86" s="32" t="s">
        <v>34</v>
      </c>
      <c r="E86" s="33" t="s">
        <v>59</v>
      </c>
      <c r="F86" s="34" t="s">
        <v>35</v>
      </c>
      <c r="G86" s="11">
        <v>180</v>
      </c>
      <c r="H86" s="83">
        <v>34.08</v>
      </c>
      <c r="I86" s="35">
        <f>H86*0.2232</f>
        <v>7.6066560000000001</v>
      </c>
      <c r="J86" s="35">
        <f>H86+I86</f>
        <v>41.686655999999999</v>
      </c>
      <c r="K86" s="35">
        <f>J86*(0.03%)</f>
        <v>1.2505996799999999E-2</v>
      </c>
      <c r="L86" s="35">
        <f>J86-K86</f>
        <v>41.674150003199998</v>
      </c>
      <c r="M86" s="35">
        <f>L86*G86</f>
        <v>7501.3470005759991</v>
      </c>
      <c r="N86" s="35">
        <f>M86/M$16</f>
        <v>7.6348380807960609E-2</v>
      </c>
      <c r="O86" s="184"/>
    </row>
    <row r="87" spans="1:15" s="28" customFormat="1" ht="23.25" customHeight="1" x14ac:dyDescent="0.2">
      <c r="A87" s="32" t="s">
        <v>78</v>
      </c>
      <c r="B87" s="32" t="s">
        <v>33</v>
      </c>
      <c r="C87" s="32" t="s">
        <v>60</v>
      </c>
      <c r="D87" s="32" t="s">
        <v>34</v>
      </c>
      <c r="E87" s="33" t="s">
        <v>61</v>
      </c>
      <c r="F87" s="34" t="s">
        <v>35</v>
      </c>
      <c r="G87" s="11">
        <v>180</v>
      </c>
      <c r="H87" s="83">
        <v>32.08</v>
      </c>
      <c r="I87" s="35">
        <f>H87*0.2232</f>
        <v>7.1602559999999995</v>
      </c>
      <c r="J87" s="35">
        <f>H87+I87</f>
        <v>39.240255999999995</v>
      </c>
      <c r="K87" s="35">
        <f>J87*(0.03%)</f>
        <v>1.1772076799999998E-2</v>
      </c>
      <c r="L87" s="35">
        <f>J87-K87</f>
        <v>39.228483923199995</v>
      </c>
      <c r="M87" s="35">
        <f>L87*G87</f>
        <v>7061.127106175999</v>
      </c>
      <c r="N87" s="35">
        <f>M87/M$16</f>
        <v>7.1867842028150705E-2</v>
      </c>
      <c r="O87" s="184"/>
    </row>
    <row r="88" spans="1:15" s="28" customFormat="1" ht="23.25" customHeight="1" x14ac:dyDescent="0.2">
      <c r="A88" s="11" t="s">
        <v>77</v>
      </c>
      <c r="B88" s="11" t="s">
        <v>33</v>
      </c>
      <c r="C88" s="11">
        <v>88310</v>
      </c>
      <c r="D88" s="11" t="s">
        <v>34</v>
      </c>
      <c r="E88" s="20" t="s">
        <v>79</v>
      </c>
      <c r="F88" s="13" t="s">
        <v>35</v>
      </c>
      <c r="G88" s="11">
        <v>180</v>
      </c>
      <c r="H88" s="83">
        <v>36.82</v>
      </c>
      <c r="I88" s="14">
        <f>H88*0.2232</f>
        <v>8.2182240000000011</v>
      </c>
      <c r="J88" s="14">
        <f>H88+I88</f>
        <v>45.038224</v>
      </c>
      <c r="K88" s="14">
        <f>J88*(0.03%)</f>
        <v>1.3511467199999998E-2</v>
      </c>
      <c r="L88" s="14">
        <f>J88-K88</f>
        <v>45.024712532800002</v>
      </c>
      <c r="M88" s="14">
        <f>L88*G88</f>
        <v>8104.4482559040007</v>
      </c>
      <c r="N88" s="14">
        <f>M88/M$16</f>
        <v>8.2486718936300177E-2</v>
      </c>
      <c r="O88" s="184"/>
    </row>
    <row r="89" spans="1:15" s="28" customFormat="1" ht="23.25" customHeight="1" x14ac:dyDescent="0.2">
      <c r="A89" s="195" t="s">
        <v>195</v>
      </c>
      <c r="B89" s="195"/>
      <c r="C89" s="195"/>
      <c r="D89" s="195"/>
      <c r="E89" s="195"/>
      <c r="F89" s="195"/>
      <c r="G89" s="195"/>
      <c r="H89" s="195"/>
      <c r="I89" s="195"/>
      <c r="J89" s="195"/>
      <c r="K89" s="195"/>
      <c r="L89" s="195"/>
      <c r="M89" s="195"/>
      <c r="N89" s="195"/>
      <c r="O89" s="184"/>
    </row>
    <row r="90" spans="1:15" s="28" customFormat="1" ht="44.4" customHeight="1" x14ac:dyDescent="0.2">
      <c r="A90" s="11" t="s">
        <v>80</v>
      </c>
      <c r="B90" s="11" t="s">
        <v>33</v>
      </c>
      <c r="C90" s="93">
        <v>92106</v>
      </c>
      <c r="D90" s="11" t="s">
        <v>34</v>
      </c>
      <c r="E90" s="20" t="s">
        <v>140</v>
      </c>
      <c r="F90" s="13" t="s">
        <v>141</v>
      </c>
      <c r="G90" s="11">
        <v>8</v>
      </c>
      <c r="H90" s="83">
        <v>366.03</v>
      </c>
      <c r="I90" s="40">
        <f t="shared" ref="I90" si="64">H90*0.2232</f>
        <v>81.697896</v>
      </c>
      <c r="J90" s="40">
        <f t="shared" ref="J90" si="65">H90+I90</f>
        <v>447.72789599999999</v>
      </c>
      <c r="K90" s="40">
        <f t="shared" ref="K90" si="66">J90*(0.03%)</f>
        <v>0.13431836879999998</v>
      </c>
      <c r="L90" s="40">
        <f t="shared" ref="L90" si="67">J90-K90</f>
        <v>447.59357763119999</v>
      </c>
      <c r="M90" s="40">
        <f t="shared" ref="M90" si="68">L90*G90</f>
        <v>3580.7486210495999</v>
      </c>
      <c r="N90" s="35">
        <f t="shared" ref="N90" si="69">M90/M$16</f>
        <v>3.6444702434973685E-2</v>
      </c>
      <c r="O90" s="184"/>
    </row>
    <row r="91" spans="1:15" s="28" customFormat="1" ht="23.25" customHeight="1" x14ac:dyDescent="0.2">
      <c r="A91" s="106" t="s">
        <v>200</v>
      </c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7"/>
      <c r="N91" s="35"/>
      <c r="O91" s="184"/>
    </row>
    <row r="92" spans="1:15" s="28" customFormat="1" ht="23.25" customHeight="1" x14ac:dyDescent="0.2">
      <c r="A92" s="40" t="s">
        <v>125</v>
      </c>
      <c r="B92" s="32" t="s">
        <v>33</v>
      </c>
      <c r="C92" s="56">
        <v>102805</v>
      </c>
      <c r="D92" s="56" t="s">
        <v>34</v>
      </c>
      <c r="E92" s="80" t="s">
        <v>203</v>
      </c>
      <c r="F92" s="56" t="s">
        <v>147</v>
      </c>
      <c r="G92" s="56">
        <v>22.8</v>
      </c>
      <c r="H92" s="89">
        <v>74.11</v>
      </c>
      <c r="I92" s="40">
        <f>H92*0.2232</f>
        <v>16.541352</v>
      </c>
      <c r="J92" s="40">
        <f>H92+I92</f>
        <v>90.651352000000003</v>
      </c>
      <c r="K92" s="40">
        <f>J92*(0.03%)</f>
        <v>2.71954056E-2</v>
      </c>
      <c r="L92" s="40">
        <f>J92-K92</f>
        <v>90.624156594400006</v>
      </c>
      <c r="M92" s="40">
        <f>L92*G92</f>
        <v>2066.2307703523202</v>
      </c>
      <c r="N92" s="35">
        <f>M92/M$16</f>
        <v>2.1030006168208385E-2</v>
      </c>
      <c r="O92" s="184"/>
    </row>
    <row r="93" spans="1:15" s="28" customFormat="1" ht="23.25" customHeight="1" x14ac:dyDescent="0.2">
      <c r="A93" s="40" t="s">
        <v>126</v>
      </c>
      <c r="B93" s="32" t="s">
        <v>33</v>
      </c>
      <c r="C93" s="56">
        <v>100746</v>
      </c>
      <c r="D93" s="56" t="s">
        <v>34</v>
      </c>
      <c r="E93" s="79" t="s">
        <v>197</v>
      </c>
      <c r="F93" s="56" t="s">
        <v>147</v>
      </c>
      <c r="G93" s="56">
        <f>2.1*0.8*2*4</f>
        <v>13.440000000000001</v>
      </c>
      <c r="H93" s="88">
        <v>31.09</v>
      </c>
      <c r="I93" s="40">
        <f>H93*0.2232</f>
        <v>6.9392880000000003</v>
      </c>
      <c r="J93" s="40">
        <f>H93+I93</f>
        <v>38.029288000000001</v>
      </c>
      <c r="K93" s="40">
        <f>J93*(0.03%)</f>
        <v>1.1408786399999999E-2</v>
      </c>
      <c r="L93" s="40">
        <f>J93-K93</f>
        <v>38.017879213600004</v>
      </c>
      <c r="M93" s="40">
        <f>L93*G93</f>
        <v>510.96029663078411</v>
      </c>
      <c r="N93" s="35">
        <f>M93/M$16</f>
        <v>5.2005314914668147E-3</v>
      </c>
      <c r="O93" s="184"/>
    </row>
    <row r="94" spans="1:15" s="28" customFormat="1" ht="23.25" customHeight="1" x14ac:dyDescent="0.2">
      <c r="A94" s="106" t="s">
        <v>201</v>
      </c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7"/>
      <c r="N94" s="14"/>
      <c r="O94" s="184"/>
    </row>
    <row r="95" spans="1:15" s="28" customFormat="1" ht="23.25" customHeight="1" x14ac:dyDescent="0.2">
      <c r="A95" s="40" t="s">
        <v>95</v>
      </c>
      <c r="B95" s="82" t="s">
        <v>33</v>
      </c>
      <c r="C95" s="56">
        <v>100746</v>
      </c>
      <c r="D95" s="56" t="s">
        <v>34</v>
      </c>
      <c r="E95" s="79" t="s">
        <v>197</v>
      </c>
      <c r="F95" s="56" t="s">
        <v>147</v>
      </c>
      <c r="G95" s="56">
        <v>15</v>
      </c>
      <c r="H95" s="88">
        <v>31.09</v>
      </c>
      <c r="I95" s="40">
        <f>H95*0.2232</f>
        <v>6.9392880000000003</v>
      </c>
      <c r="J95" s="40">
        <f>H95+I95</f>
        <v>38.029288000000001</v>
      </c>
      <c r="K95" s="40">
        <f>J95*(0.03%)</f>
        <v>1.1408786399999999E-2</v>
      </c>
      <c r="L95" s="40">
        <f>J95-K95</f>
        <v>38.017879213600004</v>
      </c>
      <c r="M95" s="40">
        <f>L95*G95</f>
        <v>570.26818820400001</v>
      </c>
      <c r="N95" s="35">
        <f>M95/M$16</f>
        <v>5.8041646110120687E-3</v>
      </c>
      <c r="O95" s="184"/>
    </row>
    <row r="96" spans="1:15" s="28" customFormat="1" ht="23.25" customHeight="1" x14ac:dyDescent="0.2">
      <c r="A96" s="106" t="s">
        <v>202</v>
      </c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7"/>
      <c r="N96" s="35"/>
      <c r="O96" s="184"/>
    </row>
    <row r="97" spans="1:16" s="28" customFormat="1" ht="23.25" customHeight="1" x14ac:dyDescent="0.2">
      <c r="A97" s="40" t="s">
        <v>96</v>
      </c>
      <c r="B97" s="82" t="s">
        <v>33</v>
      </c>
      <c r="C97" s="56" t="s">
        <v>160</v>
      </c>
      <c r="D97" s="56" t="s">
        <v>34</v>
      </c>
      <c r="E97" s="57" t="s">
        <v>161</v>
      </c>
      <c r="F97" s="56" t="s">
        <v>124</v>
      </c>
      <c r="G97" s="56">
        <f>1.5*15</f>
        <v>22.5</v>
      </c>
      <c r="H97" s="90">
        <v>14.98</v>
      </c>
      <c r="I97" s="40">
        <f t="shared" ref="I97" si="70">H97*0.2232</f>
        <v>3.3435360000000003</v>
      </c>
      <c r="J97" s="40">
        <f t="shared" ref="J97" si="71">H97+I97</f>
        <v>18.323536000000001</v>
      </c>
      <c r="K97" s="40">
        <f t="shared" ref="K97" si="72">J97*(0.03%)</f>
        <v>5.4970608000000001E-3</v>
      </c>
      <c r="L97" s="40">
        <f t="shared" ref="L97" si="73">J97-K97</f>
        <v>18.318038939200001</v>
      </c>
      <c r="M97" s="40">
        <f t="shared" ref="M97" si="74">L97*G97</f>
        <v>412.155876132</v>
      </c>
      <c r="N97" s="35">
        <f>M97/M85</f>
        <v>7.3155933764389672E-3</v>
      </c>
      <c r="O97" s="184"/>
    </row>
    <row r="98" spans="1:16" s="28" customFormat="1" ht="23.25" customHeight="1" x14ac:dyDescent="0.2">
      <c r="A98" s="106" t="s">
        <v>204</v>
      </c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7"/>
      <c r="N98" s="14"/>
      <c r="O98" s="184"/>
    </row>
    <row r="99" spans="1:16" s="28" customFormat="1" ht="23.25" customHeight="1" x14ac:dyDescent="0.2">
      <c r="A99" s="40" t="s">
        <v>127</v>
      </c>
      <c r="B99" s="32" t="s">
        <v>33</v>
      </c>
      <c r="C99" s="56" t="s">
        <v>160</v>
      </c>
      <c r="D99" s="56" t="s">
        <v>34</v>
      </c>
      <c r="E99" s="57" t="s">
        <v>161</v>
      </c>
      <c r="F99" s="56" t="s">
        <v>124</v>
      </c>
      <c r="G99" s="56">
        <f>6.67+11.31</f>
        <v>17.98</v>
      </c>
      <c r="H99" s="89">
        <v>14.98</v>
      </c>
      <c r="I99" s="40">
        <f t="shared" ref="I99:I101" si="75">H99*0.2232</f>
        <v>3.3435360000000003</v>
      </c>
      <c r="J99" s="40">
        <f t="shared" ref="J99:J101" si="76">H99+I99</f>
        <v>18.323536000000001</v>
      </c>
      <c r="K99" s="40">
        <f t="shared" ref="K99:K101" si="77">J99*(0.03%)</f>
        <v>5.4970608000000001E-3</v>
      </c>
      <c r="L99" s="40">
        <f t="shared" ref="L99:L101" si="78">J99-K99</f>
        <v>18.318038939200001</v>
      </c>
      <c r="M99" s="40">
        <f t="shared" ref="M99:M101" si="79">L99*G99</f>
        <v>329.35834012681602</v>
      </c>
      <c r="N99" s="35">
        <f t="shared" ref="N99:N101" si="80">M99/M$16</f>
        <v>3.3521947421375257E-3</v>
      </c>
      <c r="O99" s="184"/>
    </row>
    <row r="100" spans="1:16" s="28" customFormat="1" ht="23.25" customHeight="1" x14ac:dyDescent="0.2">
      <c r="A100" s="40" t="s">
        <v>97</v>
      </c>
      <c r="B100" s="32" t="s">
        <v>33</v>
      </c>
      <c r="C100" s="56">
        <v>88488</v>
      </c>
      <c r="D100" s="56" t="s">
        <v>34</v>
      </c>
      <c r="E100" s="57" t="s">
        <v>162</v>
      </c>
      <c r="F100" s="56" t="s">
        <v>147</v>
      </c>
      <c r="G100" s="56">
        <v>8.9700000000000006</v>
      </c>
      <c r="H100" s="89">
        <v>17.97</v>
      </c>
      <c r="I100" s="40">
        <f t="shared" si="75"/>
        <v>4.010904</v>
      </c>
      <c r="J100" s="40">
        <f t="shared" si="76"/>
        <v>21.980903999999999</v>
      </c>
      <c r="K100" s="40">
        <f t="shared" si="77"/>
        <v>6.5942711999999988E-3</v>
      </c>
      <c r="L100" s="40">
        <f t="shared" si="78"/>
        <v>21.974309728799998</v>
      </c>
      <c r="M100" s="40">
        <f t="shared" si="79"/>
        <v>197.10955826733598</v>
      </c>
      <c r="N100" s="35">
        <f t="shared" si="80"/>
        <v>2.0061724400068301E-3</v>
      </c>
      <c r="O100" s="184"/>
    </row>
    <row r="101" spans="1:16" s="28" customFormat="1" ht="23.25" customHeight="1" x14ac:dyDescent="0.2">
      <c r="A101" s="40" t="s">
        <v>98</v>
      </c>
      <c r="B101" s="32" t="s">
        <v>33</v>
      </c>
      <c r="C101" s="56">
        <v>96135</v>
      </c>
      <c r="D101" s="56" t="s">
        <v>34</v>
      </c>
      <c r="E101" s="57" t="s">
        <v>163</v>
      </c>
      <c r="F101" s="56" t="s">
        <v>147</v>
      </c>
      <c r="G101" s="56">
        <v>2</v>
      </c>
      <c r="H101" s="91">
        <v>36.119999999999997</v>
      </c>
      <c r="I101" s="40">
        <f t="shared" si="75"/>
        <v>8.0619839999999989</v>
      </c>
      <c r="J101" s="40">
        <f t="shared" si="76"/>
        <v>44.181984</v>
      </c>
      <c r="K101" s="40">
        <f t="shared" si="77"/>
        <v>1.3254595199999998E-2</v>
      </c>
      <c r="L101" s="40">
        <f t="shared" si="78"/>
        <v>44.168729404799997</v>
      </c>
      <c r="M101" s="40">
        <f t="shared" si="79"/>
        <v>88.337458809599994</v>
      </c>
      <c r="N101" s="35">
        <f t="shared" si="80"/>
        <v>8.9909478181518553E-4</v>
      </c>
      <c r="O101" s="184"/>
    </row>
    <row r="102" spans="1:16" s="28" customFormat="1" ht="23.25" customHeight="1" x14ac:dyDescent="0.2">
      <c r="A102" s="108" t="s">
        <v>210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9"/>
      <c r="N102" s="35"/>
      <c r="O102" s="184"/>
    </row>
    <row r="103" spans="1:16" s="28" customFormat="1" ht="23.25" customHeight="1" x14ac:dyDescent="0.2">
      <c r="A103" s="40" t="s">
        <v>205</v>
      </c>
      <c r="B103" s="32" t="s">
        <v>33</v>
      </c>
      <c r="C103" s="56" t="s">
        <v>160</v>
      </c>
      <c r="D103" s="56" t="s">
        <v>34</v>
      </c>
      <c r="E103" s="57" t="s">
        <v>161</v>
      </c>
      <c r="F103" s="56" t="s">
        <v>124</v>
      </c>
      <c r="G103" s="56">
        <v>892</v>
      </c>
      <c r="H103" s="89">
        <v>14.98</v>
      </c>
      <c r="I103" s="40">
        <f t="shared" ref="I103" si="81">H103*0.2232</f>
        <v>3.3435360000000003</v>
      </c>
      <c r="J103" s="40">
        <f t="shared" ref="J103" si="82">H103+I103</f>
        <v>18.323536000000001</v>
      </c>
      <c r="K103" s="40">
        <f t="shared" ref="K103" si="83">J103*(0.03%)</f>
        <v>5.4970608000000001E-3</v>
      </c>
      <c r="L103" s="40">
        <f t="shared" ref="L103" si="84">J103-K103</f>
        <v>18.318038939200001</v>
      </c>
      <c r="M103" s="40">
        <f t="shared" ref="M103" si="85">L103*G103</f>
        <v>16339.690733766402</v>
      </c>
      <c r="N103" s="35">
        <f t="shared" ref="N103" si="86">M103/M$16</f>
        <v>0.16630465572784608</v>
      </c>
      <c r="O103" s="184"/>
    </row>
    <row r="104" spans="1:16" s="28" customFormat="1" ht="23.25" customHeight="1" x14ac:dyDescent="0.2">
      <c r="A104" s="81" t="s">
        <v>206</v>
      </c>
      <c r="B104" s="82" t="s">
        <v>33</v>
      </c>
      <c r="C104" s="56">
        <v>100746</v>
      </c>
      <c r="D104" s="56" t="s">
        <v>34</v>
      </c>
      <c r="E104" s="79" t="s">
        <v>197</v>
      </c>
      <c r="F104" s="56" t="s">
        <v>147</v>
      </c>
      <c r="G104" s="56">
        <v>72</v>
      </c>
      <c r="H104" s="88">
        <v>31.09</v>
      </c>
      <c r="I104" s="40">
        <f>H104*0.2232</f>
        <v>6.9392880000000003</v>
      </c>
      <c r="J104" s="40">
        <f>H104+I104</f>
        <v>38.029288000000001</v>
      </c>
      <c r="K104" s="40">
        <f>J104*(0.03%)</f>
        <v>1.1408786399999999E-2</v>
      </c>
      <c r="L104" s="40">
        <f>J104-K104</f>
        <v>38.017879213600004</v>
      </c>
      <c r="M104" s="40">
        <f>L104*G104</f>
        <v>2737.2873033792002</v>
      </c>
      <c r="N104" s="35">
        <f>M104/M$16</f>
        <v>2.7859990132857931E-2</v>
      </c>
      <c r="O104" s="184"/>
    </row>
    <row r="105" spans="1:16" s="28" customFormat="1" ht="23.25" customHeight="1" x14ac:dyDescent="0.2">
      <c r="A105" s="108" t="s">
        <v>196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9"/>
      <c r="N105" s="35"/>
      <c r="O105" s="184"/>
    </row>
    <row r="106" spans="1:16" s="28" customFormat="1" ht="23.25" customHeight="1" x14ac:dyDescent="0.2">
      <c r="A106" s="40" t="s">
        <v>207</v>
      </c>
      <c r="B106" s="32" t="s">
        <v>33</v>
      </c>
      <c r="C106" s="92">
        <v>101447</v>
      </c>
      <c r="D106" s="56" t="s">
        <v>34</v>
      </c>
      <c r="E106" s="57" t="s">
        <v>199</v>
      </c>
      <c r="F106" s="56" t="s">
        <v>35</v>
      </c>
      <c r="G106" s="56">
        <v>32</v>
      </c>
      <c r="H106" s="91">
        <v>34.79</v>
      </c>
      <c r="I106" s="40">
        <f t="shared" ref="I106" si="87">H106*0.2232</f>
        <v>7.7651279999999998</v>
      </c>
      <c r="J106" s="40">
        <f t="shared" ref="J106" si="88">H106+I106</f>
        <v>42.555127999999996</v>
      </c>
      <c r="K106" s="40">
        <f t="shared" ref="K106" si="89">J106*(0.03%)</f>
        <v>1.2766538399999998E-2</v>
      </c>
      <c r="L106" s="40">
        <f t="shared" ref="L106" si="90">J106-K106</f>
        <v>42.542361461599995</v>
      </c>
      <c r="M106" s="40">
        <f t="shared" ref="M106" si="91">L106*G106</f>
        <v>1361.3555667711998</v>
      </c>
      <c r="N106" s="35">
        <f t="shared" ref="N106" si="92">M106/M$16</f>
        <v>1.3855817257740998E-2</v>
      </c>
      <c r="O106" s="184"/>
    </row>
    <row r="107" spans="1:16" s="28" customFormat="1" ht="23.25" customHeight="1" x14ac:dyDescent="0.2">
      <c r="A107" s="40" t="s">
        <v>208</v>
      </c>
      <c r="B107" s="32" t="s">
        <v>33</v>
      </c>
      <c r="C107" s="56">
        <v>100717</v>
      </c>
      <c r="D107" s="56" t="s">
        <v>34</v>
      </c>
      <c r="E107" s="57" t="s">
        <v>198</v>
      </c>
      <c r="F107" s="56" t="s">
        <v>147</v>
      </c>
      <c r="G107" s="56">
        <v>103.62</v>
      </c>
      <c r="H107" s="89">
        <v>12.15</v>
      </c>
      <c r="I107" s="40">
        <f t="shared" ref="I107" si="93">H107*0.2232</f>
        <v>2.7118800000000003</v>
      </c>
      <c r="J107" s="40">
        <f t="shared" ref="J107" si="94">H107+I107</f>
        <v>14.861880000000001</v>
      </c>
      <c r="K107" s="40">
        <f t="shared" ref="K107" si="95">J107*(0.03%)</f>
        <v>4.4585639999999999E-3</v>
      </c>
      <c r="L107" s="40">
        <f t="shared" ref="L107" si="96">J107-K107</f>
        <v>14.857421436000001</v>
      </c>
      <c r="M107" s="40">
        <f t="shared" ref="M107" si="97">L107*G107</f>
        <v>1539.5260091983203</v>
      </c>
      <c r="N107" s="35">
        <f t="shared" ref="N107" si="98">M107/M$16</f>
        <v>1.5669228207281671E-2</v>
      </c>
      <c r="O107" s="184"/>
    </row>
    <row r="108" spans="1:16" s="28" customFormat="1" ht="23.25" customHeight="1" x14ac:dyDescent="0.2">
      <c r="A108" s="40" t="s">
        <v>209</v>
      </c>
      <c r="B108" s="32" t="s">
        <v>33</v>
      </c>
      <c r="C108" s="56">
        <v>100746</v>
      </c>
      <c r="D108" s="56" t="s">
        <v>34</v>
      </c>
      <c r="E108" s="79" t="s">
        <v>197</v>
      </c>
      <c r="F108" s="56" t="s">
        <v>147</v>
      </c>
      <c r="G108" s="56">
        <v>103.62</v>
      </c>
      <c r="H108" s="88">
        <v>31.09</v>
      </c>
      <c r="I108" s="40">
        <f>H108*0.2232</f>
        <v>6.9392880000000003</v>
      </c>
      <c r="J108" s="40">
        <f>H108+I108</f>
        <v>38.029288000000001</v>
      </c>
      <c r="K108" s="40">
        <f>J108*(0.03%)</f>
        <v>1.1408786399999999E-2</v>
      </c>
      <c r="L108" s="40">
        <f>J108-K108</f>
        <v>38.017879213600004</v>
      </c>
      <c r="M108" s="40">
        <f>L108*G108</f>
        <v>3939.4126441132325</v>
      </c>
      <c r="N108" s="35">
        <f>M108/M$16</f>
        <v>4.0095169132871374E-2</v>
      </c>
      <c r="O108" s="184"/>
    </row>
    <row r="109" spans="1:16" s="28" customFormat="1" ht="23.25" customHeight="1" x14ac:dyDescent="0.2">
      <c r="A109" s="49"/>
      <c r="B109" s="11"/>
      <c r="C109" s="50"/>
      <c r="D109" s="11"/>
      <c r="E109" s="51"/>
      <c r="F109" s="50"/>
      <c r="G109" s="50"/>
      <c r="H109" s="52"/>
      <c r="I109" s="14"/>
      <c r="J109" s="14"/>
      <c r="K109" s="14"/>
      <c r="L109" s="14"/>
      <c r="M109" s="14"/>
      <c r="N109" s="14"/>
      <c r="O109" s="184"/>
    </row>
    <row r="110" spans="1:16" s="39" customFormat="1" ht="17.100000000000001" customHeight="1" x14ac:dyDescent="0.2">
      <c r="A110" s="36"/>
      <c r="B110" s="36"/>
      <c r="C110" s="36"/>
      <c r="D110" s="36"/>
      <c r="E110" s="36"/>
      <c r="F110" s="36"/>
      <c r="G110" s="36"/>
      <c r="H110" s="55"/>
      <c r="I110" s="36"/>
      <c r="J110" s="36"/>
      <c r="K110" s="36"/>
      <c r="L110" s="36"/>
      <c r="M110" s="36"/>
      <c r="N110" s="36"/>
      <c r="O110" s="184"/>
    </row>
    <row r="111" spans="1:16" s="39" customFormat="1" ht="17.100000000000001" customHeight="1" x14ac:dyDescent="0.2">
      <c r="A111" s="190"/>
      <c r="B111" s="191"/>
      <c r="C111" s="191"/>
      <c r="D111" s="191"/>
      <c r="E111" s="191"/>
      <c r="F111" s="191"/>
      <c r="G111" s="191"/>
      <c r="H111" s="37" t="s">
        <v>39</v>
      </c>
      <c r="I111" s="38"/>
      <c r="J111" s="192">
        <f>M16+M34+M85</f>
        <v>176140.91870414885</v>
      </c>
      <c r="K111" s="193"/>
      <c r="L111" s="193"/>
      <c r="M111" s="193"/>
      <c r="N111" s="194"/>
      <c r="O111" s="116"/>
      <c r="P111" s="44"/>
    </row>
    <row r="112" spans="1:16" ht="17.100000000000001" customHeight="1" x14ac:dyDescent="0.3">
      <c r="A112" s="172" t="s">
        <v>100</v>
      </c>
      <c r="B112" s="121"/>
      <c r="C112" s="121"/>
      <c r="D112" s="121"/>
      <c r="E112" s="121"/>
      <c r="F112" s="121"/>
      <c r="G112" s="121"/>
      <c r="H112" s="118"/>
      <c r="I112" s="118"/>
      <c r="J112" s="118"/>
      <c r="K112" s="118"/>
      <c r="L112" s="118"/>
      <c r="M112" s="118"/>
      <c r="N112" s="119"/>
      <c r="O112" s="116"/>
    </row>
    <row r="113" spans="1:15" ht="17.100000000000001" customHeight="1" x14ac:dyDescent="0.3">
      <c r="A113" s="120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2"/>
      <c r="O113" s="116"/>
    </row>
    <row r="114" spans="1:15" ht="17.100000000000001" customHeight="1" x14ac:dyDescent="0.3">
      <c r="A114" s="120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2"/>
      <c r="O114" s="116"/>
    </row>
    <row r="115" spans="1:15" ht="17.100000000000001" customHeight="1" x14ac:dyDescent="0.3">
      <c r="A115" s="120"/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2"/>
      <c r="O115" s="116"/>
    </row>
    <row r="116" spans="1:15" ht="17.100000000000001" customHeight="1" x14ac:dyDescent="0.3">
      <c r="A116" s="120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2"/>
      <c r="O116" s="116"/>
    </row>
    <row r="117" spans="1:15" ht="17.100000000000001" customHeight="1" x14ac:dyDescent="0.3">
      <c r="A117" s="120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2"/>
      <c r="O117" s="116"/>
    </row>
    <row r="118" spans="1:15" ht="17.100000000000001" customHeight="1" x14ac:dyDescent="0.3">
      <c r="A118" s="123"/>
      <c r="B118" s="124"/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5"/>
      <c r="O118" s="116"/>
    </row>
    <row r="119" spans="1:15" ht="17.100000000000001" customHeight="1" x14ac:dyDescent="0.3">
      <c r="A119" s="147"/>
      <c r="B119" s="148"/>
      <c r="C119" s="148"/>
      <c r="D119" s="148"/>
      <c r="E119" s="148"/>
      <c r="F119" s="148"/>
      <c r="G119" s="148"/>
      <c r="H119" s="148"/>
      <c r="I119" s="148"/>
      <c r="J119" s="148"/>
      <c r="K119" s="148"/>
      <c r="L119" s="148"/>
      <c r="M119" s="148"/>
      <c r="N119" s="148"/>
      <c r="O119" s="149"/>
    </row>
    <row r="120" spans="1:15" ht="17.100000000000001" customHeight="1" x14ac:dyDescent="0.3">
      <c r="A120" s="150" t="s">
        <v>40</v>
      </c>
      <c r="B120" s="151"/>
      <c r="C120" s="151"/>
      <c r="D120" s="151"/>
      <c r="E120" s="151"/>
      <c r="F120" s="151"/>
      <c r="G120" s="152" t="s">
        <v>41</v>
      </c>
      <c r="H120" s="152"/>
      <c r="I120" s="152"/>
      <c r="J120" s="152"/>
      <c r="K120" s="153"/>
      <c r="L120" s="154"/>
      <c r="M120" s="154"/>
      <c r="N120" s="155"/>
      <c r="O120" s="116" t="s">
        <v>42</v>
      </c>
    </row>
    <row r="121" spans="1:15" ht="17.100000000000001" customHeight="1" x14ac:dyDescent="0.3">
      <c r="A121" s="160" t="s">
        <v>43</v>
      </c>
      <c r="B121" s="161"/>
      <c r="C121" s="161"/>
      <c r="D121" s="161"/>
      <c r="E121" s="161"/>
      <c r="F121" s="162"/>
      <c r="G121" s="166" t="s">
        <v>44</v>
      </c>
      <c r="H121" s="161"/>
      <c r="I121" s="161"/>
      <c r="J121" s="162"/>
      <c r="K121" s="156"/>
      <c r="L121" s="157"/>
      <c r="M121" s="157"/>
      <c r="N121" s="158"/>
      <c r="O121" s="116"/>
    </row>
    <row r="122" spans="1:15" ht="17.100000000000001" customHeight="1" x14ac:dyDescent="0.3">
      <c r="A122" s="163"/>
      <c r="B122" s="164"/>
      <c r="C122" s="164"/>
      <c r="D122" s="164"/>
      <c r="E122" s="164"/>
      <c r="F122" s="165"/>
      <c r="G122" s="167"/>
      <c r="H122" s="164"/>
      <c r="I122" s="164"/>
      <c r="J122" s="165"/>
      <c r="K122" s="156"/>
      <c r="L122" s="157"/>
      <c r="M122" s="157"/>
      <c r="N122" s="158"/>
      <c r="O122" s="116"/>
    </row>
    <row r="123" spans="1:15" ht="17.100000000000001" customHeight="1" x14ac:dyDescent="0.3">
      <c r="A123" s="163"/>
      <c r="B123" s="164"/>
      <c r="C123" s="164"/>
      <c r="D123" s="164"/>
      <c r="E123" s="164"/>
      <c r="F123" s="165"/>
      <c r="G123" s="167"/>
      <c r="H123" s="164"/>
      <c r="I123" s="164"/>
      <c r="J123" s="165"/>
      <c r="K123" s="156"/>
      <c r="L123" s="157"/>
      <c r="M123" s="157"/>
      <c r="N123" s="158"/>
      <c r="O123" s="116"/>
    </row>
    <row r="124" spans="1:15" ht="17.100000000000001" customHeight="1" x14ac:dyDescent="0.3">
      <c r="A124" s="163"/>
      <c r="B124" s="164"/>
      <c r="C124" s="164"/>
      <c r="D124" s="164"/>
      <c r="E124" s="164"/>
      <c r="F124" s="165"/>
      <c r="G124" s="167"/>
      <c r="H124" s="164"/>
      <c r="I124" s="164"/>
      <c r="J124" s="165"/>
      <c r="K124" s="156"/>
      <c r="L124" s="157"/>
      <c r="M124" s="157"/>
      <c r="N124" s="158"/>
      <c r="O124" s="116"/>
    </row>
    <row r="125" spans="1:15" ht="17.100000000000001" customHeight="1" x14ac:dyDescent="0.3">
      <c r="A125" s="163"/>
      <c r="B125" s="164"/>
      <c r="C125" s="164"/>
      <c r="D125" s="164"/>
      <c r="E125" s="164"/>
      <c r="F125" s="165"/>
      <c r="G125" s="167"/>
      <c r="H125" s="164"/>
      <c r="I125" s="164"/>
      <c r="J125" s="165"/>
      <c r="K125" s="156"/>
      <c r="L125" s="157"/>
      <c r="M125" s="157"/>
      <c r="N125" s="158"/>
      <c r="O125" s="116"/>
    </row>
    <row r="126" spans="1:15" ht="17.100000000000001" customHeight="1" x14ac:dyDescent="0.3">
      <c r="A126" s="163"/>
      <c r="B126" s="164"/>
      <c r="C126" s="164"/>
      <c r="D126" s="164"/>
      <c r="E126" s="164"/>
      <c r="F126" s="165"/>
      <c r="G126" s="167"/>
      <c r="H126" s="164"/>
      <c r="I126" s="164"/>
      <c r="J126" s="165"/>
      <c r="K126" s="156"/>
      <c r="L126" s="157"/>
      <c r="M126" s="157"/>
      <c r="N126" s="158"/>
      <c r="O126" s="116"/>
    </row>
    <row r="127" spans="1:15" ht="17.100000000000001" customHeight="1" x14ac:dyDescent="0.3">
      <c r="A127" s="163"/>
      <c r="B127" s="164"/>
      <c r="C127" s="164"/>
      <c r="D127" s="164"/>
      <c r="E127" s="164"/>
      <c r="F127" s="165"/>
      <c r="G127" s="167"/>
      <c r="H127" s="164"/>
      <c r="I127" s="164"/>
      <c r="J127" s="165"/>
      <c r="K127" s="156"/>
      <c r="L127" s="157"/>
      <c r="M127" s="157"/>
      <c r="N127" s="158"/>
      <c r="O127" s="116"/>
    </row>
    <row r="128" spans="1:15" ht="17.100000000000001" customHeight="1" thickBot="1" x14ac:dyDescent="0.35">
      <c r="A128" s="163"/>
      <c r="B128" s="164"/>
      <c r="C128" s="164"/>
      <c r="D128" s="164"/>
      <c r="E128" s="164"/>
      <c r="F128" s="165"/>
      <c r="G128" s="167"/>
      <c r="H128" s="164"/>
      <c r="I128" s="164"/>
      <c r="J128" s="165"/>
      <c r="K128" s="156"/>
      <c r="L128" s="157"/>
      <c r="M128" s="157"/>
      <c r="N128" s="158"/>
      <c r="O128" s="159"/>
    </row>
    <row r="129" spans="1:19" ht="17.100000000000001" customHeight="1" thickBot="1" x14ac:dyDescent="0.35">
      <c r="A129" s="169"/>
      <c r="B129" s="170"/>
      <c r="C129" s="170"/>
      <c r="D129" s="170"/>
      <c r="E129" s="170"/>
      <c r="F129" s="170"/>
      <c r="G129" s="170"/>
      <c r="H129" s="170"/>
      <c r="I129" s="170"/>
      <c r="J129" s="170"/>
      <c r="K129" s="170"/>
      <c r="L129" s="170"/>
      <c r="M129" s="170"/>
      <c r="N129" s="170"/>
      <c r="O129" s="171"/>
    </row>
    <row r="130" spans="1:19" ht="17.100000000000001" customHeight="1" x14ac:dyDescent="0.3">
      <c r="A130" s="172" t="s">
        <v>45</v>
      </c>
      <c r="B130" s="121"/>
      <c r="C130" s="121"/>
      <c r="D130" s="122"/>
      <c r="E130" s="173" t="s">
        <v>46</v>
      </c>
      <c r="F130" s="121"/>
      <c r="G130" s="121"/>
      <c r="H130" s="121"/>
      <c r="I130" s="121"/>
      <c r="J130" s="121"/>
      <c r="K130" s="175" t="s">
        <v>47</v>
      </c>
      <c r="L130" s="148"/>
      <c r="M130" s="148"/>
      <c r="N130" s="148"/>
      <c r="O130" s="179" t="s">
        <v>48</v>
      </c>
    </row>
    <row r="131" spans="1:19" ht="17.100000000000001" customHeight="1" x14ac:dyDescent="0.3">
      <c r="A131" s="123"/>
      <c r="B131" s="124"/>
      <c r="C131" s="124"/>
      <c r="D131" s="125"/>
      <c r="E131" s="174"/>
      <c r="F131" s="124"/>
      <c r="G131" s="124"/>
      <c r="H131" s="124"/>
      <c r="I131" s="124"/>
      <c r="J131" s="124"/>
      <c r="K131" s="176"/>
      <c r="L131" s="148"/>
      <c r="M131" s="148"/>
      <c r="N131" s="148"/>
      <c r="O131" s="180"/>
    </row>
    <row r="132" spans="1:19" ht="17.100000000000001" customHeight="1" x14ac:dyDescent="0.3">
      <c r="A132" s="117" t="s">
        <v>49</v>
      </c>
      <c r="B132" s="118"/>
      <c r="C132" s="118"/>
      <c r="D132" s="118"/>
      <c r="E132" s="118"/>
      <c r="F132" s="118"/>
      <c r="G132" s="118"/>
      <c r="H132" s="118"/>
      <c r="I132" s="118"/>
      <c r="J132" s="118"/>
      <c r="K132" s="176"/>
      <c r="L132" s="148"/>
      <c r="M132" s="148"/>
      <c r="N132" s="148"/>
      <c r="O132" s="180"/>
    </row>
    <row r="133" spans="1:19" ht="17.100000000000001" customHeight="1" x14ac:dyDescent="0.3">
      <c r="A133" s="120"/>
      <c r="B133" s="121"/>
      <c r="C133" s="121"/>
      <c r="D133" s="121"/>
      <c r="E133" s="121"/>
      <c r="F133" s="121"/>
      <c r="G133" s="121"/>
      <c r="H133" s="121"/>
      <c r="I133" s="121"/>
      <c r="J133" s="121"/>
      <c r="K133" s="176"/>
      <c r="L133" s="148"/>
      <c r="M133" s="148"/>
      <c r="N133" s="148"/>
      <c r="O133" s="180"/>
    </row>
    <row r="134" spans="1:19" ht="17.100000000000001" customHeight="1" x14ac:dyDescent="0.3">
      <c r="A134" s="120"/>
      <c r="B134" s="121"/>
      <c r="C134" s="121"/>
      <c r="D134" s="121"/>
      <c r="E134" s="121"/>
      <c r="F134" s="121"/>
      <c r="G134" s="121"/>
      <c r="H134" s="121"/>
      <c r="I134" s="121"/>
      <c r="J134" s="121"/>
      <c r="K134" s="176"/>
      <c r="L134" s="148"/>
      <c r="M134" s="148"/>
      <c r="N134" s="148"/>
      <c r="O134" s="180"/>
    </row>
    <row r="135" spans="1:19" ht="17.100000000000001" customHeight="1" x14ac:dyDescent="0.3">
      <c r="A135" s="120"/>
      <c r="B135" s="121"/>
      <c r="C135" s="121"/>
      <c r="D135" s="121"/>
      <c r="E135" s="121"/>
      <c r="F135" s="121"/>
      <c r="G135" s="121"/>
      <c r="H135" s="121"/>
      <c r="I135" s="121"/>
      <c r="J135" s="121"/>
      <c r="K135" s="176"/>
      <c r="L135" s="148"/>
      <c r="M135" s="148"/>
      <c r="N135" s="148"/>
      <c r="O135" s="180"/>
    </row>
    <row r="136" spans="1:19" ht="17.100000000000001" customHeight="1" thickBot="1" x14ac:dyDescent="0.35">
      <c r="A136" s="182"/>
      <c r="B136" s="183"/>
      <c r="C136" s="183"/>
      <c r="D136" s="183"/>
      <c r="E136" s="183"/>
      <c r="F136" s="183"/>
      <c r="G136" s="183"/>
      <c r="H136" s="183"/>
      <c r="I136" s="183"/>
      <c r="J136" s="183"/>
      <c r="K136" s="177"/>
      <c r="L136" s="178"/>
      <c r="M136" s="178"/>
      <c r="N136" s="178"/>
      <c r="O136" s="181"/>
    </row>
    <row r="137" spans="1:19" ht="14.1" customHeight="1" x14ac:dyDescent="0.3">
      <c r="A137" s="168"/>
      <c r="B137" s="168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</row>
    <row r="138" spans="1:19" ht="14.1" customHeight="1" x14ac:dyDescent="0.3"/>
    <row r="139" spans="1:19" ht="14.1" customHeight="1" x14ac:dyDescent="0.3"/>
    <row r="140" spans="1:19" ht="14.1" customHeight="1" x14ac:dyDescent="0.3"/>
  </sheetData>
  <sortState ref="A35:N79">
    <sortCondition ref="E35:E79"/>
  </sortState>
  <mergeCells count="82">
    <mergeCell ref="A91:M91"/>
    <mergeCell ref="A14:A15"/>
    <mergeCell ref="A89:N89"/>
    <mergeCell ref="H32:L32"/>
    <mergeCell ref="M32:M33"/>
    <mergeCell ref="F14:F15"/>
    <mergeCell ref="G14:G15"/>
    <mergeCell ref="H14:L14"/>
    <mergeCell ref="M14:M15"/>
    <mergeCell ref="N14:N15"/>
    <mergeCell ref="N32:N33"/>
    <mergeCell ref="B34:F34"/>
    <mergeCell ref="A83:A84"/>
    <mergeCell ref="B83:B84"/>
    <mergeCell ref="C83:C84"/>
    <mergeCell ref="D83:D84"/>
    <mergeCell ref="O14:O118"/>
    <mergeCell ref="A32:A33"/>
    <mergeCell ref="B32:B33"/>
    <mergeCell ref="C32:C33"/>
    <mergeCell ref="D32:D33"/>
    <mergeCell ref="E32:E33"/>
    <mergeCell ref="F32:F33"/>
    <mergeCell ref="G32:G33"/>
    <mergeCell ref="B85:F85"/>
    <mergeCell ref="A111:G111"/>
    <mergeCell ref="J111:N111"/>
    <mergeCell ref="A112:N118"/>
    <mergeCell ref="E83:E84"/>
    <mergeCell ref="F83:F84"/>
    <mergeCell ref="G83:G84"/>
    <mergeCell ref="E14:E15"/>
    <mergeCell ref="A137:J137"/>
    <mergeCell ref="K137:S137"/>
    <mergeCell ref="A129:O129"/>
    <mergeCell ref="A130:D131"/>
    <mergeCell ref="E130:J131"/>
    <mergeCell ref="K130:N136"/>
    <mergeCell ref="O130:O136"/>
    <mergeCell ref="A132:J136"/>
    <mergeCell ref="A119:O119"/>
    <mergeCell ref="A120:F120"/>
    <mergeCell ref="G120:J120"/>
    <mergeCell ref="K120:N128"/>
    <mergeCell ref="O120:O128"/>
    <mergeCell ref="A121:F128"/>
    <mergeCell ref="G121:J128"/>
    <mergeCell ref="N83:N84"/>
    <mergeCell ref="H83:L83"/>
    <mergeCell ref="M83:M84"/>
    <mergeCell ref="B14:B15"/>
    <mergeCell ref="C14:C15"/>
    <mergeCell ref="D14:D15"/>
    <mergeCell ref="A31:E31"/>
    <mergeCell ref="A20:E20"/>
    <mergeCell ref="A18:E18"/>
    <mergeCell ref="A1:I6"/>
    <mergeCell ref="J1:O1"/>
    <mergeCell ref="J2:O2"/>
    <mergeCell ref="J3:L3"/>
    <mergeCell ref="M3:N3"/>
    <mergeCell ref="J4:L4"/>
    <mergeCell ref="M4:N4"/>
    <mergeCell ref="J5:L5"/>
    <mergeCell ref="M5:N5"/>
    <mergeCell ref="J6:L6"/>
    <mergeCell ref="M6:N6"/>
    <mergeCell ref="A7:I7"/>
    <mergeCell ref="J7:N7"/>
    <mergeCell ref="O7:O13"/>
    <mergeCell ref="A8:I13"/>
    <mergeCell ref="J8:N8"/>
    <mergeCell ref="J9:N9"/>
    <mergeCell ref="J10:N10"/>
    <mergeCell ref="J11:N11"/>
    <mergeCell ref="J12:N12"/>
    <mergeCell ref="J13:N13"/>
    <mergeCell ref="A94:M94"/>
    <mergeCell ref="A98:M98"/>
    <mergeCell ref="A105:M105"/>
    <mergeCell ref="A96:M96"/>
    <mergeCell ref="A102:M102"/>
  </mergeCells>
  <phoneticPr fontId="13" type="noConversion"/>
  <hyperlinks>
    <hyperlink ref="E58" r:id="rId1" display="FITA VEDA ROSCA EM ROLOS DE 18 MM X 50 M (L X C)"/>
    <hyperlink ref="E71" r:id="rId2" display="VALVULA DE DESCARGA EM METAL CROMADO PARA MICTORIO COM ACIONAMENTO POR PRESSAO E FECHAMENTO AUTOMATICO"/>
    <hyperlink ref="E52" r:id="rId3" display="VALVULA DE DESCARGA EM METAL CROMADO PARA MICTORIO COM ACIONAMENTO POR PRESSAO E FECHAMENTO AUTOMATICO"/>
    <hyperlink ref="E53" r:id="rId4" display="FITA VEDA ROSCA EM ROLOS DE 18 MM X 50 M (L X C)"/>
    <hyperlink ref="E69" r:id="rId5" display="VALVULA DE DESCARGA EM METAL CROMADO PARA MICTORIO COM ACIONAMENTO POR PRESSAO E FECHAMENTO AUTOMATICO"/>
    <hyperlink ref="E70" r:id="rId6" display="FITA VEDA ROSCA EM ROLOS DE 18 MM X 50 M (L X C)"/>
  </hyperlinks>
  <pageMargins left="0.25" right="0.25" top="0.75" bottom="0.75" header="0.3" footer="0.3"/>
  <pageSetup paperSize="9" scale="53" orientation="landscape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I23"/>
  <sheetViews>
    <sheetView workbookViewId="0">
      <selection activeCell="H18" sqref="H18"/>
    </sheetView>
  </sheetViews>
  <sheetFormatPr defaultRowHeight="14.4" x14ac:dyDescent="0.3"/>
  <cols>
    <col min="4" max="8" width="18.6640625" customWidth="1"/>
    <col min="9" max="9" width="26.44140625" bestFit="1" customWidth="1"/>
  </cols>
  <sheetData>
    <row r="2" spans="4:9" x14ac:dyDescent="0.3">
      <c r="D2" s="75"/>
      <c r="E2" s="202" t="s">
        <v>142</v>
      </c>
      <c r="F2" s="202"/>
      <c r="G2" s="202"/>
      <c r="H2" s="202"/>
    </row>
    <row r="3" spans="4:9" x14ac:dyDescent="0.3">
      <c r="D3" s="76" t="s">
        <v>143</v>
      </c>
      <c r="E3" s="76" t="s">
        <v>144</v>
      </c>
      <c r="F3" s="76" t="s">
        <v>145</v>
      </c>
      <c r="G3" s="76" t="s">
        <v>146</v>
      </c>
      <c r="H3" s="76" t="s">
        <v>147</v>
      </c>
      <c r="I3" s="77" t="s">
        <v>148</v>
      </c>
    </row>
    <row r="4" spans="4:9" x14ac:dyDescent="0.3">
      <c r="D4" s="75" t="s">
        <v>151</v>
      </c>
      <c r="E4" s="75">
        <v>2</v>
      </c>
      <c r="F4" s="75">
        <v>80</v>
      </c>
      <c r="G4" s="75">
        <v>20</v>
      </c>
      <c r="H4" s="75">
        <f>E4*F4*G4/10000</f>
        <v>0.32</v>
      </c>
      <c r="I4" s="75"/>
    </row>
    <row r="5" spans="4:9" x14ac:dyDescent="0.3">
      <c r="D5" s="75"/>
      <c r="E5" s="75">
        <v>4</v>
      </c>
      <c r="F5" s="75">
        <v>77</v>
      </c>
      <c r="G5" s="75">
        <v>20</v>
      </c>
      <c r="H5" s="75">
        <f t="shared" ref="H5:H22" si="0">E5*F5*G5/10000</f>
        <v>0.61599999999999999</v>
      </c>
      <c r="I5" s="75"/>
    </row>
    <row r="6" spans="4:9" x14ac:dyDescent="0.3">
      <c r="D6" s="75"/>
      <c r="E6" s="75">
        <v>1</v>
      </c>
      <c r="F6" s="75">
        <v>90</v>
      </c>
      <c r="G6" s="75">
        <v>30</v>
      </c>
      <c r="H6" s="75">
        <f t="shared" si="0"/>
        <v>0.27</v>
      </c>
      <c r="I6" s="75"/>
    </row>
    <row r="7" spans="4:9" x14ac:dyDescent="0.3">
      <c r="D7" s="75" t="s">
        <v>152</v>
      </c>
      <c r="E7" s="75">
        <v>1</v>
      </c>
      <c r="F7" s="75">
        <v>65</v>
      </c>
      <c r="G7" s="75">
        <v>85</v>
      </c>
      <c r="H7" s="75">
        <f t="shared" si="0"/>
        <v>0.55249999999999999</v>
      </c>
      <c r="I7" s="75"/>
    </row>
    <row r="8" spans="4:9" x14ac:dyDescent="0.3">
      <c r="D8" s="75"/>
      <c r="E8" s="75">
        <v>2</v>
      </c>
      <c r="F8" s="75">
        <v>59</v>
      </c>
      <c r="G8" s="75">
        <v>21</v>
      </c>
      <c r="H8" s="75">
        <f t="shared" si="0"/>
        <v>0.24779999999999999</v>
      </c>
      <c r="I8" s="75"/>
    </row>
    <row r="9" spans="4:9" x14ac:dyDescent="0.3">
      <c r="D9" s="75" t="s">
        <v>153</v>
      </c>
      <c r="E9" s="75">
        <v>1</v>
      </c>
      <c r="F9" s="75">
        <v>25</v>
      </c>
      <c r="G9" s="75">
        <v>15</v>
      </c>
      <c r="H9" s="75">
        <f t="shared" si="0"/>
        <v>3.7499999999999999E-2</v>
      </c>
      <c r="I9" s="75"/>
    </row>
    <row r="10" spans="4:9" x14ac:dyDescent="0.3">
      <c r="D10" s="75"/>
      <c r="E10" s="75">
        <v>1</v>
      </c>
      <c r="F10" s="75">
        <v>56</v>
      </c>
      <c r="G10" s="75">
        <v>16</v>
      </c>
      <c r="H10" s="75">
        <f t="shared" si="0"/>
        <v>8.9599999999999999E-2</v>
      </c>
      <c r="I10" s="75"/>
    </row>
    <row r="11" spans="4:9" x14ac:dyDescent="0.3">
      <c r="D11" s="75" t="s">
        <v>154</v>
      </c>
      <c r="E11" s="75">
        <v>1</v>
      </c>
      <c r="F11" s="75">
        <v>85.5</v>
      </c>
      <c r="G11" s="75">
        <v>22</v>
      </c>
      <c r="H11" s="75">
        <f t="shared" si="0"/>
        <v>0.18809999999999999</v>
      </c>
      <c r="I11" s="75"/>
    </row>
    <row r="12" spans="4:9" x14ac:dyDescent="0.3">
      <c r="D12" s="75" t="s">
        <v>155</v>
      </c>
      <c r="E12" s="75">
        <v>4</v>
      </c>
      <c r="F12" s="75">
        <v>55</v>
      </c>
      <c r="G12" s="75">
        <v>20</v>
      </c>
      <c r="H12" s="75">
        <f t="shared" si="0"/>
        <v>0.44</v>
      </c>
      <c r="I12" s="75"/>
    </row>
    <row r="13" spans="4:9" x14ac:dyDescent="0.3">
      <c r="D13" s="75" t="s">
        <v>156</v>
      </c>
      <c r="E13" s="75">
        <v>1</v>
      </c>
      <c r="F13" s="75">
        <v>71</v>
      </c>
      <c r="G13" s="75">
        <v>68</v>
      </c>
      <c r="H13" s="75">
        <f t="shared" si="0"/>
        <v>0.48280000000000001</v>
      </c>
      <c r="I13" s="75"/>
    </row>
    <row r="14" spans="4:9" x14ac:dyDescent="0.3">
      <c r="D14" s="75" t="s">
        <v>157</v>
      </c>
      <c r="E14" s="75">
        <v>1</v>
      </c>
      <c r="F14" s="75">
        <v>45</v>
      </c>
      <c r="G14" s="75">
        <v>45</v>
      </c>
      <c r="H14" s="75">
        <f t="shared" si="0"/>
        <v>0.20250000000000001</v>
      </c>
      <c r="I14" s="75"/>
    </row>
    <row r="15" spans="4:9" x14ac:dyDescent="0.3">
      <c r="D15" s="75" t="s">
        <v>149</v>
      </c>
      <c r="E15" s="75">
        <v>9</v>
      </c>
      <c r="F15" s="75">
        <v>77</v>
      </c>
      <c r="G15" s="75">
        <v>26</v>
      </c>
      <c r="H15" s="75">
        <f t="shared" si="0"/>
        <v>1.8018000000000001</v>
      </c>
      <c r="I15" s="75"/>
    </row>
    <row r="16" spans="4:9" x14ac:dyDescent="0.3">
      <c r="D16" s="75">
        <v>1</v>
      </c>
      <c r="E16" s="75">
        <v>1</v>
      </c>
      <c r="F16" s="75">
        <v>45</v>
      </c>
      <c r="G16" s="75">
        <v>76</v>
      </c>
      <c r="H16" s="75">
        <f t="shared" si="0"/>
        <v>0.34200000000000003</v>
      </c>
      <c r="I16" s="75"/>
    </row>
    <row r="17" spans="4:9" x14ac:dyDescent="0.3">
      <c r="D17" s="75" t="s">
        <v>158</v>
      </c>
      <c r="E17" s="75">
        <v>2</v>
      </c>
      <c r="F17" s="75">
        <v>175</v>
      </c>
      <c r="G17" s="75">
        <v>100</v>
      </c>
      <c r="H17" s="75">
        <f t="shared" si="0"/>
        <v>3.5</v>
      </c>
      <c r="I17" s="75"/>
    </row>
    <row r="18" spans="4:9" x14ac:dyDescent="0.3">
      <c r="D18" s="75" t="s">
        <v>159</v>
      </c>
      <c r="E18" s="75">
        <v>2</v>
      </c>
      <c r="F18" s="75">
        <v>80</v>
      </c>
      <c r="G18" s="75">
        <v>55</v>
      </c>
      <c r="H18" s="75">
        <f t="shared" si="0"/>
        <v>0.88</v>
      </c>
      <c r="I18" s="75"/>
    </row>
    <row r="19" spans="4:9" x14ac:dyDescent="0.3">
      <c r="D19" s="75"/>
      <c r="E19" s="75"/>
      <c r="F19" s="75"/>
      <c r="G19" s="75"/>
      <c r="H19" s="75">
        <f t="shared" si="0"/>
        <v>0</v>
      </c>
      <c r="I19" s="75"/>
    </row>
    <row r="20" spans="4:9" x14ac:dyDescent="0.3">
      <c r="D20" s="75"/>
      <c r="E20" s="75"/>
      <c r="F20" s="75"/>
      <c r="G20" s="75"/>
      <c r="H20" s="75">
        <f t="shared" si="0"/>
        <v>0</v>
      </c>
      <c r="I20" s="75"/>
    </row>
    <row r="21" spans="4:9" x14ac:dyDescent="0.3">
      <c r="D21" s="75"/>
      <c r="E21" s="75"/>
      <c r="F21" s="75"/>
      <c r="G21" s="75"/>
      <c r="H21" s="75">
        <f t="shared" si="0"/>
        <v>0</v>
      </c>
      <c r="I21" s="75"/>
    </row>
    <row r="22" spans="4:9" x14ac:dyDescent="0.3">
      <c r="D22" s="75"/>
      <c r="E22" s="75"/>
      <c r="F22" s="75"/>
      <c r="G22" s="75"/>
      <c r="H22" s="75">
        <f t="shared" si="0"/>
        <v>0</v>
      </c>
      <c r="I22" s="75"/>
    </row>
    <row r="23" spans="4:9" x14ac:dyDescent="0.3">
      <c r="D23" s="203" t="s">
        <v>150</v>
      </c>
      <c r="E23" s="204"/>
      <c r="F23" s="204"/>
      <c r="G23" s="205"/>
      <c r="H23" s="78">
        <f>SUM(H4:H22)</f>
        <v>9.9705999999999992</v>
      </c>
    </row>
  </sheetData>
  <mergeCells count="2">
    <mergeCell ref="E2:H2"/>
    <mergeCell ref="D23:G23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C476279ECFF49B7018EB20C51517F" ma:contentTypeVersion="12" ma:contentTypeDescription="Crie um novo documento." ma:contentTypeScope="" ma:versionID="34a0628b53b29352da2689cb67653714">
  <xsd:schema xmlns:xsd="http://www.w3.org/2001/XMLSchema" xmlns:xs="http://www.w3.org/2001/XMLSchema" xmlns:p="http://schemas.microsoft.com/office/2006/metadata/properties" xmlns:ns1="http://schemas.microsoft.com/sharepoint/v3" xmlns:ns2="0e7c8a86-84e5-4d34-8d3b-2e08d231c207" xmlns:ns3="1d1dcbf2-98b8-40e7-8092-e982a632e348" targetNamespace="http://schemas.microsoft.com/office/2006/metadata/properties" ma:root="true" ma:fieldsID="226731e1c54f699cb1f59e9a6e85886a" ns1:_="" ns2:_="" ns3:_="">
    <xsd:import namespace="http://schemas.microsoft.com/sharepoint/v3"/>
    <xsd:import namespace="0e7c8a86-84e5-4d34-8d3b-2e08d231c207"/>
    <xsd:import namespace="1d1dcbf2-98b8-40e7-8092-e982a632e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c8a86-84e5-4d34-8d3b-2e08d231c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91ea95-0c2d-4cc1-8ba1-2cbd03c80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dcbf2-98b8-40e7-8092-e982a632e3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2901c6-92c3-4448-8229-dbefe5f23788}" ma:internalName="TaxCatchAll" ma:showField="CatchAllData" ma:web="1d1dcbf2-98b8-40e7-8092-e982a632e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7c8a86-84e5-4d34-8d3b-2e08d231c207">
      <Terms xmlns="http://schemas.microsoft.com/office/infopath/2007/PartnerControls"/>
    </lcf76f155ced4ddcb4097134ff3c332f>
    <TaxCatchAll xmlns="1d1dcbf2-98b8-40e7-8092-e982a632e34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946EEF8-BDD0-4037-8BB9-42A9AC08853F}"/>
</file>

<file path=customXml/itemProps2.xml><?xml version="1.0" encoding="utf-8"?>
<ds:datastoreItem xmlns:ds="http://schemas.openxmlformats.org/officeDocument/2006/customXml" ds:itemID="{FDE62B21-50E6-4DED-AADC-FBF250A531B1}"/>
</file>

<file path=customXml/itemProps3.xml><?xml version="1.0" encoding="utf-8"?>
<ds:datastoreItem xmlns:ds="http://schemas.openxmlformats.org/officeDocument/2006/customXml" ds:itemID="{006FE9B5-4427-4F14-A38F-732D3D443C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São Carlos</vt:lpstr>
      <vt:lpstr>VIDROS</vt:lpstr>
      <vt:lpstr>'São Carlos'!Area_de_impressao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Anivaldo Junior</dc:creator>
  <cp:lastModifiedBy>Ivan</cp:lastModifiedBy>
  <cp:lastPrinted>2025-10-16T19:18:37Z</cp:lastPrinted>
  <dcterms:created xsi:type="dcterms:W3CDTF">2022-01-02T19:12:46Z</dcterms:created>
  <dcterms:modified xsi:type="dcterms:W3CDTF">2025-10-16T19:18:48Z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0x0101006F8C476279ECFF49B7018EB20C51517F</vt:lpwstr>
  </property>
</Properties>
</file>