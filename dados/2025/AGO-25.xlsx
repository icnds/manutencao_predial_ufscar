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9-Agosto-25\"/>
    </mc:Choice>
  </mc:AlternateContent>
  <xr:revisionPtr revIDLastSave="0" documentId="13_ncr:1_{733E52A4-9934-482E-BE03-5BC4E281DCFB}" xr6:coauthVersionLast="47" xr6:coauthVersionMax="47" xr10:uidLastSave="{00000000-0000-0000-0000-000000000000}"/>
  <bookViews>
    <workbookView xWindow="20064" yWindow="1872" windowWidth="21480" windowHeight="18288" xr2:uid="{00000000-000D-0000-FFFF-FFFF00000000}"/>
  </bookViews>
  <sheets>
    <sheet name="São Carlos" sheetId="1" r:id="rId1"/>
    <sheet name="VIDROS" sheetId="2" r:id="rId2"/>
  </sheets>
  <definedNames>
    <definedName name="_xlnm.Print_Area" localSheetId="0">'São Carlos'!$A$1:$O$149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J27" i="1" s="1"/>
  <c r="I20" i="1"/>
  <c r="J20" i="1" s="1"/>
  <c r="I18" i="1"/>
  <c r="J18" i="1" s="1"/>
  <c r="K27" i="1" l="1"/>
  <c r="L27" i="1" s="1"/>
  <c r="M27" i="1" s="1"/>
  <c r="K20" i="1"/>
  <c r="L20" i="1" s="1"/>
  <c r="M20" i="1" s="1"/>
  <c r="K18" i="1"/>
  <c r="L18" i="1" s="1"/>
  <c r="M18" i="1" s="1"/>
  <c r="G112" i="1"/>
  <c r="I113" i="1"/>
  <c r="J113" i="1" s="1"/>
  <c r="I112" i="1"/>
  <c r="J112" i="1" s="1"/>
  <c r="G108" i="1"/>
  <c r="I106" i="1"/>
  <c r="J106" i="1" s="1"/>
  <c r="I104" i="1"/>
  <c r="J104" i="1" s="1"/>
  <c r="I117" i="1"/>
  <c r="J117" i="1" s="1"/>
  <c r="G115" i="1"/>
  <c r="I116" i="1"/>
  <c r="J116" i="1" s="1"/>
  <c r="I115" i="1"/>
  <c r="J115" i="1" s="1"/>
  <c r="K112" i="1" l="1"/>
  <c r="L112" i="1" s="1"/>
  <c r="M112" i="1" s="1"/>
  <c r="K113" i="1"/>
  <c r="L113" i="1" s="1"/>
  <c r="M113" i="1" s="1"/>
  <c r="K106" i="1"/>
  <c r="L106" i="1" s="1"/>
  <c r="M106" i="1" s="1"/>
  <c r="K104" i="1"/>
  <c r="L104" i="1" s="1"/>
  <c r="M104" i="1" s="1"/>
  <c r="K117" i="1"/>
  <c r="L117" i="1" s="1"/>
  <c r="M117" i="1" s="1"/>
  <c r="K115" i="1"/>
  <c r="L115" i="1"/>
  <c r="M115" i="1" s="1"/>
  <c r="K116" i="1"/>
  <c r="L116" i="1" s="1"/>
  <c r="M116" i="1" s="1"/>
  <c r="I110" i="1" l="1"/>
  <c r="J110" i="1" s="1"/>
  <c r="I109" i="1"/>
  <c r="J109" i="1" s="1"/>
  <c r="I108" i="1"/>
  <c r="J108" i="1" s="1"/>
  <c r="K108" i="1" s="1"/>
  <c r="L108" i="1" s="1"/>
  <c r="I121" i="1"/>
  <c r="J121" i="1" s="1"/>
  <c r="G120" i="1"/>
  <c r="G119" i="1" s="1"/>
  <c r="I120" i="1"/>
  <c r="J120" i="1" s="1"/>
  <c r="I119" i="1"/>
  <c r="J119" i="1" s="1"/>
  <c r="I102" i="1"/>
  <c r="J102" i="1" s="1"/>
  <c r="K102" i="1" s="1"/>
  <c r="I100" i="1"/>
  <c r="J100" i="1" s="1"/>
  <c r="K100" i="1" s="1"/>
  <c r="I101" i="1"/>
  <c r="J101" i="1" s="1"/>
  <c r="K101" i="1" s="1"/>
  <c r="I99" i="1"/>
  <c r="J99" i="1" s="1"/>
  <c r="L102" i="1" l="1"/>
  <c r="M102" i="1" s="1"/>
  <c r="L100" i="1"/>
  <c r="M100" i="1" s="1"/>
  <c r="M108" i="1"/>
  <c r="K109" i="1"/>
  <c r="L109" i="1" s="1"/>
  <c r="M109" i="1" s="1"/>
  <c r="K110" i="1"/>
  <c r="L110" i="1" s="1"/>
  <c r="M110" i="1" s="1"/>
  <c r="K121" i="1"/>
  <c r="L121" i="1" s="1"/>
  <c r="M121" i="1" s="1"/>
  <c r="K120" i="1"/>
  <c r="L120" i="1" s="1"/>
  <c r="M120" i="1" s="1"/>
  <c r="K119" i="1"/>
  <c r="L119" i="1" s="1"/>
  <c r="M119" i="1" s="1"/>
  <c r="L101" i="1"/>
  <c r="M101" i="1" s="1"/>
  <c r="K99" i="1"/>
  <c r="L99" i="1" s="1"/>
  <c r="M99" i="1" s="1"/>
  <c r="I96" i="1" l="1"/>
  <c r="J96" i="1" s="1"/>
  <c r="G93" i="1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K96" i="1" l="1"/>
  <c r="L96" i="1" s="1"/>
  <c r="M96" i="1" s="1"/>
  <c r="H23" i="2"/>
  <c r="I91" i="1"/>
  <c r="J91" i="1" s="1"/>
  <c r="I90" i="1"/>
  <c r="J90" i="1" s="1"/>
  <c r="G87" i="1"/>
  <c r="I65" i="1"/>
  <c r="J65" i="1" s="1"/>
  <c r="K65" i="1" s="1"/>
  <c r="L65" i="1" s="1"/>
  <c r="M65" i="1" s="1"/>
  <c r="I73" i="1"/>
  <c r="J73" i="1" s="1"/>
  <c r="I71" i="1"/>
  <c r="J71" i="1" s="1"/>
  <c r="I70" i="1"/>
  <c r="J70" i="1" s="1"/>
  <c r="G66" i="1"/>
  <c r="I68" i="1"/>
  <c r="J68" i="1" s="1"/>
  <c r="I67" i="1"/>
  <c r="J67" i="1" s="1"/>
  <c r="I66" i="1"/>
  <c r="J66" i="1" s="1"/>
  <c r="I87" i="1"/>
  <c r="J87" i="1" s="1"/>
  <c r="I64" i="1"/>
  <c r="J64" i="1" s="1"/>
  <c r="I62" i="1"/>
  <c r="J62" i="1" s="1"/>
  <c r="I60" i="1"/>
  <c r="J60" i="1" s="1"/>
  <c r="I59" i="1"/>
  <c r="J59" i="1" s="1"/>
  <c r="I58" i="1"/>
  <c r="J58" i="1" s="1"/>
  <c r="I57" i="1"/>
  <c r="J57" i="1" s="1"/>
  <c r="I55" i="1"/>
  <c r="J55" i="1" s="1"/>
  <c r="I54" i="1"/>
  <c r="J54" i="1" s="1"/>
  <c r="I52" i="1"/>
  <c r="J52" i="1" s="1"/>
  <c r="I51" i="1"/>
  <c r="J51" i="1" s="1"/>
  <c r="I50" i="1"/>
  <c r="J50" i="1" s="1"/>
  <c r="I49" i="1"/>
  <c r="J49" i="1" s="1"/>
  <c r="G45" i="1"/>
  <c r="I45" i="1"/>
  <c r="J45" i="1" s="1"/>
  <c r="I38" i="1"/>
  <c r="J38" i="1" s="1"/>
  <c r="I40" i="1"/>
  <c r="J40" i="1" s="1"/>
  <c r="I44" i="1"/>
  <c r="J44" i="1" s="1"/>
  <c r="G35" i="1"/>
  <c r="G39" i="1"/>
  <c r="G43" i="1"/>
  <c r="I43" i="1"/>
  <c r="J43" i="1" s="1"/>
  <c r="G42" i="1"/>
  <c r="G41" i="1"/>
  <c r="I42" i="1"/>
  <c r="J42" i="1" s="1"/>
  <c r="I41" i="1"/>
  <c r="J41" i="1" s="1"/>
  <c r="G37" i="1"/>
  <c r="I37" i="1"/>
  <c r="J37" i="1" s="1"/>
  <c r="G36" i="1"/>
  <c r="I36" i="1"/>
  <c r="J36" i="1" s="1"/>
  <c r="I77" i="1"/>
  <c r="J77" i="1" s="1"/>
  <c r="K90" i="1" l="1"/>
  <c r="L90" i="1" s="1"/>
  <c r="M90" i="1" s="1"/>
  <c r="K91" i="1"/>
  <c r="L91" i="1" s="1"/>
  <c r="M91" i="1" s="1"/>
  <c r="K73" i="1"/>
  <c r="L73" i="1" s="1"/>
  <c r="M73" i="1" s="1"/>
  <c r="K71" i="1"/>
  <c r="L71" i="1" s="1"/>
  <c r="M71" i="1" s="1"/>
  <c r="K70" i="1"/>
  <c r="L70" i="1" s="1"/>
  <c r="M70" i="1" s="1"/>
  <c r="K68" i="1"/>
  <c r="L68" i="1" s="1"/>
  <c r="M68" i="1" s="1"/>
  <c r="K67" i="1"/>
  <c r="L67" i="1" s="1"/>
  <c r="M67" i="1" s="1"/>
  <c r="K66" i="1"/>
  <c r="L66" i="1" s="1"/>
  <c r="M66" i="1" s="1"/>
  <c r="K87" i="1"/>
  <c r="L87" i="1" s="1"/>
  <c r="M87" i="1" s="1"/>
  <c r="K64" i="1"/>
  <c r="L64" i="1" s="1"/>
  <c r="M64" i="1" s="1"/>
  <c r="N65" i="1" s="1"/>
  <c r="K62" i="1"/>
  <c r="L62" i="1" s="1"/>
  <c r="M62" i="1" s="1"/>
  <c r="K60" i="1"/>
  <c r="L60" i="1" s="1"/>
  <c r="M60" i="1" s="1"/>
  <c r="K59" i="1"/>
  <c r="L59" i="1" s="1"/>
  <c r="M59" i="1" s="1"/>
  <c r="K58" i="1"/>
  <c r="L58" i="1" s="1"/>
  <c r="M58" i="1" s="1"/>
  <c r="K57" i="1"/>
  <c r="L57" i="1" s="1"/>
  <c r="M57" i="1" s="1"/>
  <c r="K55" i="1"/>
  <c r="L55" i="1" s="1"/>
  <c r="M55" i="1" s="1"/>
  <c r="K54" i="1"/>
  <c r="L54" i="1" s="1"/>
  <c r="M54" i="1" s="1"/>
  <c r="K52" i="1"/>
  <c r="L52" i="1" s="1"/>
  <c r="M52" i="1" s="1"/>
  <c r="K51" i="1"/>
  <c r="L51" i="1" s="1"/>
  <c r="M51" i="1" s="1"/>
  <c r="K50" i="1"/>
  <c r="L50" i="1" s="1"/>
  <c r="M50" i="1" s="1"/>
  <c r="K49" i="1"/>
  <c r="L49" i="1" s="1"/>
  <c r="M49" i="1" s="1"/>
  <c r="K45" i="1"/>
  <c r="L45" i="1" s="1"/>
  <c r="M45" i="1" s="1"/>
  <c r="K38" i="1"/>
  <c r="L38" i="1" s="1"/>
  <c r="M38" i="1" s="1"/>
  <c r="K40" i="1"/>
  <c r="L40" i="1" s="1"/>
  <c r="M40" i="1" s="1"/>
  <c r="K44" i="1"/>
  <c r="L44" i="1" s="1"/>
  <c r="M44" i="1" s="1"/>
  <c r="K43" i="1"/>
  <c r="L43" i="1" s="1"/>
  <c r="M43" i="1" s="1"/>
  <c r="K41" i="1"/>
  <c r="L41" i="1" s="1"/>
  <c r="M41" i="1" s="1"/>
  <c r="K42" i="1"/>
  <c r="L42" i="1" s="1"/>
  <c r="M42" i="1" s="1"/>
  <c r="K37" i="1"/>
  <c r="L37" i="1" s="1"/>
  <c r="M37" i="1" s="1"/>
  <c r="K36" i="1"/>
  <c r="L36" i="1" s="1"/>
  <c r="M36" i="1" s="1"/>
  <c r="K77" i="1"/>
  <c r="L77" i="1" s="1"/>
  <c r="M77" i="1" s="1"/>
  <c r="I76" i="1"/>
  <c r="J76" i="1" s="1"/>
  <c r="I74" i="1"/>
  <c r="J74" i="1" s="1"/>
  <c r="I72" i="1"/>
  <c r="J72" i="1" s="1"/>
  <c r="I69" i="1"/>
  <c r="J69" i="1" s="1"/>
  <c r="K69" i="1" s="1"/>
  <c r="I75" i="1"/>
  <c r="J75" i="1" s="1"/>
  <c r="K75" i="1" s="1"/>
  <c r="I63" i="1"/>
  <c r="J63" i="1" s="1"/>
  <c r="I61" i="1"/>
  <c r="J61" i="1" s="1"/>
  <c r="I56" i="1"/>
  <c r="J56" i="1" s="1"/>
  <c r="I53" i="1"/>
  <c r="J53" i="1" s="1"/>
  <c r="I48" i="1"/>
  <c r="J48" i="1" s="1"/>
  <c r="I47" i="1"/>
  <c r="J47" i="1" s="1"/>
  <c r="I46" i="1"/>
  <c r="J46" i="1" s="1"/>
  <c r="I39" i="1"/>
  <c r="J39" i="1" s="1"/>
  <c r="I35" i="1"/>
  <c r="J35" i="1" s="1"/>
  <c r="N37" i="1" l="1"/>
  <c r="N42" i="1"/>
  <c r="N44" i="1"/>
  <c r="N38" i="1"/>
  <c r="N60" i="1"/>
  <c r="N50" i="1"/>
  <c r="N58" i="1"/>
  <c r="N41" i="1"/>
  <c r="N51" i="1"/>
  <c r="N55" i="1"/>
  <c r="N59" i="1"/>
  <c r="N43" i="1"/>
  <c r="N45" i="1"/>
  <c r="N52" i="1"/>
  <c r="N71" i="1"/>
  <c r="N67" i="1"/>
  <c r="N66" i="1"/>
  <c r="N68" i="1"/>
  <c r="K76" i="1"/>
  <c r="L76" i="1" s="1"/>
  <c r="M76" i="1" s="1"/>
  <c r="L69" i="1"/>
  <c r="M69" i="1" s="1"/>
  <c r="N70" i="1" s="1"/>
  <c r="K74" i="1"/>
  <c r="L74" i="1" s="1"/>
  <c r="M74" i="1" s="1"/>
  <c r="K72" i="1"/>
  <c r="L72" i="1" s="1"/>
  <c r="M72" i="1" s="1"/>
  <c r="N73" i="1" s="1"/>
  <c r="L75" i="1"/>
  <c r="M75" i="1" s="1"/>
  <c r="K63" i="1"/>
  <c r="L63" i="1" s="1"/>
  <c r="M63" i="1" s="1"/>
  <c r="K61" i="1"/>
  <c r="L61" i="1" s="1"/>
  <c r="M61" i="1" s="1"/>
  <c r="N61" i="1" s="1"/>
  <c r="K56" i="1"/>
  <c r="L56" i="1" s="1"/>
  <c r="M56" i="1" s="1"/>
  <c r="N56" i="1" s="1"/>
  <c r="K53" i="1"/>
  <c r="L53" i="1" s="1"/>
  <c r="M53" i="1" s="1"/>
  <c r="N53" i="1" s="1"/>
  <c r="K48" i="1"/>
  <c r="L48" i="1" s="1"/>
  <c r="M48" i="1" s="1"/>
  <c r="K47" i="1"/>
  <c r="L47" i="1" s="1"/>
  <c r="M47" i="1" s="1"/>
  <c r="K46" i="1"/>
  <c r="L46" i="1" s="1"/>
  <c r="M46" i="1" s="1"/>
  <c r="N46" i="1" s="1"/>
  <c r="K39" i="1"/>
  <c r="L39" i="1" s="1"/>
  <c r="M39" i="1" s="1"/>
  <c r="N39" i="1" s="1"/>
  <c r="K35" i="1"/>
  <c r="L35" i="1" s="1"/>
  <c r="M35" i="1" s="1"/>
  <c r="N36" i="1" s="1"/>
  <c r="N76" i="1" l="1"/>
  <c r="N40" i="1"/>
  <c r="N57" i="1"/>
  <c r="N47" i="1"/>
  <c r="N48" i="1"/>
  <c r="N62" i="1"/>
  <c r="N54" i="1"/>
  <c r="N49" i="1"/>
  <c r="N75" i="1"/>
  <c r="N74" i="1"/>
  <c r="N72" i="1"/>
  <c r="N69" i="1"/>
  <c r="N63" i="1"/>
  <c r="N64" i="1"/>
  <c r="I97" i="1" l="1"/>
  <c r="J97" i="1" s="1"/>
  <c r="I93" i="1"/>
  <c r="J93" i="1" s="1"/>
  <c r="K93" i="1" s="1"/>
  <c r="I89" i="1"/>
  <c r="J89" i="1" s="1"/>
  <c r="K97" i="1" l="1"/>
  <c r="L97" i="1" s="1"/>
  <c r="M97" i="1" s="1"/>
  <c r="L93" i="1"/>
  <c r="M93" i="1" s="1"/>
  <c r="K89" i="1"/>
  <c r="L89" i="1" s="1"/>
  <c r="M89" i="1" s="1"/>
  <c r="I94" i="1" l="1"/>
  <c r="J94" i="1" s="1"/>
  <c r="K94" i="1" l="1"/>
  <c r="L94" i="1" s="1"/>
  <c r="M94" i="1" s="1"/>
  <c r="I86" i="1" l="1"/>
  <c r="J86" i="1" s="1"/>
  <c r="I84" i="1"/>
  <c r="J84" i="1" s="1"/>
  <c r="I85" i="1"/>
  <c r="J85" i="1" s="1"/>
  <c r="K85" i="1" s="1"/>
  <c r="K86" i="1" l="1"/>
  <c r="L86" i="1" s="1"/>
  <c r="M86" i="1" s="1"/>
  <c r="N87" i="1" s="1"/>
  <c r="K84" i="1"/>
  <c r="L84" i="1" s="1"/>
  <c r="M84" i="1" s="1"/>
  <c r="L85" i="1"/>
  <c r="M85" i="1" s="1"/>
  <c r="M83" i="1" l="1"/>
  <c r="N94" i="1"/>
  <c r="N97" i="1"/>
  <c r="M34" i="1"/>
  <c r="N35" i="1" l="1"/>
  <c r="N77" i="1"/>
  <c r="N106" i="1"/>
  <c r="N104" i="1"/>
  <c r="N93" i="1"/>
  <c r="I19" i="1"/>
  <c r="J19" i="1" s="1"/>
  <c r="K19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8" i="1"/>
  <c r="J28" i="1" s="1"/>
  <c r="I29" i="1"/>
  <c r="J29" i="1" s="1"/>
  <c r="K29" i="1" s="1"/>
  <c r="I30" i="1"/>
  <c r="J30" i="1" s="1"/>
  <c r="I31" i="1"/>
  <c r="J31" i="1" s="1"/>
  <c r="K31" i="1" s="1"/>
  <c r="K25" i="1" l="1"/>
  <c r="L25" i="1" s="1"/>
  <c r="M25" i="1" s="1"/>
  <c r="K28" i="1"/>
  <c r="L28" i="1" s="1"/>
  <c r="M28" i="1" s="1"/>
  <c r="K30" i="1"/>
  <c r="L30" i="1" s="1"/>
  <c r="M30" i="1" s="1"/>
  <c r="K21" i="1"/>
  <c r="L21" i="1" s="1"/>
  <c r="M21" i="1" s="1"/>
  <c r="K23" i="1"/>
  <c r="L23" i="1" s="1"/>
  <c r="M23" i="1" s="1"/>
  <c r="L31" i="1"/>
  <c r="M31" i="1" s="1"/>
  <c r="L29" i="1"/>
  <c r="M29" i="1" s="1"/>
  <c r="L26" i="1"/>
  <c r="M26" i="1" s="1"/>
  <c r="L24" i="1"/>
  <c r="M24" i="1" s="1"/>
  <c r="L22" i="1"/>
  <c r="M22" i="1" s="1"/>
  <c r="L19" i="1"/>
  <c r="M19" i="1" s="1"/>
  <c r="I17" i="1"/>
  <c r="J17" i="1" s="1"/>
  <c r="K17" i="1" s="1"/>
  <c r="L17" i="1" l="1"/>
  <c r="M17" i="1" s="1"/>
  <c r="M16" i="1" s="1"/>
  <c r="N27" i="1" s="1"/>
  <c r="N18" i="1" l="1"/>
  <c r="N20" i="1"/>
  <c r="N113" i="1"/>
  <c r="N112" i="1"/>
  <c r="N115" i="1"/>
  <c r="N116" i="1"/>
  <c r="N117" i="1"/>
  <c r="N96" i="1"/>
  <c r="N100" i="1"/>
  <c r="N108" i="1"/>
  <c r="N102" i="1"/>
  <c r="N109" i="1"/>
  <c r="N119" i="1"/>
  <c r="N101" i="1"/>
  <c r="N120" i="1"/>
  <c r="N121" i="1"/>
  <c r="N99" i="1"/>
  <c r="N110" i="1"/>
  <c r="N91" i="1"/>
  <c r="N90" i="1"/>
  <c r="N89" i="1"/>
  <c r="N84" i="1"/>
  <c r="N86" i="1"/>
  <c r="N85" i="1"/>
  <c r="N21" i="1"/>
  <c r="N19" i="1"/>
  <c r="N25" i="1"/>
  <c r="N23" i="1"/>
  <c r="N29" i="1"/>
  <c r="N22" i="1"/>
  <c r="N30" i="1"/>
  <c r="N28" i="1"/>
  <c r="N26" i="1"/>
  <c r="N31" i="1"/>
  <c r="N24" i="1"/>
  <c r="N17" i="1"/>
  <c r="J124" i="1"/>
  <c r="N16" i="1" l="1"/>
</calcChain>
</file>

<file path=xl/sharedStrings.xml><?xml version="1.0" encoding="utf-8"?>
<sst xmlns="http://schemas.openxmlformats.org/spreadsheetml/2006/main" count="548" uniqueCount="250">
  <si>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</si>
  <si>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</si>
  <si>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</si>
  <si>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</si>
  <si>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</si>
  <si>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</si>
  <si>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</si>
  <si>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</si>
  <si>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</si>
  <si>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</si>
  <si>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</si>
  <si>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</si>
  <si>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</si>
  <si>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</si>
  <si>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</si>
  <si>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</si>
  <si>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</si>
  <si>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</si>
  <si>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</si>
  <si>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</si>
  <si>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</si>
  <si>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</si>
  <si>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</si>
  <si>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</si>
  <si>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</si>
  <si>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</si>
  <si>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</si>
  <si>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</si>
  <si>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</si>
  <si>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</si>
  <si>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</si>
  <si>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</si>
  <si>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</si>
  <si>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</si>
  <si>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</si>
  <si>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</si>
  <si>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</si>
  <si>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</si>
  <si>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</si>
  <si>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</si>
  <si>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</si>
  <si>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</si>
  <si>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</si>
  <si>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</si>
  <si>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</si>
  <si>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</si>
  <si>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</si>
  <si>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</si>
  <si>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</si>
  <si>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</si>
  <si>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</si>
  <si>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</si>
  <si>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</si>
  <si>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</si>
  <si>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</si>
  <si>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</si>
  <si>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</si>
  <si>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</si>
  <si>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</si>
  <si>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</si>
  <si>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</si>
  <si>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</si>
  <si>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</si>
  <si>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</si>
  <si>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</si>
  <si>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</si>
  <si>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</si>
  <si>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</si>
  <si>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</si>
  <si>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</si>
  <si>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</si>
  <si>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</si>
  <si>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</si>
  <si>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</si>
  <si>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</si>
  <si>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</si>
  <si>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</si>
  <si>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</si>
  <si>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</si>
  <si>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</si>
  <si>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</si>
  <si>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</si>
  <si>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2.5</t>
  </si>
  <si>
    <t>2.11</t>
  </si>
  <si>
    <t>2.15</t>
  </si>
  <si>
    <t>2.10</t>
  </si>
  <si>
    <t>2.1</t>
  </si>
  <si>
    <t>2.3</t>
  </si>
  <si>
    <t>2.7</t>
  </si>
  <si>
    <t>2.9</t>
  </si>
  <si>
    <t>2.12</t>
  </si>
  <si>
    <t>2.18</t>
  </si>
  <si>
    <r>
      <t xml:space="preserve">Data Orçamento: </t>
    </r>
    <r>
      <rPr>
        <sz val="8"/>
        <color rgb="FFFF0000"/>
        <rFont val="Arial"/>
        <family val="2"/>
      </rPr>
      <t>Jun/22</t>
    </r>
  </si>
  <si>
    <t>2.6</t>
  </si>
  <si>
    <t>2.4</t>
  </si>
  <si>
    <t>2.2</t>
  </si>
  <si>
    <t>2.8</t>
  </si>
  <si>
    <t>2.13</t>
  </si>
  <si>
    <t>2.14</t>
  </si>
  <si>
    <t>2.16</t>
  </si>
  <si>
    <t>2.17</t>
  </si>
  <si>
    <t>KG</t>
  </si>
  <si>
    <t>3.7</t>
  </si>
  <si>
    <t>3.8</t>
  </si>
  <si>
    <t>3.10</t>
  </si>
  <si>
    <t>3.11</t>
  </si>
  <si>
    <t>ARAME RECOZIDO 16 BWG, D = 1,65 MM (0,016 KG/M) OU 18 BWG, D = 1,25 MM (0,01 KG/M)</t>
  </si>
  <si>
    <t>kg</t>
  </si>
  <si>
    <r>
      <t xml:space="preserve">Mês de referência: </t>
    </r>
    <r>
      <rPr>
        <sz val="8"/>
        <color rgb="FFFF0000"/>
        <rFont val="Arial"/>
        <family val="2"/>
      </rPr>
      <t>Maio/2025 (data da proposta)</t>
    </r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</si>
  <si>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05/2025)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</si>
  <si>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ORSE</t>
  </si>
  <si>
    <t>JOELHO PVC, SOLDAVEL, 90 GRAUS, 25 MM, PARA AGUA FRIA PREDIAL</t>
  </si>
  <si>
    <t>L</t>
  </si>
  <si>
    <t>TINTA LATEX ACRILICA STANDARD, COR BRANCO NEVE</t>
  </si>
  <si>
    <t>2.23</t>
  </si>
  <si>
    <t>MASSA ACRILICA PARA SUPERFICIES INTERNAS E EXTERNAS</t>
  </si>
  <si>
    <t>2.25</t>
  </si>
  <si>
    <t>Tubo de ligação em PVC para vaso sanitário, acabamento cromado, CIPLA ou similar</t>
  </si>
  <si>
    <t>2.41</t>
  </si>
  <si>
    <t>TORNEIRA METALICA CROMADA DE MESA PARA LAVATORIO, BICA ALTA, COM AREJADOR (REF 1195)</t>
  </si>
  <si>
    <t>2.39</t>
  </si>
  <si>
    <t>TORNEIRA METALICA CROMADA PARA JARDIM / TANQUE, COM BICO PLASTICO, CANO LONGO, DE PAREDE, PADRAO POPULAR / USO GERAL , 1/2 " OU 3/4 " (REF 1153 / 1130)</t>
  </si>
  <si>
    <t>2.19</t>
  </si>
  <si>
    <t>2.20</t>
  </si>
  <si>
    <t>2.21</t>
  </si>
  <si>
    <t>2.22</t>
  </si>
  <si>
    <t>2.26</t>
  </si>
  <si>
    <t>2.24</t>
  </si>
  <si>
    <t>2.27</t>
  </si>
  <si>
    <t>2.28</t>
  </si>
  <si>
    <t>2.29</t>
  </si>
  <si>
    <t>2.30</t>
  </si>
  <si>
    <t>FITA VEDA ROSCA EM ROLOS DE 18 MM X 50 M (L X C)</t>
  </si>
  <si>
    <t>2.33</t>
  </si>
  <si>
    <t>2.40</t>
  </si>
  <si>
    <t>2.31</t>
  </si>
  <si>
    <t>2.35</t>
  </si>
  <si>
    <t>2.32</t>
  </si>
  <si>
    <t>2.38</t>
  </si>
  <si>
    <t>LUVA PVC SOLDAVEL, 25 MM, PARA AGUA FRIA PREDIAL</t>
  </si>
  <si>
    <t>2.36</t>
  </si>
  <si>
    <t>2.43</t>
  </si>
  <si>
    <t>2.34</t>
  </si>
  <si>
    <t>2.37</t>
  </si>
  <si>
    <t>2.42</t>
  </si>
  <si>
    <t>M²</t>
  </si>
  <si>
    <t>3.5</t>
  </si>
  <si>
    <t>3.6</t>
  </si>
  <si>
    <t>3.9</t>
  </si>
  <si>
    <t>8.01.02</t>
  </si>
  <si>
    <t>ALUGUEL CAÇAMBA 4M3</t>
  </si>
  <si>
    <t>TINTA ESMALTE SINTETICO PREMIUM BRILHANTE - AZUL DEL REY</t>
  </si>
  <si>
    <t>TINTA ESMALTE SINTETICO PREMIUM BRILHANTE - MARROM TABACO</t>
  </si>
  <si>
    <t>TINTA ESMALTE SINTETICO PREMIUM BRILHANTE - VERDE FOLHA</t>
  </si>
  <si>
    <t>TINTA ACRILICA PREMIUM PARA PISO AZUL</t>
  </si>
  <si>
    <t>TINTA ACRILICA PREMIUM PARA PISO BRANCO</t>
  </si>
  <si>
    <t>TINTA ACRILICA PREMIUM PARA PISO CONCRETO</t>
  </si>
  <si>
    <t>FITA CREPE ROLO DE 25 MM X 50 M</t>
  </si>
  <si>
    <t>GESSO EM PO PARA REVESTIMENTOS/MOLDURAS/SANCAS E USO GERAL</t>
  </si>
  <si>
    <t>LIXA D'AGUA EM FOLHA, GRAO 100</t>
  </si>
  <si>
    <t>MASSA CORRIDA PARA SUPERFICIES DE AMBIENTES INTERNOS</t>
  </si>
  <si>
    <t>RESINA ACRILICA PREMIUM BASE AGUA - COR BRANCA</t>
  </si>
  <si>
    <t>LUVA DE CORRER PVC PBA, JE, DN 75 / DE 85 MM, PARA REDE DE AGUA</t>
  </si>
  <si>
    <t>BUCHA DE REDUCAO DE FERRO GALVANIZADO, COM ROSCA BSP, DE 3/4" X 1/2"</t>
  </si>
  <si>
    <t>TORNEIRA METALICA CROMADA, DE MESA/BANCADA, PARA COZINHA, BICA MOVEL, COM AREJADOR, 1/2 " OU 3/4 " (REF 1167 / 1168)</t>
  </si>
  <si>
    <t>ANEL DE VEDACAO, PVC FLEXIVEL, 100 MM, PARA SAIDA DE BACIA / VASO SANITARIO</t>
  </si>
  <si>
    <t>SIFAO / TUBO SINFONADO EXTENSIVEL/SANFONADO, UNIVERSAL/ SIMPLES, ENTRE *50 A 70* CM, DE PLASTICO BRANCO</t>
  </si>
  <si>
    <t>VALVULA DE DESCARGA METALICA, BASE 1 1/2" E ACABAMENTO METALICO CROMADO</t>
  </si>
  <si>
    <t>TUBO DE DESCARGA, TIPO BENGALA, PARA LIGACAO CAIXA DE DESCARGA - EMBUTIR, PVC, 40 MM X 150 CM</t>
  </si>
  <si>
    <t>LUVA SOLDAVEL COM BUCHA DE LATAO, PVC, 25 MM X 1/2"</t>
  </si>
  <si>
    <t>PORTA DE ABRIR / GIRO, DE MADEIRA FOLHA MEDIA (NBR 15930) DE 800 X 2100 MM, DE 35 MM A 40 MM DE ESPESSURA, NUCLEO SEMI-SOLIDO (SARRAFEADO), CAPA LISA EM HDF, ACABAMENTO EM LAMINADO NATURAL PARA VERNIZ</t>
  </si>
  <si>
    <t>DOBRADICA EM LATAO, 3" X 2 1/2 ", E= 1,9 A 2 MM, COM ANEL, CROMADO, TAMPA BOLA, COM PARAFUSOS</t>
  </si>
  <si>
    <t>FECHADURA ESPELHO PARA PORTA EXTERNA, EM ACO INOX (MAQUINA, TESTA E CONTRA-TESTA) E EM ZAMAC (MACANETA, LINGUETA E TRINCOS) COM ACABAMENTO CROMADO, MAQUINA DE 40 MM, INCLUINDO CHAVE TIPO CILINDRO</t>
  </si>
  <si>
    <t>PEDRA BRITADA N. 0, OU PEDRISCO (4,8 A 9,5 MM) POSTO PEDREIRA/FORNECEDOR, SEM FRETE</t>
  </si>
  <si>
    <t>m3</t>
  </si>
  <si>
    <t>TRANSPORTE COM CAMINHÃO BASCULANTE DE 10 M³, EM VIA URBANA EM LEITO NATURAL (UNIDADE: M3XKM). AF_07/2020</t>
  </si>
  <si>
    <t>M3XKM</t>
  </si>
  <si>
    <t>CIMENTO PORTLAND COMPOSTO CP II-32</t>
  </si>
  <si>
    <t>MASSA PLASTICA PARA MARMORE/GRANITO</t>
  </si>
  <si>
    <t>PREGO DE ACO POLIDO COM CABECA 17 X 21 (2 X 11)</t>
  </si>
  <si>
    <t>PREGO DE ACO POLIDO COM CABECA 15 X 15 (1 1/4 X 13)</t>
  </si>
  <si>
    <t>PREGO DE ACO POLIDO COM CABECA 18 X 27 (2 1/2 X 10)</t>
  </si>
  <si>
    <t>REJUNTE CIMENTICIO, QUALQUER COR - BRANCO</t>
  </si>
  <si>
    <t>REVESTIMENTO EM CERAMICA ESMALTADA, FORMATO MAIOR A 2025 CM2</t>
  </si>
  <si>
    <t>BLOCO CERAMICO / TIJOLO VAZADO PARA ALVENARIA DE VEDACAO, 9 FUROS NA HORIZONTAL DE 14 X 19 X 39 CM (L X A X C)</t>
  </si>
  <si>
    <t>ESCOVA CIRCULAR EM ACO LATONADO, 6 X 1" (DIAMETRO X ESPESSURA), FURO DE 1 1/4 ", FIO ONDULADO *0,30* MM</t>
  </si>
  <si>
    <t>AREIA GROSSA - POSTO JAZIDA/FORNECEDOR (RETIRADO NA JAZIDA, SEM TRANSPORTE)</t>
  </si>
  <si>
    <t>CAMINHÃO PARA EQUIPAMENTO DE LIMPEZA A SUCÇÃO, COM CAMINHÃO TRUCADO DE PESO BRUTO TOTAL 23000 KG, CARGA ÚTIL MÁXIMA 15935 KG, DISTÂNCIA ENTRE EIXOS 4,80 M, POTÊNCIA 230 CV, INCLUSIVE LIMPADORA A SUCÇÃO, TANQUE 12000 L - CHP DIURNO. AF_05/2023</t>
  </si>
  <si>
    <t>H</t>
  </si>
  <si>
    <t>Vidro 3mm</t>
  </si>
  <si>
    <t>Local</t>
  </si>
  <si>
    <t>Quant.</t>
  </si>
  <si>
    <t>largura (cm)</t>
  </si>
  <si>
    <t>Comprimento (Cm)</t>
  </si>
  <si>
    <t>m²</t>
  </si>
  <si>
    <t>OBS</t>
  </si>
  <si>
    <t>DEQ</t>
  </si>
  <si>
    <t>total m²</t>
  </si>
  <si>
    <t>INSTALAÇÃO DE VIDROS</t>
  </si>
  <si>
    <t>INSTALAÇÃO DE VIDRO TEMPERADO, E = 8 MM, ENCAIXADO EM PERFIL U. AF_01/2021_PS</t>
  </si>
  <si>
    <t>REMOÇÃO DE VIDRO TEMPERADO FIXADO EM PERFIL U. AF_01/2021</t>
  </si>
  <si>
    <t>INSTALAÇÃO DE VIDRO TEMPERADO CPqMAE</t>
  </si>
  <si>
    <t>UAC</t>
  </si>
  <si>
    <t>AT09</t>
  </si>
  <si>
    <t>DGERO</t>
  </si>
  <si>
    <t>PSICOLOGIA</t>
  </si>
  <si>
    <t>ANFITEATRO</t>
  </si>
  <si>
    <t>NFP</t>
  </si>
  <si>
    <t>AT1</t>
  </si>
  <si>
    <t>NAP</t>
  </si>
  <si>
    <t>AT2</t>
  </si>
  <si>
    <t>INSTALAÇÃO DE VIDRO LISO INCOLOR, E = 3 MM, EM ESQUADRIA DE ALUMÍNIO OU PVC, FIXADO COM BAGUETE. AF_01/2021_PS</t>
  </si>
  <si>
    <t>REMOÇÃO DE VIDRO LISO COMUM DE ESQUADRIA COM BAGUETE DE ALUMÍNIO OU PVC. AF_01/2021</t>
  </si>
  <si>
    <t>DESOBSTRUÇÃO DE REDE - ROTATORIA BB</t>
  </si>
  <si>
    <t>PINTURA PROEX</t>
  </si>
  <si>
    <t xml:space="preserve"> 88489 </t>
  </si>
  <si>
    <t>PINTURA LÁTEX ACRÍLICA PREMIUM, APLICAÇÃO MANUAL EM PAREDES, DUAS DEMÃOS. AF_04/2023</t>
  </si>
  <si>
    <t>LIMPEZA DE SUPERFÍCIE COM JATO DE ALTA PRESSÃO. AF_04/2019</t>
  </si>
  <si>
    <t>IMPERMEABILIZAÇÃO DE SUPERFÍCIE COM MEMBRANA À BASE DE RESINA ACRÍLICA, 3 DEMÃOS. AF_09/2023</t>
  </si>
  <si>
    <t>TEXTURA ACRÍLICA, APLICAÇÃO MANUAL EM PAREDE, UMA DEMÃO. AF_04/2023</t>
  </si>
  <si>
    <t>APLICAÇÃO MANUAL DE PINTURA COM TINTA LÁTEX ACRÍLICA EM TETO, DUAS DEMÃOS. AF_06/2014</t>
  </si>
  <si>
    <t>PINTURA MORADIA APARTAMENTO Nº 61</t>
  </si>
  <si>
    <t>APLICAÇÃO MANUAL DE MASSA ACRÍLICA EM PAREDES EXTERNAS DE CASAS, DUAS DEMÃOS. AF_05/2017</t>
  </si>
  <si>
    <t>PINTURA EM GERAL DPTO  MORFOLOGIA E PATALOGIA</t>
  </si>
  <si>
    <t>PINTURA EM GERAL DPTO GERONTOLOGIA</t>
  </si>
  <si>
    <t>PINTURA EM GERAL DEQ</t>
  </si>
  <si>
    <t>PINTURA EM GERAL AT10</t>
  </si>
  <si>
    <t>PINTURA EM GERAL AT4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</si>
  <si>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</t>
    </r>
    <r>
      <rPr>
        <b/>
        <sz val="8"/>
        <rFont val="Arial"/>
        <family val="2"/>
      </rPr>
      <t xml:space="preserve">PERIODO DE </t>
    </r>
    <r>
      <rPr>
        <b/>
        <sz val="8"/>
        <color rgb="FFFF0000"/>
        <rFont val="Arial"/>
        <family val="2"/>
      </rPr>
      <t>AGOSTO/2025</t>
    </r>
  </si>
  <si>
    <t>FDE(04/25)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</si>
  <si>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</si>
  <si>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</si>
  <si>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</si>
  <si>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</si>
  <si>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</si>
  <si>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</si>
  <si>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</si>
  <si>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</si>
  <si>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</si>
  <si>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</si>
  <si>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</si>
  <si>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</si>
  <si>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</si>
  <si>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</si>
  <si>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</si>
  <si>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</si>
  <si>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</si>
  <si>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CORREÇÃO JULHO ENCARREGADO</t>
  </si>
  <si>
    <t>CORREÇÃO JULHO ENCANADOR</t>
  </si>
  <si>
    <t>CORREÇÃO JULHO AJUDANTES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</si>
</sst>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1"/>
    </font>
    <font>
      <b/>
      <sz val="8"/>
      <color theme="4"/>
      <name val="Arial"/>
      <family val="2"/>
    </font>
    <font>
      <sz val="8"/>
      <color rgb="FFFF0000"/>
      <name val="Arial"/>
      <family val="1"/>
    </font>
    <font>
      <b/>
      <sz val="8"/>
      <color theme="4"/>
      <name val="Arial"/>
      <family val="1"/>
    </font>
    <font>
      <b/>
      <sz val="8"/>
      <color theme="4"/>
      <name val="Calibri"/>
      <family val="2"/>
      <scheme val="minor"/>
    </font>
    <font>
      <sz val="8"/>
      <color theme="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2" fillId="0" borderId="0"/>
    <xf numFmtId="164" fontId="22" fillId="0" borderId="0" applyBorder="0" applyProtection="0"/>
    <xf numFmtId="0" fontId="23" fillId="0" borderId="0" applyBorder="0" applyProtection="0"/>
    <xf numFmtId="0" fontId="16" fillId="4" borderId="1" applyProtection="0"/>
    <xf numFmtId="0" fontId="24" fillId="0" borderId="0"/>
  </cellStyleXfs>
  <cellXfs count="208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4" fontId="13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43" fontId="15" fillId="0" borderId="0" xfId="0" applyNumberFormat="1" applyFont="1"/>
    <xf numFmtId="0" fontId="9" fillId="0" borderId="24" xfId="4" applyFont="1" applyFill="1" applyBorder="1" applyAlignment="1">
      <alignment vertical="center"/>
    </xf>
    <xf numFmtId="0" fontId="9" fillId="0" borderId="24" xfId="0" applyFont="1" applyBorder="1" applyAlignment="1">
      <alignment horizontal="center" vertical="center" wrapText="1"/>
    </xf>
    <xf numFmtId="4" fontId="8" fillId="0" borderId="24" xfId="0" applyNumberFormat="1" applyFont="1" applyBorder="1" applyAlignment="1">
      <alignment horizontal="center" vertical="center" wrapText="1"/>
    </xf>
    <xf numFmtId="4" fontId="13" fillId="0" borderId="16" xfId="2" applyNumberFormat="1" applyFont="1" applyFill="1" applyBorder="1" applyAlignment="1" applyProtection="1">
      <alignment horizontal="center" vertical="center"/>
    </xf>
    <xf numFmtId="0" fontId="21" fillId="5" borderId="24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center" wrapText="1"/>
    </xf>
    <xf numFmtId="4" fontId="8" fillId="5" borderId="24" xfId="0" applyNumberFormat="1" applyFont="1" applyFill="1" applyBorder="1" applyAlignment="1">
      <alignment horizontal="center" vertical="center" wrapText="1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8" fillId="2" borderId="24" xfId="1" applyFont="1" applyBorder="1"/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vertical="center" wrapText="1"/>
    </xf>
    <xf numFmtId="0" fontId="13" fillId="0" borderId="24" xfId="1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horizontal="left"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Border="1" applyAlignment="1">
      <alignment horizontal="left" vertical="top" wrapText="1"/>
    </xf>
    <xf numFmtId="0" fontId="13" fillId="0" borderId="24" xfId="4" applyFont="1" applyFill="1" applyBorder="1" applyAlignment="1">
      <alignment vertical="center"/>
    </xf>
    <xf numFmtId="0" fontId="9" fillId="0" borderId="24" xfId="4" applyFont="1" applyFill="1" applyBorder="1"/>
    <xf numFmtId="0" fontId="13" fillId="0" borderId="24" xfId="4" applyFont="1" applyFill="1" applyBorder="1"/>
    <xf numFmtId="0" fontId="9" fillId="0" borderId="24" xfId="0" applyFont="1" applyBorder="1" applyAlignment="1">
      <alignment horizontal="left" vertical="center"/>
    </xf>
    <xf numFmtId="0" fontId="13" fillId="0" borderId="24" xfId="0" applyFont="1" applyBorder="1" applyAlignment="1">
      <alignment vertical="center"/>
    </xf>
    <xf numFmtId="0" fontId="9" fillId="0" borderId="24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6" fillId="0" borderId="24" xfId="0" applyFont="1" applyBorder="1" applyAlignment="1">
      <alignment vertical="center"/>
    </xf>
    <xf numFmtId="0" fontId="15" fillId="0" borderId="24" xfId="0" applyFont="1" applyBorder="1"/>
    <xf numFmtId="0" fontId="9" fillId="0" borderId="24" xfId="5" applyFont="1" applyFill="1" applyBorder="1" applyAlignment="1" applyProtection="1">
      <alignment horizontal="center" vertical="center"/>
    </xf>
    <xf numFmtId="0" fontId="15" fillId="0" borderId="24" xfId="0" applyFont="1" applyBorder="1" applyAlignment="1">
      <alignment vertical="center"/>
    </xf>
    <xf numFmtId="0" fontId="13" fillId="0" borderId="24" xfId="5" applyFont="1" applyFill="1" applyBorder="1" applyAlignment="1" applyProtection="1">
      <alignment horizontal="center" vertical="center"/>
    </xf>
    <xf numFmtId="0" fontId="27" fillId="0" borderId="24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0" fillId="0" borderId="24" xfId="0" applyBorder="1"/>
    <xf numFmtId="0" fontId="0" fillId="0" borderId="24" xfId="0" applyBorder="1" applyAlignment="1">
      <alignment horizontal="center"/>
    </xf>
    <xf numFmtId="2" fontId="25" fillId="0" borderId="24" xfId="0" applyNumberFormat="1" applyFont="1" applyBorder="1"/>
    <xf numFmtId="0" fontId="28" fillId="0" borderId="24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left" vertical="center" wrapText="1"/>
    </xf>
    <xf numFmtId="4" fontId="29" fillId="0" borderId="24" xfId="2" applyNumberFormat="1" applyFont="1" applyBorder="1" applyAlignment="1" applyProtection="1">
      <alignment horizontal="center" vertical="center"/>
    </xf>
    <xf numFmtId="4" fontId="10" fillId="0" borderId="24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 wrapText="1"/>
    </xf>
    <xf numFmtId="4" fontId="31" fillId="5" borderId="15" xfId="0" applyNumberFormat="1" applyFont="1" applyFill="1" applyBorder="1" applyAlignment="1">
      <alignment horizontal="center" vertical="center" wrapText="1"/>
    </xf>
    <xf numFmtId="4" fontId="20" fillId="5" borderId="24" xfId="0" applyNumberFormat="1" applyFont="1" applyFill="1" applyBorder="1" applyAlignment="1">
      <alignment horizontal="center" vertical="center" wrapText="1"/>
    </xf>
    <xf numFmtId="4" fontId="29" fillId="5" borderId="24" xfId="0" applyNumberFormat="1" applyFont="1" applyFill="1" applyBorder="1" applyAlignment="1">
      <alignment horizontal="center" vertical="center" wrapText="1"/>
    </xf>
    <xf numFmtId="4" fontId="31" fillId="5" borderId="24" xfId="0" applyNumberFormat="1" applyFont="1" applyFill="1" applyBorder="1" applyAlignment="1">
      <alignment horizontal="center" vertical="center" wrapText="1"/>
    </xf>
    <xf numFmtId="4" fontId="32" fillId="5" borderId="24" xfId="0" applyNumberFormat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/>
    </xf>
    <xf numFmtId="2" fontId="29" fillId="0" borderId="24" xfId="1" applyNumberFormat="1" applyFont="1" applyFill="1" applyBorder="1" applyAlignment="1">
      <alignment horizontal="center" vertical="center"/>
    </xf>
    <xf numFmtId="0" fontId="32" fillId="0" borderId="24" xfId="1" applyFont="1" applyFill="1" applyBorder="1" applyAlignment="1">
      <alignment horizontal="center" vertical="center"/>
    </xf>
    <xf numFmtId="0" fontId="29" fillId="0" borderId="24" xfId="1" applyFont="1" applyFill="1" applyBorder="1" applyAlignment="1">
      <alignment horizontal="center" vertical="center"/>
    </xf>
    <xf numFmtId="2" fontId="32" fillId="0" borderId="24" xfId="1" applyNumberFormat="1" applyFont="1" applyFill="1" applyBorder="1" applyAlignment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4" fontId="32" fillId="0" borderId="24" xfId="2" applyNumberFormat="1" applyFont="1" applyBorder="1" applyAlignment="1" applyProtection="1">
      <alignment horizontal="center" vertical="center"/>
    </xf>
    <xf numFmtId="4" fontId="29" fillId="0" borderId="24" xfId="2" applyNumberFormat="1" applyFont="1" applyFill="1" applyBorder="1" applyAlignment="1" applyProtection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33" fillId="0" borderId="24" xfId="2" applyFont="1" applyBorder="1" applyAlignment="1" applyProtection="1">
      <alignment horizontal="center" vertical="center"/>
    </xf>
    <xf numFmtId="0" fontId="33" fillId="0" borderId="24" xfId="0" applyFont="1" applyBorder="1" applyAlignment="1">
      <alignment horizontal="center" vertical="center"/>
    </xf>
    <xf numFmtId="4" fontId="33" fillId="0" borderId="24" xfId="2" applyNumberFormat="1" applyFont="1" applyBorder="1" applyAlignment="1" applyProtection="1">
      <alignment horizontal="center" vertical="center"/>
    </xf>
    <xf numFmtId="0" fontId="7" fillId="0" borderId="24" xfId="2" applyFont="1" applyBorder="1" applyAlignment="1" applyProtection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4" fontId="7" fillId="0" borderId="24" xfId="2" applyNumberFormat="1" applyFont="1" applyBorder="1" applyAlignment="1" applyProtection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8" fillId="0" borderId="24" xfId="0" applyFont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15" xfId="0" applyFont="1" applyBorder="1" applyAlignment="1">
      <alignment horizontal="center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3005245</xdr:colOff>
      <xdr:row>4</xdr:row>
      <xdr:rowOff>186734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/Users/anivaldo/AppData/Roaming/Microsoft/08%20Ago/2022/10%20Outubro/Notas%20Fiscais/NF%20516064%20Jabu%20SA.pdf" TargetMode="External"/><Relationship Id="rId3" Type="http://schemas.openxmlformats.org/officeDocument/2006/relationships/hyperlink" Target="file:///C:/Users/anivaldo/AppData/Roaming/Microsoft/Excel/2022/10%20Outubro/Notas%20Fiscais/NF%20516064%20Jabu%20SA.pdf" TargetMode="External"/><Relationship Id="rId7" Type="http://schemas.openxmlformats.org/officeDocument/2006/relationships/hyperlink" Target="file:///C:/Users/anivaldo/AppData/Roaming/Microsoft/07%20Jul/2022/10%20Outubro/Notas%20Fiscais/NF%20516064%20Jabu%20SA.pdf" TargetMode="External"/><Relationship Id="rId2" Type="http://schemas.openxmlformats.org/officeDocument/2006/relationships/hyperlink" Target="file:///C:/Users/anivaldo/Downloads/2022/10%20Outubro/Notas%20Fiscais/NF%20516064%20Jabu%20SA.pdf" TargetMode="External"/><Relationship Id="rId1" Type="http://schemas.openxmlformats.org/officeDocument/2006/relationships/hyperlink" Target="file:///C:/Users/anivaldo/AppData/Roaming/Microsoft/Excel/2022/10%20Outubro/Notas%20Fiscais/NF01%20Jabu%20SA.pdf" TargetMode="External"/><Relationship Id="rId6" Type="http://schemas.openxmlformats.org/officeDocument/2006/relationships/hyperlink" Target="file:///C:/Users/anivaldo/AppData/Roaming/Microsoft/Excel/2022/10%20Outubro/Notas%20Fiscais/NF01%20Jabu%20SA.pdf" TargetMode="External"/><Relationship Id="rId5" Type="http://schemas.openxmlformats.org/officeDocument/2006/relationships/hyperlink" Target="file:///C:/Users/anivaldo/AppData/Roaming/Microsoft/Excel/2022/10%20Outubro/Notas%20Fiscais/NF%20516064%20Jabu%20SA.pdf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file:///C:/Users/anivaldo/AppData/Roaming/Microsoft/Excel/2022/09%20Setembro/Notas%20Fiscais/NF01%20Jabu%20SA.pd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53"/>
  <sheetViews>
    <sheetView tabSelected="1" topLeftCell="A112" zoomScale="90" zoomScaleNormal="90" workbookViewId="0">
      <selection activeCell="O143" sqref="A1:O149"/>
    </sheetView>
  </sheetViews>
  <sheetFormatPr defaultRowHeight="14.4" x14ac:dyDescent="0.3"/>
  <cols>
    <col min="2" max="3" width="10.6640625" customWidth="1"/>
    <col min="4" max="4" width="12.109375" customWidth="1"/>
    <col min="5" max="5" width="66.5546875" customWidth="1"/>
    <col min="6" max="6" width="6.44140625" customWidth="1"/>
    <col min="8" max="8" width="23.6640625" style="27" bestFit="1" customWidth="1"/>
    <col min="9" max="9" width="12.44140625" bestFit="1" customWidth="1"/>
    <col min="10" max="10" width="19" bestFit="1" customWidth="1"/>
    <col min="11" max="11" width="18.88671875" bestFit="1" customWidth="1"/>
    <col min="12" max="12" width="29.33203125" bestFit="1" customWidth="1"/>
    <col min="13" max="13" width="18" bestFit="1" customWidth="1"/>
    <col min="14" max="14" width="10.6640625" customWidth="1"/>
    <col min="15" max="15" width="4.6640625" customWidth="1"/>
    <col min="16" max="16" width="12.88671875" customWidth="1"/>
  </cols>
  <sheetData>
    <row r="1" spans="1:15" ht="17.100000000000001" customHeight="1" x14ac:dyDescent="0.3">
      <c r="A1" s="124" t="s">
        <v>0</v>
      </c>
      <c r="B1" s="125"/>
      <c r="C1" s="125"/>
      <c r="D1" s="125"/>
      <c r="E1" s="125"/>
      <c r="F1" s="125"/>
      <c r="G1" s="125"/>
      <c r="H1" s="125"/>
      <c r="I1" s="126"/>
      <c r="J1" s="133" t="s">
        <v>1</v>
      </c>
      <c r="K1" s="133"/>
      <c r="L1" s="133"/>
      <c r="M1" s="133"/>
      <c r="N1" s="133"/>
      <c r="O1" s="134"/>
    </row>
    <row r="2" spans="1:15" ht="17.100000000000001" customHeight="1" x14ac:dyDescent="0.3">
      <c r="A2" s="127"/>
      <c r="B2" s="128"/>
      <c r="C2" s="128"/>
      <c r="D2" s="128"/>
      <c r="E2" s="128"/>
      <c r="F2" s="128"/>
      <c r="G2" s="128"/>
      <c r="H2" s="128"/>
      <c r="I2" s="129"/>
      <c r="J2" s="135" t="s">
        <v>2</v>
      </c>
      <c r="K2" s="135"/>
      <c r="L2" s="135"/>
      <c r="M2" s="135"/>
      <c r="N2" s="135"/>
      <c r="O2" s="136"/>
    </row>
    <row r="3" spans="1:15" ht="17.100000000000001" customHeight="1" x14ac:dyDescent="0.3">
      <c r="A3" s="127"/>
      <c r="B3" s="128"/>
      <c r="C3" s="128"/>
      <c r="D3" s="128"/>
      <c r="E3" s="128"/>
      <c r="F3" s="128"/>
      <c r="G3" s="128"/>
      <c r="H3" s="128"/>
      <c r="I3" s="129"/>
      <c r="J3" s="135" t="s">
        <v>3</v>
      </c>
      <c r="K3" s="135"/>
      <c r="L3" s="135"/>
      <c r="M3" s="135" t="s">
        <v>4</v>
      </c>
      <c r="N3" s="135"/>
      <c r="O3" s="1"/>
    </row>
    <row r="4" spans="1:15" ht="17.100000000000001" customHeight="1" x14ac:dyDescent="0.3">
      <c r="A4" s="127"/>
      <c r="B4" s="128"/>
      <c r="C4" s="128"/>
      <c r="D4" s="128"/>
      <c r="E4" s="128"/>
      <c r="F4" s="128"/>
      <c r="G4" s="128"/>
      <c r="H4" s="128"/>
      <c r="I4" s="129"/>
      <c r="J4" s="135" t="s">
        <v>5</v>
      </c>
      <c r="K4" s="135"/>
      <c r="L4" s="135"/>
      <c r="M4" s="135" t="s">
        <v>6</v>
      </c>
      <c r="N4" s="135"/>
      <c r="O4" s="2"/>
    </row>
    <row r="5" spans="1:15" ht="17.100000000000001" customHeight="1" x14ac:dyDescent="0.3">
      <c r="A5" s="127"/>
      <c r="B5" s="128"/>
      <c r="C5" s="128"/>
      <c r="D5" s="128"/>
      <c r="E5" s="128"/>
      <c r="F5" s="128"/>
      <c r="G5" s="128"/>
      <c r="H5" s="128"/>
      <c r="I5" s="129"/>
      <c r="J5" s="135" t="s">
        <v>7</v>
      </c>
      <c r="K5" s="135"/>
      <c r="L5" s="135"/>
      <c r="M5" s="135" t="s">
        <v>8</v>
      </c>
      <c r="N5" s="135"/>
      <c r="O5" s="1"/>
    </row>
    <row r="6" spans="1:15" ht="17.100000000000001" customHeight="1" x14ac:dyDescent="0.3">
      <c r="A6" s="130"/>
      <c r="B6" s="131"/>
      <c r="C6" s="131"/>
      <c r="D6" s="131"/>
      <c r="E6" s="131"/>
      <c r="F6" s="131"/>
      <c r="G6" s="131"/>
      <c r="H6" s="131"/>
      <c r="I6" s="132"/>
      <c r="J6" s="135" t="s">
        <v>9</v>
      </c>
      <c r="K6" s="135"/>
      <c r="L6" s="135"/>
      <c r="M6" s="135" t="s">
        <v>10</v>
      </c>
      <c r="N6" s="135"/>
      <c r="O6" s="1"/>
    </row>
    <row r="7" spans="1:15" ht="17.100000000000001" customHeight="1" x14ac:dyDescent="0.3">
      <c r="A7" s="108" t="s">
        <v>11</v>
      </c>
      <c r="B7" s="109"/>
      <c r="C7" s="109"/>
      <c r="D7" s="109"/>
      <c r="E7" s="109"/>
      <c r="F7" s="109"/>
      <c r="G7" s="109"/>
      <c r="H7" s="109"/>
      <c r="I7" s="110"/>
      <c r="J7" s="111" t="s">
        <v>51</v>
      </c>
      <c r="K7" s="112"/>
      <c r="L7" s="112"/>
      <c r="M7" s="112"/>
      <c r="N7" s="113"/>
      <c r="O7" s="114" t="s">
        <v>12</v>
      </c>
    </row>
    <row r="8" spans="1:15" ht="17.100000000000001" customHeight="1" x14ac:dyDescent="0.3">
      <c r="A8" s="115" t="s">
        <v>228</v>
      </c>
      <c r="B8" s="116"/>
      <c r="C8" s="116"/>
      <c r="D8" s="116"/>
      <c r="E8" s="116"/>
      <c r="F8" s="116"/>
      <c r="G8" s="116"/>
      <c r="H8" s="116"/>
      <c r="I8" s="117"/>
      <c r="J8" s="111" t="s">
        <v>13</v>
      </c>
      <c r="K8" s="112"/>
      <c r="L8" s="112"/>
      <c r="M8" s="112"/>
      <c r="N8" s="113"/>
      <c r="O8" s="114"/>
    </row>
    <row r="9" spans="1:15" ht="17.100000000000001" customHeight="1" x14ac:dyDescent="0.3">
      <c r="A9" s="118"/>
      <c r="B9" s="119"/>
      <c r="C9" s="119"/>
      <c r="D9" s="119"/>
      <c r="E9" s="119"/>
      <c r="F9" s="119"/>
      <c r="G9" s="119"/>
      <c r="H9" s="119"/>
      <c r="I9" s="120"/>
      <c r="J9" s="111" t="s">
        <v>14</v>
      </c>
      <c r="K9" s="112"/>
      <c r="L9" s="112"/>
      <c r="M9" s="112"/>
      <c r="N9" s="113"/>
      <c r="O9" s="114"/>
    </row>
    <row r="10" spans="1:15" ht="17.100000000000001" customHeight="1" x14ac:dyDescent="0.3">
      <c r="A10" s="118"/>
      <c r="B10" s="119"/>
      <c r="C10" s="119"/>
      <c r="D10" s="119"/>
      <c r="E10" s="119"/>
      <c r="F10" s="119"/>
      <c r="G10" s="119"/>
      <c r="H10" s="119"/>
      <c r="I10" s="120"/>
      <c r="J10" s="111" t="s">
        <v>15</v>
      </c>
      <c r="K10" s="112"/>
      <c r="L10" s="112"/>
      <c r="M10" s="112"/>
      <c r="N10" s="113"/>
      <c r="O10" s="114"/>
    </row>
    <row r="11" spans="1:15" ht="17.100000000000001" customHeight="1" x14ac:dyDescent="0.3">
      <c r="A11" s="118"/>
      <c r="B11" s="119"/>
      <c r="C11" s="119"/>
      <c r="D11" s="119"/>
      <c r="E11" s="119"/>
      <c r="F11" s="119"/>
      <c r="G11" s="119"/>
      <c r="H11" s="119"/>
      <c r="I11" s="120"/>
      <c r="J11" s="111" t="s">
        <v>50</v>
      </c>
      <c r="K11" s="112"/>
      <c r="L11" s="112"/>
      <c r="M11" s="112"/>
      <c r="N11" s="113"/>
      <c r="O11" s="114"/>
    </row>
    <row r="12" spans="1:15" ht="17.100000000000001" customHeight="1" x14ac:dyDescent="0.3">
      <c r="A12" s="118"/>
      <c r="B12" s="119"/>
      <c r="C12" s="119"/>
      <c r="D12" s="119"/>
      <c r="E12" s="119"/>
      <c r="F12" s="119"/>
      <c r="G12" s="119"/>
      <c r="H12" s="119"/>
      <c r="I12" s="120"/>
      <c r="J12" s="111" t="s">
        <v>92</v>
      </c>
      <c r="K12" s="112"/>
      <c r="L12" s="112"/>
      <c r="M12" s="112"/>
      <c r="N12" s="113"/>
      <c r="O12" s="114"/>
    </row>
    <row r="13" spans="1:15" ht="17.100000000000001" customHeight="1" x14ac:dyDescent="0.3">
      <c r="A13" s="121"/>
      <c r="B13" s="122"/>
      <c r="C13" s="122"/>
      <c r="D13" s="122"/>
      <c r="E13" s="122"/>
      <c r="F13" s="122"/>
      <c r="G13" s="122"/>
      <c r="H13" s="122"/>
      <c r="I13" s="123"/>
      <c r="J13" s="111" t="s">
        <v>108</v>
      </c>
      <c r="K13" s="112"/>
      <c r="L13" s="112"/>
      <c r="M13" s="112"/>
      <c r="N13" s="113"/>
      <c r="O13" s="114"/>
    </row>
    <row r="14" spans="1:15" ht="17.100000000000001" customHeight="1" x14ac:dyDescent="0.3">
      <c r="A14" s="187" t="s">
        <v>16</v>
      </c>
      <c r="B14" s="141" t="s">
        <v>17</v>
      </c>
      <c r="C14" s="141" t="s">
        <v>18</v>
      </c>
      <c r="D14" s="141" t="s">
        <v>19</v>
      </c>
      <c r="E14" s="141" t="s">
        <v>20</v>
      </c>
      <c r="F14" s="141" t="s">
        <v>21</v>
      </c>
      <c r="G14" s="141" t="s">
        <v>22</v>
      </c>
      <c r="H14" s="198" t="s">
        <v>23</v>
      </c>
      <c r="I14" s="198"/>
      <c r="J14" s="198"/>
      <c r="K14" s="198"/>
      <c r="L14" s="199"/>
      <c r="M14" s="141" t="s">
        <v>24</v>
      </c>
      <c r="N14" s="141" t="s">
        <v>25</v>
      </c>
      <c r="O14" s="114" t="s">
        <v>26</v>
      </c>
    </row>
    <row r="15" spans="1:15" ht="17.100000000000001" customHeight="1" x14ac:dyDescent="0.3">
      <c r="A15" s="188"/>
      <c r="B15" s="142"/>
      <c r="C15" s="142"/>
      <c r="D15" s="142"/>
      <c r="E15" s="142"/>
      <c r="F15" s="142"/>
      <c r="G15" s="142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42"/>
      <c r="N15" s="142"/>
      <c r="O15" s="114"/>
    </row>
    <row r="16" spans="1:15" ht="17.100000000000001" customHeight="1" x14ac:dyDescent="0.3">
      <c r="A16" s="5">
        <v>1</v>
      </c>
      <c r="B16" s="6"/>
      <c r="C16" s="7"/>
      <c r="D16" s="7"/>
      <c r="E16" s="8" t="s">
        <v>31</v>
      </c>
      <c r="F16" s="9"/>
      <c r="G16" s="9"/>
      <c r="H16" s="52"/>
      <c r="I16" s="9"/>
      <c r="J16" s="9"/>
      <c r="K16" s="9"/>
      <c r="L16" s="9"/>
      <c r="M16" s="21">
        <f>SUM(M17:M31)</f>
        <v>74787.490459968016</v>
      </c>
      <c r="N16" s="10">
        <f>SUM(N17:N31)</f>
        <v>0.99999999999999967</v>
      </c>
      <c r="O16" s="114"/>
    </row>
    <row r="17" spans="1:15" ht="26.25" customHeight="1" x14ac:dyDescent="0.3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180</v>
      </c>
      <c r="H17" s="82">
        <v>49.57</v>
      </c>
      <c r="I17" s="14">
        <f>H17*0.2232</f>
        <v>11.064024</v>
      </c>
      <c r="J17" s="14">
        <f>H17+I17</f>
        <v>60.634023999999997</v>
      </c>
      <c r="K17" s="14">
        <f>J17*(0.03%)</f>
        <v>1.8190207199999999E-2</v>
      </c>
      <c r="L17" s="14">
        <f>J17-K17</f>
        <v>60.615833792799997</v>
      </c>
      <c r="M17" s="14">
        <f>L17*G17</f>
        <v>10910.850082703999</v>
      </c>
      <c r="N17" s="14">
        <f>M17/M$16</f>
        <v>0.14589137856610285</v>
      </c>
      <c r="O17" s="186"/>
    </row>
    <row r="18" spans="1:15" ht="26.25" customHeight="1" x14ac:dyDescent="0.3">
      <c r="A18" s="143" t="s">
        <v>247</v>
      </c>
      <c r="B18" s="144"/>
      <c r="C18" s="144"/>
      <c r="D18" s="144"/>
      <c r="E18" s="145"/>
      <c r="F18" s="100" t="s">
        <v>35</v>
      </c>
      <c r="G18" s="101">
        <v>20</v>
      </c>
      <c r="H18" s="82">
        <v>49.57</v>
      </c>
      <c r="I18" s="102">
        <f>H18*0.2232</f>
        <v>11.064024</v>
      </c>
      <c r="J18" s="102">
        <f>H18+I18</f>
        <v>60.634023999999997</v>
      </c>
      <c r="K18" s="102">
        <f>J18*(0.03%)</f>
        <v>1.8190207199999999E-2</v>
      </c>
      <c r="L18" s="102">
        <f>J18-K18</f>
        <v>60.615833792799997</v>
      </c>
      <c r="M18" s="102">
        <f>L18*G18</f>
        <v>1212.3166758559998</v>
      </c>
      <c r="N18" s="102">
        <f>M18/M$16</f>
        <v>1.6210153174011428E-2</v>
      </c>
      <c r="O18" s="186"/>
    </row>
    <row r="19" spans="1:15" ht="26.25" customHeight="1" x14ac:dyDescent="0.3">
      <c r="A19" s="17" t="s">
        <v>65</v>
      </c>
      <c r="B19" s="17" t="s">
        <v>33</v>
      </c>
      <c r="C19" s="11">
        <v>88267</v>
      </c>
      <c r="D19" s="11" t="s">
        <v>34</v>
      </c>
      <c r="E19" s="20" t="s">
        <v>55</v>
      </c>
      <c r="F19" s="13" t="s">
        <v>35</v>
      </c>
      <c r="G19" s="17">
        <v>180</v>
      </c>
      <c r="H19" s="82">
        <v>38.36</v>
      </c>
      <c r="I19" s="14">
        <f t="shared" ref="I19:I31" si="0">H19*0.2232</f>
        <v>8.5619519999999998</v>
      </c>
      <c r="J19" s="14">
        <f t="shared" ref="J19:J31" si="1">H19+I19</f>
        <v>46.921951999999997</v>
      </c>
      <c r="K19" s="14">
        <f t="shared" ref="K19:K31" si="2">J19*(0.03%)</f>
        <v>1.4076585599999998E-2</v>
      </c>
      <c r="L19" s="14">
        <f t="shared" ref="L19:L31" si="3">J19-K19</f>
        <v>46.907875414399996</v>
      </c>
      <c r="M19" s="14">
        <f t="shared" ref="M19:M31" si="4">L19*G19</f>
        <v>8443.4175745920002</v>
      </c>
      <c r="N19" s="14">
        <f t="shared" ref="N19:N31" si="5">M19/M$16</f>
        <v>0.11289879527528154</v>
      </c>
      <c r="O19" s="186"/>
    </row>
    <row r="20" spans="1:15" ht="26.25" customHeight="1" x14ac:dyDescent="0.3">
      <c r="A20" s="143" t="s">
        <v>248</v>
      </c>
      <c r="B20" s="144"/>
      <c r="C20" s="144"/>
      <c r="D20" s="144"/>
      <c r="E20" s="145"/>
      <c r="F20" s="100" t="s">
        <v>35</v>
      </c>
      <c r="G20" s="101">
        <v>20</v>
      </c>
      <c r="H20" s="82">
        <v>38.36</v>
      </c>
      <c r="I20" s="102">
        <f t="shared" ref="I20" si="6">H20*0.2232</f>
        <v>8.5619519999999998</v>
      </c>
      <c r="J20" s="102">
        <f t="shared" ref="J20" si="7">H20+I20</f>
        <v>46.921951999999997</v>
      </c>
      <c r="K20" s="102">
        <f t="shared" ref="K20" si="8">J20*(0.03%)</f>
        <v>1.4076585599999998E-2</v>
      </c>
      <c r="L20" s="102">
        <f t="shared" ref="L20" si="9">J20-K20</f>
        <v>46.907875414399996</v>
      </c>
      <c r="M20" s="102">
        <f t="shared" ref="M20" si="10">L20*G20</f>
        <v>938.15750828799992</v>
      </c>
      <c r="N20" s="102">
        <f t="shared" ref="N20" si="11">M20/M$16</f>
        <v>1.2544310586142391E-2</v>
      </c>
      <c r="O20" s="186"/>
    </row>
    <row r="21" spans="1:15" ht="26.25" customHeight="1" x14ac:dyDescent="0.3">
      <c r="A21" s="17" t="s">
        <v>66</v>
      </c>
      <c r="B21" s="17" t="s">
        <v>33</v>
      </c>
      <c r="C21" s="11" t="s">
        <v>54</v>
      </c>
      <c r="D21" s="11" t="s">
        <v>34</v>
      </c>
      <c r="E21" s="20" t="s">
        <v>55</v>
      </c>
      <c r="F21" s="13" t="s">
        <v>35</v>
      </c>
      <c r="G21" s="17">
        <v>180</v>
      </c>
      <c r="H21" s="82">
        <v>38.36</v>
      </c>
      <c r="I21" s="14">
        <f t="shared" si="0"/>
        <v>8.5619519999999998</v>
      </c>
      <c r="J21" s="14">
        <f t="shared" si="1"/>
        <v>46.921951999999997</v>
      </c>
      <c r="K21" s="14">
        <f t="shared" si="2"/>
        <v>1.4076585599999998E-2</v>
      </c>
      <c r="L21" s="14">
        <f t="shared" si="3"/>
        <v>46.907875414399996</v>
      </c>
      <c r="M21" s="14">
        <f t="shared" si="4"/>
        <v>8443.4175745920002</v>
      </c>
      <c r="N21" s="14">
        <f t="shared" si="5"/>
        <v>0.11289879527528154</v>
      </c>
      <c r="O21" s="186"/>
    </row>
    <row r="22" spans="1:15" ht="26.25" customHeight="1" x14ac:dyDescent="0.3">
      <c r="A22" s="17" t="s">
        <v>67</v>
      </c>
      <c r="B22" s="17" t="s">
        <v>33</v>
      </c>
      <c r="C22" s="11">
        <v>88248</v>
      </c>
      <c r="D22" s="11" t="s">
        <v>34</v>
      </c>
      <c r="E22" s="20" t="s">
        <v>57</v>
      </c>
      <c r="F22" s="13" t="s">
        <v>35</v>
      </c>
      <c r="G22" s="17">
        <v>180</v>
      </c>
      <c r="H22" s="82">
        <v>31.51</v>
      </c>
      <c r="I22" s="14">
        <f t="shared" si="0"/>
        <v>7.0330320000000004</v>
      </c>
      <c r="J22" s="14">
        <f t="shared" si="1"/>
        <v>38.543032000000004</v>
      </c>
      <c r="K22" s="14">
        <f t="shared" si="2"/>
        <v>1.1562909600000001E-2</v>
      </c>
      <c r="L22" s="14">
        <f t="shared" si="3"/>
        <v>38.531469090400002</v>
      </c>
      <c r="M22" s="14">
        <f t="shared" si="4"/>
        <v>6935.6644362719999</v>
      </c>
      <c r="N22" s="14">
        <f t="shared" si="5"/>
        <v>9.2738296118981267E-2</v>
      </c>
      <c r="O22" s="186"/>
    </row>
    <row r="23" spans="1:15" ht="26.25" customHeight="1" x14ac:dyDescent="0.3">
      <c r="A23" s="17" t="s">
        <v>68</v>
      </c>
      <c r="B23" s="17" t="s">
        <v>33</v>
      </c>
      <c r="C23" s="11" t="s">
        <v>56</v>
      </c>
      <c r="D23" s="11" t="s">
        <v>34</v>
      </c>
      <c r="E23" s="20" t="s">
        <v>57</v>
      </c>
      <c r="F23" s="13" t="s">
        <v>35</v>
      </c>
      <c r="G23" s="17">
        <v>180</v>
      </c>
      <c r="H23" s="82">
        <v>31.51</v>
      </c>
      <c r="I23" s="14">
        <f t="shared" si="0"/>
        <v>7.0330320000000004</v>
      </c>
      <c r="J23" s="14">
        <f t="shared" si="1"/>
        <v>38.543032000000004</v>
      </c>
      <c r="K23" s="14">
        <f t="shared" si="2"/>
        <v>1.1562909600000001E-2</v>
      </c>
      <c r="L23" s="14">
        <f t="shared" si="3"/>
        <v>38.531469090400002</v>
      </c>
      <c r="M23" s="14">
        <f t="shared" si="4"/>
        <v>6935.6644362719999</v>
      </c>
      <c r="N23" s="14">
        <f t="shared" si="5"/>
        <v>9.2738296118981267E-2</v>
      </c>
      <c r="O23" s="186"/>
    </row>
    <row r="24" spans="1:15" ht="26.25" customHeight="1" x14ac:dyDescent="0.3">
      <c r="A24" s="17" t="s">
        <v>69</v>
      </c>
      <c r="B24" s="17" t="s">
        <v>33</v>
      </c>
      <c r="C24" s="11">
        <v>88309</v>
      </c>
      <c r="D24" s="11" t="s">
        <v>34</v>
      </c>
      <c r="E24" s="20" t="s">
        <v>59</v>
      </c>
      <c r="F24" s="13" t="s">
        <v>35</v>
      </c>
      <c r="G24" s="17">
        <v>180</v>
      </c>
      <c r="H24" s="82">
        <v>34.08</v>
      </c>
      <c r="I24" s="14">
        <f t="shared" si="0"/>
        <v>7.6066560000000001</v>
      </c>
      <c r="J24" s="14">
        <f t="shared" si="1"/>
        <v>41.686655999999999</v>
      </c>
      <c r="K24" s="14">
        <f t="shared" si="2"/>
        <v>1.2505996799999999E-2</v>
      </c>
      <c r="L24" s="14">
        <f t="shared" si="3"/>
        <v>41.674150003199998</v>
      </c>
      <c r="M24" s="14">
        <f t="shared" si="4"/>
        <v>7501.3470005759991</v>
      </c>
      <c r="N24" s="14">
        <f t="shared" si="5"/>
        <v>0.10030216222579756</v>
      </c>
      <c r="O24" s="186"/>
    </row>
    <row r="25" spans="1:15" ht="26.25" customHeight="1" x14ac:dyDescent="0.3">
      <c r="A25" s="17" t="s">
        <v>70</v>
      </c>
      <c r="B25" s="17" t="s">
        <v>33</v>
      </c>
      <c r="C25" s="11" t="s">
        <v>58</v>
      </c>
      <c r="D25" s="11" t="s">
        <v>34</v>
      </c>
      <c r="E25" s="20" t="s">
        <v>59</v>
      </c>
      <c r="F25" s="13" t="s">
        <v>35</v>
      </c>
      <c r="G25" s="17">
        <v>180</v>
      </c>
      <c r="H25" s="82">
        <v>34.08</v>
      </c>
      <c r="I25" s="14">
        <f t="shared" si="0"/>
        <v>7.6066560000000001</v>
      </c>
      <c r="J25" s="14">
        <f t="shared" si="1"/>
        <v>41.686655999999999</v>
      </c>
      <c r="K25" s="14">
        <f t="shared" si="2"/>
        <v>1.2505996799999999E-2</v>
      </c>
      <c r="L25" s="14">
        <f t="shared" si="3"/>
        <v>41.674150003199998</v>
      </c>
      <c r="M25" s="14">
        <f t="shared" si="4"/>
        <v>7501.3470005759991</v>
      </c>
      <c r="N25" s="14">
        <f t="shared" si="5"/>
        <v>0.10030216222579756</v>
      </c>
      <c r="O25" s="186"/>
    </row>
    <row r="26" spans="1:15" ht="26.25" customHeight="1" x14ac:dyDescent="0.3">
      <c r="A26" s="17" t="s">
        <v>71</v>
      </c>
      <c r="B26" s="17" t="s">
        <v>33</v>
      </c>
      <c r="C26" s="11">
        <v>88242</v>
      </c>
      <c r="D26" s="11" t="s">
        <v>34</v>
      </c>
      <c r="E26" s="20" t="s">
        <v>61</v>
      </c>
      <c r="F26" s="13" t="s">
        <v>35</v>
      </c>
      <c r="G26" s="17">
        <v>180</v>
      </c>
      <c r="H26" s="82">
        <v>32.08</v>
      </c>
      <c r="I26" s="14">
        <f t="shared" si="0"/>
        <v>7.1602559999999995</v>
      </c>
      <c r="J26" s="14">
        <f t="shared" si="1"/>
        <v>39.240255999999995</v>
      </c>
      <c r="K26" s="14">
        <f t="shared" si="2"/>
        <v>1.1772076799999998E-2</v>
      </c>
      <c r="L26" s="14">
        <f t="shared" si="3"/>
        <v>39.228483923199995</v>
      </c>
      <c r="M26" s="14">
        <f t="shared" si="4"/>
        <v>7061.127106175999</v>
      </c>
      <c r="N26" s="14">
        <f t="shared" si="5"/>
        <v>9.4415885099870464E-2</v>
      </c>
      <c r="O26" s="186"/>
    </row>
    <row r="27" spans="1:15" ht="26.25" customHeight="1" x14ac:dyDescent="0.3">
      <c r="A27" s="146" t="s">
        <v>249</v>
      </c>
      <c r="B27" s="147"/>
      <c r="C27" s="147"/>
      <c r="D27" s="147"/>
      <c r="E27" s="148"/>
      <c r="F27" s="103" t="s">
        <v>35</v>
      </c>
      <c r="G27" s="84">
        <v>-170</v>
      </c>
      <c r="H27" s="104">
        <v>32.08</v>
      </c>
      <c r="I27" s="105">
        <f t="shared" ref="I27" si="12">H27*0.2232</f>
        <v>7.1602559999999995</v>
      </c>
      <c r="J27" s="105">
        <f t="shared" ref="J27" si="13">H27+I27</f>
        <v>39.240255999999995</v>
      </c>
      <c r="K27" s="105">
        <f t="shared" ref="K27" si="14">J27*(0.03%)</f>
        <v>1.1772076799999998E-2</v>
      </c>
      <c r="L27" s="105">
        <f t="shared" ref="L27" si="15">J27-K27</f>
        <v>39.228483923199995</v>
      </c>
      <c r="M27" s="105">
        <f t="shared" ref="M27" si="16">L27*G27</f>
        <v>-6668.8422669439988</v>
      </c>
      <c r="N27" s="105">
        <f t="shared" ref="N27" si="17">M27/M$16</f>
        <v>-8.9170558149877663E-2</v>
      </c>
      <c r="O27" s="186"/>
    </row>
    <row r="28" spans="1:15" ht="26.25" customHeight="1" x14ac:dyDescent="0.3">
      <c r="A28" s="17" t="s">
        <v>72</v>
      </c>
      <c r="B28" s="17" t="s">
        <v>33</v>
      </c>
      <c r="C28" s="11" t="s">
        <v>60</v>
      </c>
      <c r="D28" s="11" t="s">
        <v>34</v>
      </c>
      <c r="E28" s="20" t="s">
        <v>61</v>
      </c>
      <c r="F28" s="13" t="s">
        <v>35</v>
      </c>
      <c r="G28" s="17">
        <v>180</v>
      </c>
      <c r="H28" s="82">
        <v>32.08</v>
      </c>
      <c r="I28" s="14">
        <f t="shared" si="0"/>
        <v>7.1602559999999995</v>
      </c>
      <c r="J28" s="14">
        <f t="shared" si="1"/>
        <v>39.240255999999995</v>
      </c>
      <c r="K28" s="14">
        <f t="shared" si="2"/>
        <v>1.1772076799999998E-2</v>
      </c>
      <c r="L28" s="14">
        <f t="shared" si="3"/>
        <v>39.228483923199995</v>
      </c>
      <c r="M28" s="14">
        <f t="shared" si="4"/>
        <v>7061.127106175999</v>
      </c>
      <c r="N28" s="14">
        <f t="shared" si="5"/>
        <v>9.4415885099870464E-2</v>
      </c>
      <c r="O28" s="186"/>
    </row>
    <row r="29" spans="1:15" ht="26.25" customHeight="1" x14ac:dyDescent="0.3">
      <c r="A29" s="17" t="s">
        <v>73</v>
      </c>
      <c r="B29" s="17" t="s">
        <v>33</v>
      </c>
      <c r="C29" s="11" t="s">
        <v>60</v>
      </c>
      <c r="D29" s="11" t="s">
        <v>34</v>
      </c>
      <c r="E29" s="20" t="s">
        <v>61</v>
      </c>
      <c r="F29" s="13" t="s">
        <v>35</v>
      </c>
      <c r="G29" s="17">
        <v>180</v>
      </c>
      <c r="H29" s="82">
        <v>32.08</v>
      </c>
      <c r="I29" s="14">
        <f t="shared" si="0"/>
        <v>7.1602559999999995</v>
      </c>
      <c r="J29" s="14">
        <f t="shared" si="1"/>
        <v>39.240255999999995</v>
      </c>
      <c r="K29" s="14">
        <f t="shared" si="2"/>
        <v>1.1772076799999998E-2</v>
      </c>
      <c r="L29" s="14">
        <f t="shared" si="3"/>
        <v>39.228483923199995</v>
      </c>
      <c r="M29" s="14">
        <f t="shared" si="4"/>
        <v>7061.127106175999</v>
      </c>
      <c r="N29" s="14">
        <f t="shared" si="5"/>
        <v>9.4415885099870464E-2</v>
      </c>
      <c r="O29" s="186"/>
    </row>
    <row r="30" spans="1:15" ht="26.25" customHeight="1" x14ac:dyDescent="0.3">
      <c r="A30" s="17" t="s">
        <v>74</v>
      </c>
      <c r="B30" s="17" t="s">
        <v>33</v>
      </c>
      <c r="C30" s="11">
        <v>88241</v>
      </c>
      <c r="D30" s="11" t="s">
        <v>34</v>
      </c>
      <c r="E30" s="12" t="s">
        <v>64</v>
      </c>
      <c r="F30" s="13" t="s">
        <v>35</v>
      </c>
      <c r="G30" s="17">
        <v>40</v>
      </c>
      <c r="H30" s="82">
        <v>29.66</v>
      </c>
      <c r="I30" s="14">
        <f t="shared" si="0"/>
        <v>6.6201120000000007</v>
      </c>
      <c r="J30" s="14">
        <f t="shared" si="1"/>
        <v>36.280112000000003</v>
      </c>
      <c r="K30" s="14">
        <f t="shared" si="2"/>
        <v>1.0884033600000001E-2</v>
      </c>
      <c r="L30" s="14">
        <f t="shared" si="3"/>
        <v>36.269227966400003</v>
      </c>
      <c r="M30" s="14">
        <f t="shared" si="4"/>
        <v>1450.769118656</v>
      </c>
      <c r="N30" s="14">
        <f t="shared" si="5"/>
        <v>1.9398553283888603E-2</v>
      </c>
      <c r="O30" s="186"/>
    </row>
    <row r="31" spans="1:15" ht="26.25" customHeight="1" x14ac:dyDescent="0.3">
      <c r="A31" s="17" t="s">
        <v>75</v>
      </c>
      <c r="B31" s="17" t="s">
        <v>33</v>
      </c>
      <c r="C31" s="11" t="s">
        <v>63</v>
      </c>
      <c r="D31" s="11" t="s">
        <v>34</v>
      </c>
      <c r="E31" s="12" t="s">
        <v>64</v>
      </c>
      <c r="F31" s="13" t="s">
        <v>35</v>
      </c>
      <c r="G31" s="17">
        <v>0</v>
      </c>
      <c r="H31" s="82">
        <v>29.66</v>
      </c>
      <c r="I31" s="14">
        <f t="shared" si="0"/>
        <v>6.6201120000000007</v>
      </c>
      <c r="J31" s="14">
        <f t="shared" si="1"/>
        <v>36.280112000000003</v>
      </c>
      <c r="K31" s="14">
        <f t="shared" si="2"/>
        <v>1.0884033600000001E-2</v>
      </c>
      <c r="L31" s="14">
        <f t="shared" si="3"/>
        <v>36.269227966400003</v>
      </c>
      <c r="M31" s="14">
        <f t="shared" si="4"/>
        <v>0</v>
      </c>
      <c r="N31" s="14">
        <f t="shared" si="5"/>
        <v>0</v>
      </c>
      <c r="O31" s="186"/>
    </row>
    <row r="32" spans="1:15" x14ac:dyDescent="0.3">
      <c r="A32" s="187" t="s">
        <v>16</v>
      </c>
      <c r="B32" s="141" t="s">
        <v>17</v>
      </c>
      <c r="C32" s="141" t="s">
        <v>18</v>
      </c>
      <c r="D32" s="141" t="s">
        <v>19</v>
      </c>
      <c r="E32" s="141" t="s">
        <v>20</v>
      </c>
      <c r="F32" s="141" t="s">
        <v>21</v>
      </c>
      <c r="G32" s="141" t="s">
        <v>22</v>
      </c>
      <c r="H32" s="198" t="s">
        <v>23</v>
      </c>
      <c r="I32" s="198"/>
      <c r="J32" s="198"/>
      <c r="K32" s="198"/>
      <c r="L32" s="199"/>
      <c r="M32" s="141" t="s">
        <v>24</v>
      </c>
      <c r="N32" s="141" t="s">
        <v>25</v>
      </c>
      <c r="O32" s="186"/>
    </row>
    <row r="33" spans="1:119" ht="17.100000000000001" customHeight="1" x14ac:dyDescent="0.3">
      <c r="A33" s="188"/>
      <c r="B33" s="142"/>
      <c r="C33" s="142"/>
      <c r="D33" s="142"/>
      <c r="E33" s="142"/>
      <c r="F33" s="142"/>
      <c r="G33" s="142"/>
      <c r="H33" s="4" t="s">
        <v>27</v>
      </c>
      <c r="I33" s="25" t="s">
        <v>36</v>
      </c>
      <c r="J33" s="3" t="s">
        <v>29</v>
      </c>
      <c r="K33" s="4" t="s">
        <v>52</v>
      </c>
      <c r="L33" s="3" t="s">
        <v>30</v>
      </c>
      <c r="M33" s="142"/>
      <c r="N33" s="142"/>
      <c r="O33" s="114"/>
    </row>
    <row r="34" spans="1:119" ht="17.100000000000001" customHeight="1" x14ac:dyDescent="0.3">
      <c r="A34" s="15">
        <v>2</v>
      </c>
      <c r="B34" s="200" t="s">
        <v>37</v>
      </c>
      <c r="C34" s="200"/>
      <c r="D34" s="201"/>
      <c r="E34" s="201"/>
      <c r="F34" s="201"/>
      <c r="G34" s="16"/>
      <c r="H34" s="53"/>
      <c r="I34" s="16"/>
      <c r="J34" s="16"/>
      <c r="K34" s="16"/>
      <c r="L34" s="16"/>
      <c r="M34" s="22">
        <f>SUM(M35:M80)</f>
        <v>31957.544233927732</v>
      </c>
      <c r="N34" s="16"/>
      <c r="O34" s="186"/>
    </row>
    <row r="35" spans="1:119" s="19" customFormat="1" ht="17.100000000000001" customHeight="1" x14ac:dyDescent="0.2">
      <c r="A35" s="18" t="s">
        <v>86</v>
      </c>
      <c r="B35" s="18" t="s">
        <v>81</v>
      </c>
      <c r="C35" s="18">
        <v>7292</v>
      </c>
      <c r="D35" s="18" t="s">
        <v>34</v>
      </c>
      <c r="E35" s="24" t="s">
        <v>151</v>
      </c>
      <c r="F35" s="18" t="s">
        <v>112</v>
      </c>
      <c r="G35" s="18">
        <f>3.6*8</f>
        <v>28.8</v>
      </c>
      <c r="H35" s="92">
        <v>45.98</v>
      </c>
      <c r="I35" s="14">
        <f t="shared" ref="I35:I52" si="18">H35*0.1532</f>
        <v>7.044136</v>
      </c>
      <c r="J35" s="14">
        <f t="shared" ref="J35:J52" si="19">H35+I35</f>
        <v>53.024135999999999</v>
      </c>
      <c r="K35" s="14">
        <f t="shared" ref="K35:K52" si="20">J35*(0.03%)</f>
        <v>1.59072408E-2</v>
      </c>
      <c r="L35" s="14">
        <f t="shared" ref="L35:L52" si="21">J35-K35</f>
        <v>53.008228759200001</v>
      </c>
      <c r="M35" s="14">
        <f t="shared" ref="M35:M47" si="22">L35*G35</f>
        <v>1526.6369882649601</v>
      </c>
      <c r="N35" s="14">
        <f>M35/M34</f>
        <v>4.7770785423624812E-2</v>
      </c>
      <c r="O35" s="186"/>
    </row>
    <row r="36" spans="1:119" s="19" customFormat="1" ht="17.100000000000001" customHeight="1" x14ac:dyDescent="0.2">
      <c r="A36" s="18" t="s">
        <v>95</v>
      </c>
      <c r="B36" s="18" t="s">
        <v>81</v>
      </c>
      <c r="C36" s="18">
        <v>7292</v>
      </c>
      <c r="D36" s="18" t="s">
        <v>34</v>
      </c>
      <c r="E36" s="24" t="s">
        <v>152</v>
      </c>
      <c r="F36" s="18" t="s">
        <v>112</v>
      </c>
      <c r="G36" s="18">
        <f>3.6*2</f>
        <v>7.2</v>
      </c>
      <c r="H36" s="92">
        <v>45.98</v>
      </c>
      <c r="I36" s="14">
        <f t="shared" ref="I36" si="23">H36*0.1532</f>
        <v>7.044136</v>
      </c>
      <c r="J36" s="14">
        <f t="shared" ref="J36" si="24">H36+I36</f>
        <v>53.024135999999999</v>
      </c>
      <c r="K36" s="14">
        <f t="shared" ref="K36" si="25">J36*(0.03%)</f>
        <v>1.59072408E-2</v>
      </c>
      <c r="L36" s="14">
        <f t="shared" ref="L36" si="26">J36-K36</f>
        <v>53.008228759200001</v>
      </c>
      <c r="M36" s="14">
        <f t="shared" ref="M36" si="27">L36*G36</f>
        <v>381.65924706624003</v>
      </c>
      <c r="N36" s="14">
        <f t="shared" ref="N36:N76" si="28">M36/M35</f>
        <v>0.25</v>
      </c>
      <c r="O36" s="186"/>
    </row>
    <row r="37" spans="1:119" s="19" customFormat="1" ht="17.100000000000001" customHeight="1" x14ac:dyDescent="0.2">
      <c r="A37" s="18" t="s">
        <v>87</v>
      </c>
      <c r="B37" s="18" t="s">
        <v>81</v>
      </c>
      <c r="C37" s="18">
        <v>7292</v>
      </c>
      <c r="D37" s="18" t="s">
        <v>34</v>
      </c>
      <c r="E37" s="24" t="s">
        <v>153</v>
      </c>
      <c r="F37" s="18" t="s">
        <v>112</v>
      </c>
      <c r="G37" s="18">
        <f>3.6*5</f>
        <v>18</v>
      </c>
      <c r="H37" s="92">
        <v>45.98</v>
      </c>
      <c r="I37" s="14">
        <f t="shared" ref="I37" si="29">H37*0.1532</f>
        <v>7.044136</v>
      </c>
      <c r="J37" s="14">
        <f t="shared" ref="J37" si="30">H37+I37</f>
        <v>53.024135999999999</v>
      </c>
      <c r="K37" s="14">
        <f t="shared" ref="K37" si="31">J37*(0.03%)</f>
        <v>1.59072408E-2</v>
      </c>
      <c r="L37" s="14">
        <f t="shared" ref="L37" si="32">J37-K37</f>
        <v>53.008228759200001</v>
      </c>
      <c r="M37" s="14">
        <f t="shared" ref="M37" si="33">L37*G37</f>
        <v>954.14811766560001</v>
      </c>
      <c r="N37" s="14">
        <f t="shared" si="28"/>
        <v>2.5</v>
      </c>
      <c r="O37" s="186"/>
    </row>
    <row r="38" spans="1:119" s="19" customFormat="1" ht="17.100000000000001" customHeight="1" x14ac:dyDescent="0.2">
      <c r="A38" s="18" t="s">
        <v>94</v>
      </c>
      <c r="B38" s="18" t="s">
        <v>81</v>
      </c>
      <c r="C38" s="18">
        <v>38383</v>
      </c>
      <c r="D38" s="18" t="s">
        <v>34</v>
      </c>
      <c r="E38" s="58" t="s">
        <v>159</v>
      </c>
      <c r="F38" s="18" t="s">
        <v>21</v>
      </c>
      <c r="G38" s="18">
        <v>100</v>
      </c>
      <c r="H38" s="92">
        <v>2.9</v>
      </c>
      <c r="I38" s="14">
        <f t="shared" si="18"/>
        <v>0.44428000000000001</v>
      </c>
      <c r="J38" s="14">
        <f t="shared" si="19"/>
        <v>3.3442799999999999</v>
      </c>
      <c r="K38" s="14">
        <f t="shared" si="20"/>
        <v>1.0032839999999999E-3</v>
      </c>
      <c r="L38" s="14">
        <f t="shared" si="21"/>
        <v>3.3432767160000001</v>
      </c>
      <c r="M38" s="14">
        <f t="shared" si="22"/>
        <v>334.32767160000003</v>
      </c>
      <c r="N38" s="14">
        <f t="shared" si="28"/>
        <v>0.35039389106374758</v>
      </c>
      <c r="O38" s="186"/>
    </row>
    <row r="39" spans="1:119" s="19" customFormat="1" ht="17.100000000000001" customHeight="1" x14ac:dyDescent="0.2">
      <c r="A39" s="18" t="s">
        <v>82</v>
      </c>
      <c r="B39" s="57" t="s">
        <v>81</v>
      </c>
      <c r="C39" s="57">
        <v>35692</v>
      </c>
      <c r="D39" s="57" t="s">
        <v>34</v>
      </c>
      <c r="E39" s="61" t="s">
        <v>113</v>
      </c>
      <c r="F39" s="57" t="s">
        <v>112</v>
      </c>
      <c r="G39" s="57">
        <f>18*5</f>
        <v>90</v>
      </c>
      <c r="H39" s="93">
        <v>21.12</v>
      </c>
      <c r="I39" s="35">
        <f t="shared" si="18"/>
        <v>3.2355840000000002</v>
      </c>
      <c r="J39" s="35">
        <f t="shared" si="19"/>
        <v>24.355584</v>
      </c>
      <c r="K39" s="35">
        <f t="shared" si="20"/>
        <v>7.3066751999999995E-3</v>
      </c>
      <c r="L39" s="35">
        <f t="shared" si="21"/>
        <v>24.348277324800002</v>
      </c>
      <c r="M39" s="35">
        <f t="shared" si="22"/>
        <v>2191.3449592320003</v>
      </c>
      <c r="N39" s="14">
        <f t="shared" si="28"/>
        <v>6.55448275862069</v>
      </c>
      <c r="O39" s="186"/>
    </row>
    <row r="40" spans="1:119" ht="15" customHeight="1" x14ac:dyDescent="0.3">
      <c r="A40" s="18" t="s">
        <v>93</v>
      </c>
      <c r="B40" s="18" t="s">
        <v>81</v>
      </c>
      <c r="C40" s="23">
        <v>3315</v>
      </c>
      <c r="D40" s="18" t="s">
        <v>34</v>
      </c>
      <c r="E40" s="24" t="s">
        <v>158</v>
      </c>
      <c r="F40" s="18" t="s">
        <v>101</v>
      </c>
      <c r="G40" s="18">
        <v>5</v>
      </c>
      <c r="H40" s="94">
        <v>0.8</v>
      </c>
      <c r="I40" s="14">
        <f t="shared" si="18"/>
        <v>0.12256</v>
      </c>
      <c r="J40" s="14">
        <f t="shared" si="19"/>
        <v>0.92256000000000005</v>
      </c>
      <c r="K40" s="14">
        <f t="shared" si="20"/>
        <v>2.7676799999999999E-4</v>
      </c>
      <c r="L40" s="14">
        <f t="shared" si="21"/>
        <v>0.92228323200000006</v>
      </c>
      <c r="M40" s="14">
        <f t="shared" si="22"/>
        <v>4.6114161600000001</v>
      </c>
      <c r="N40" s="14">
        <f t="shared" si="28"/>
        <v>2.1043771043771043E-3</v>
      </c>
      <c r="O40" s="186"/>
    </row>
    <row r="41" spans="1:119" s="19" customFormat="1" ht="15" customHeight="1" x14ac:dyDescent="0.2">
      <c r="A41" s="18" t="s">
        <v>88</v>
      </c>
      <c r="B41" s="18" t="s">
        <v>81</v>
      </c>
      <c r="C41" s="18">
        <v>7348</v>
      </c>
      <c r="D41" s="18" t="s">
        <v>34</v>
      </c>
      <c r="E41" s="63" t="s">
        <v>154</v>
      </c>
      <c r="F41" s="18" t="s">
        <v>112</v>
      </c>
      <c r="G41" s="18">
        <f>18*3</f>
        <v>54</v>
      </c>
      <c r="H41" s="92">
        <v>21.64</v>
      </c>
      <c r="I41" s="14">
        <f t="shared" si="18"/>
        <v>3.315248</v>
      </c>
      <c r="J41" s="14">
        <f t="shared" si="19"/>
        <v>24.955248000000001</v>
      </c>
      <c r="K41" s="14">
        <f t="shared" si="20"/>
        <v>7.4865743999999994E-3</v>
      </c>
      <c r="L41" s="14">
        <f t="shared" si="21"/>
        <v>24.9477614256</v>
      </c>
      <c r="M41" s="14">
        <f t="shared" si="22"/>
        <v>1347.1791169824</v>
      </c>
      <c r="N41" s="14">
        <f t="shared" si="28"/>
        <v>292.14</v>
      </c>
      <c r="O41" s="186"/>
    </row>
    <row r="42" spans="1:119" s="19" customFormat="1" ht="17.100000000000001" customHeight="1" x14ac:dyDescent="0.2">
      <c r="A42" s="18" t="s">
        <v>96</v>
      </c>
      <c r="B42" s="18" t="s">
        <v>81</v>
      </c>
      <c r="C42" s="18">
        <v>7348</v>
      </c>
      <c r="D42" s="18" t="s">
        <v>34</v>
      </c>
      <c r="E42" s="63" t="s">
        <v>155</v>
      </c>
      <c r="F42" s="18" t="s">
        <v>112</v>
      </c>
      <c r="G42" s="18">
        <f>18*3</f>
        <v>54</v>
      </c>
      <c r="H42" s="92">
        <v>21.64</v>
      </c>
      <c r="I42" s="14">
        <f t="shared" si="18"/>
        <v>3.315248</v>
      </c>
      <c r="J42" s="14">
        <f t="shared" si="19"/>
        <v>24.955248000000001</v>
      </c>
      <c r="K42" s="14">
        <f t="shared" si="20"/>
        <v>7.4865743999999994E-3</v>
      </c>
      <c r="L42" s="14">
        <f t="shared" si="21"/>
        <v>24.9477614256</v>
      </c>
      <c r="M42" s="14">
        <f t="shared" si="22"/>
        <v>1347.1791169824</v>
      </c>
      <c r="N42" s="14">
        <f t="shared" si="28"/>
        <v>1</v>
      </c>
      <c r="O42" s="186"/>
    </row>
    <row r="43" spans="1:119" s="19" customFormat="1" ht="17.100000000000001" customHeight="1" x14ac:dyDescent="0.2">
      <c r="A43" s="18" t="s">
        <v>89</v>
      </c>
      <c r="B43" s="18" t="s">
        <v>81</v>
      </c>
      <c r="C43" s="18">
        <v>7348</v>
      </c>
      <c r="D43" s="18" t="s">
        <v>34</v>
      </c>
      <c r="E43" s="63" t="s">
        <v>156</v>
      </c>
      <c r="F43" s="18" t="s">
        <v>112</v>
      </c>
      <c r="G43" s="18">
        <f>18*2</f>
        <v>36</v>
      </c>
      <c r="H43" s="92">
        <v>21.64</v>
      </c>
      <c r="I43" s="14">
        <f t="shared" ref="I43:I45" si="34">H43*0.1532</f>
        <v>3.315248</v>
      </c>
      <c r="J43" s="14">
        <f t="shared" ref="J43:J45" si="35">H43+I43</f>
        <v>24.955248000000001</v>
      </c>
      <c r="K43" s="14">
        <f t="shared" ref="K43:K45" si="36">J43*(0.03%)</f>
        <v>7.4865743999999994E-3</v>
      </c>
      <c r="L43" s="14">
        <f t="shared" ref="L43:L45" si="37">J43-K43</f>
        <v>24.9477614256</v>
      </c>
      <c r="M43" s="14">
        <f t="shared" ref="M43:M45" si="38">L43*G43</f>
        <v>898.11941132159996</v>
      </c>
      <c r="N43" s="14">
        <f t="shared" si="28"/>
        <v>0.66666666666666663</v>
      </c>
      <c r="O43" s="186"/>
    </row>
    <row r="44" spans="1:119" s="67" customFormat="1" ht="15" customHeight="1" x14ac:dyDescent="0.3">
      <c r="A44" s="18" t="s">
        <v>85</v>
      </c>
      <c r="B44" s="57" t="s">
        <v>81</v>
      </c>
      <c r="C44" s="57">
        <v>12815</v>
      </c>
      <c r="D44" s="57" t="s">
        <v>34</v>
      </c>
      <c r="E44" s="65" t="s">
        <v>157</v>
      </c>
      <c r="F44" s="57" t="s">
        <v>21</v>
      </c>
      <c r="G44" s="57">
        <v>20</v>
      </c>
      <c r="H44" s="95">
        <v>11.89</v>
      </c>
      <c r="I44" s="35">
        <f t="shared" si="34"/>
        <v>1.8215480000000002</v>
      </c>
      <c r="J44" s="35">
        <f t="shared" si="35"/>
        <v>13.711548000000001</v>
      </c>
      <c r="K44" s="35">
        <f t="shared" si="36"/>
        <v>4.1134644E-3</v>
      </c>
      <c r="L44" s="35">
        <f t="shared" si="37"/>
        <v>13.707434535600001</v>
      </c>
      <c r="M44" s="35">
        <f t="shared" si="38"/>
        <v>274.14869071200002</v>
      </c>
      <c r="N44" s="14">
        <f t="shared" si="28"/>
        <v>0.30524748408297397</v>
      </c>
      <c r="O44" s="186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</row>
    <row r="45" spans="1:119" s="19" customFormat="1" ht="17.100000000000001" customHeight="1" x14ac:dyDescent="0.2">
      <c r="A45" s="18" t="s">
        <v>83</v>
      </c>
      <c r="B45" s="18" t="s">
        <v>81</v>
      </c>
      <c r="C45" s="18">
        <v>43626</v>
      </c>
      <c r="D45" s="18" t="s">
        <v>34</v>
      </c>
      <c r="E45" s="43" t="s">
        <v>160</v>
      </c>
      <c r="F45" s="18" t="s">
        <v>101</v>
      </c>
      <c r="G45" s="18">
        <f>4*23</f>
        <v>92</v>
      </c>
      <c r="H45" s="92">
        <v>3.85</v>
      </c>
      <c r="I45" s="14">
        <f t="shared" si="34"/>
        <v>0.58982000000000001</v>
      </c>
      <c r="J45" s="14">
        <f t="shared" si="35"/>
        <v>4.4398200000000001</v>
      </c>
      <c r="K45" s="14">
        <f t="shared" si="36"/>
        <v>1.3319459999999999E-3</v>
      </c>
      <c r="L45" s="14">
        <f t="shared" si="37"/>
        <v>4.4384880540000005</v>
      </c>
      <c r="M45" s="14">
        <f t="shared" si="38"/>
        <v>408.34090096800003</v>
      </c>
      <c r="N45" s="14">
        <f t="shared" si="28"/>
        <v>1.4894869638351556</v>
      </c>
      <c r="O45" s="186"/>
    </row>
    <row r="46" spans="1:119" s="19" customFormat="1" ht="15" customHeight="1" x14ac:dyDescent="0.2">
      <c r="A46" s="18" t="s">
        <v>90</v>
      </c>
      <c r="B46" s="18" t="s">
        <v>81</v>
      </c>
      <c r="C46" s="18">
        <v>7353</v>
      </c>
      <c r="D46" s="18" t="s">
        <v>34</v>
      </c>
      <c r="E46" s="62" t="s">
        <v>161</v>
      </c>
      <c r="F46" s="18" t="s">
        <v>112</v>
      </c>
      <c r="G46" s="18">
        <v>18</v>
      </c>
      <c r="H46" s="94">
        <v>35.76</v>
      </c>
      <c r="I46" s="14">
        <f t="shared" si="18"/>
        <v>5.4784319999999997</v>
      </c>
      <c r="J46" s="14">
        <f t="shared" si="19"/>
        <v>41.238431999999996</v>
      </c>
      <c r="K46" s="14">
        <f t="shared" si="20"/>
        <v>1.2371529599999999E-2</v>
      </c>
      <c r="L46" s="14">
        <f t="shared" si="21"/>
        <v>41.226060470399993</v>
      </c>
      <c r="M46" s="14">
        <f t="shared" si="22"/>
        <v>742.06908846719989</v>
      </c>
      <c r="N46" s="14">
        <f t="shared" si="28"/>
        <v>1.8172783738001126</v>
      </c>
      <c r="O46" s="186"/>
    </row>
    <row r="47" spans="1:119" s="19" customFormat="1" ht="17.100000000000001" customHeight="1" x14ac:dyDescent="0.2">
      <c r="A47" s="18" t="s">
        <v>97</v>
      </c>
      <c r="B47" s="18" t="s">
        <v>81</v>
      </c>
      <c r="C47" s="11">
        <v>43651</v>
      </c>
      <c r="D47" s="18" t="s">
        <v>34</v>
      </c>
      <c r="E47" s="43" t="s">
        <v>115</v>
      </c>
      <c r="F47" s="18" t="s">
        <v>101</v>
      </c>
      <c r="G47" s="18">
        <v>92</v>
      </c>
      <c r="H47" s="94">
        <v>6.92</v>
      </c>
      <c r="I47" s="14">
        <f t="shared" si="18"/>
        <v>1.060144</v>
      </c>
      <c r="J47" s="14">
        <f t="shared" si="19"/>
        <v>7.9801440000000001</v>
      </c>
      <c r="K47" s="14">
        <f t="shared" si="20"/>
        <v>2.3940431999999998E-3</v>
      </c>
      <c r="L47" s="14">
        <f t="shared" si="21"/>
        <v>7.9777499568000003</v>
      </c>
      <c r="M47" s="14">
        <f t="shared" si="22"/>
        <v>733.95299602559999</v>
      </c>
      <c r="N47" s="14">
        <f t="shared" si="28"/>
        <v>0.98906288839174761</v>
      </c>
      <c r="O47" s="186"/>
    </row>
    <row r="48" spans="1:119" s="19" customFormat="1" ht="17.100000000000001" customHeight="1" x14ac:dyDescent="0.2">
      <c r="A48" s="18" t="s">
        <v>98</v>
      </c>
      <c r="B48" s="18" t="s">
        <v>81</v>
      </c>
      <c r="C48" s="57">
        <v>3827</v>
      </c>
      <c r="D48" s="57" t="s">
        <v>34</v>
      </c>
      <c r="E48" s="61" t="s">
        <v>162</v>
      </c>
      <c r="F48" s="57" t="s">
        <v>21</v>
      </c>
      <c r="G48" s="57">
        <v>5</v>
      </c>
      <c r="H48" s="93">
        <v>35.369999999999997</v>
      </c>
      <c r="I48" s="35">
        <f t="shared" si="18"/>
        <v>5.4186839999999998</v>
      </c>
      <c r="J48" s="35">
        <f t="shared" si="19"/>
        <v>40.788683999999996</v>
      </c>
      <c r="K48" s="35">
        <f t="shared" si="20"/>
        <v>1.2236605199999999E-2</v>
      </c>
      <c r="L48" s="35">
        <f t="shared" si="21"/>
        <v>40.776447394799995</v>
      </c>
      <c r="M48" s="14">
        <f t="shared" ref="M48:M68" si="39">L48*G48</f>
        <v>203.88223697399997</v>
      </c>
      <c r="N48" s="14">
        <f t="shared" si="28"/>
        <v>0.27778650414677053</v>
      </c>
      <c r="O48" s="186"/>
    </row>
    <row r="49" spans="1:119" s="42" customFormat="1" ht="15" customHeight="1" x14ac:dyDescent="0.3">
      <c r="A49" s="18" t="s">
        <v>84</v>
      </c>
      <c r="B49" s="18" t="s">
        <v>81</v>
      </c>
      <c r="C49" s="11">
        <v>779</v>
      </c>
      <c r="D49" s="18" t="s">
        <v>34</v>
      </c>
      <c r="E49" s="43" t="s">
        <v>163</v>
      </c>
      <c r="F49" s="18" t="s">
        <v>21</v>
      </c>
      <c r="G49" s="18">
        <v>15</v>
      </c>
      <c r="H49" s="94">
        <v>7.71</v>
      </c>
      <c r="I49" s="14">
        <f t="shared" si="18"/>
        <v>1.1811720000000001</v>
      </c>
      <c r="J49" s="14">
        <f t="shared" si="19"/>
        <v>8.891172000000001</v>
      </c>
      <c r="K49" s="14">
        <f t="shared" si="20"/>
        <v>2.6673515999999999E-3</v>
      </c>
      <c r="L49" s="14">
        <f t="shared" si="21"/>
        <v>8.8885046484000014</v>
      </c>
      <c r="M49" s="14">
        <f t="shared" si="39"/>
        <v>133.32756972600004</v>
      </c>
      <c r="N49" s="14">
        <f t="shared" si="28"/>
        <v>0.65394402035623433</v>
      </c>
      <c r="O49" s="186"/>
    </row>
    <row r="50" spans="1:119" s="19" customFormat="1" ht="17.100000000000001" customHeight="1" x14ac:dyDescent="0.2">
      <c r="A50" s="18" t="s">
        <v>99</v>
      </c>
      <c r="B50" s="18" t="s">
        <v>81</v>
      </c>
      <c r="C50" s="18">
        <v>11772</v>
      </c>
      <c r="D50" s="18" t="s">
        <v>34</v>
      </c>
      <c r="E50" s="63" t="s">
        <v>164</v>
      </c>
      <c r="F50" s="18" t="s">
        <v>21</v>
      </c>
      <c r="G50" s="18">
        <v>20</v>
      </c>
      <c r="H50" s="92">
        <v>104.15</v>
      </c>
      <c r="I50" s="14">
        <f t="shared" si="18"/>
        <v>15.955780000000001</v>
      </c>
      <c r="J50" s="14">
        <f t="shared" si="19"/>
        <v>120.10578000000001</v>
      </c>
      <c r="K50" s="14">
        <f t="shared" si="20"/>
        <v>3.6031734000000003E-2</v>
      </c>
      <c r="L50" s="14">
        <f t="shared" si="21"/>
        <v>120.069748266</v>
      </c>
      <c r="M50" s="14">
        <f t="shared" si="39"/>
        <v>2401.3949653200002</v>
      </c>
      <c r="N50" s="14">
        <f t="shared" si="28"/>
        <v>18.011240812797229</v>
      </c>
      <c r="O50" s="186"/>
    </row>
    <row r="51" spans="1:119" s="19" customFormat="1" ht="17.100000000000001" customHeight="1" x14ac:dyDescent="0.2">
      <c r="A51" s="18" t="s">
        <v>100</v>
      </c>
      <c r="B51" s="18" t="s">
        <v>81</v>
      </c>
      <c r="C51" s="18">
        <v>36791</v>
      </c>
      <c r="D51" s="18" t="s">
        <v>34</v>
      </c>
      <c r="E51" s="58" t="s">
        <v>119</v>
      </c>
      <c r="F51" s="18" t="s">
        <v>21</v>
      </c>
      <c r="G51" s="18">
        <v>10</v>
      </c>
      <c r="H51" s="94">
        <v>117.18</v>
      </c>
      <c r="I51" s="14">
        <f t="shared" si="18"/>
        <v>17.951976000000002</v>
      </c>
      <c r="J51" s="14">
        <f t="shared" si="19"/>
        <v>135.13197600000001</v>
      </c>
      <c r="K51" s="14">
        <f t="shared" si="20"/>
        <v>4.0539592799999996E-2</v>
      </c>
      <c r="L51" s="14">
        <f t="shared" si="21"/>
        <v>135.09143640720001</v>
      </c>
      <c r="M51" s="14">
        <f t="shared" si="39"/>
        <v>1350.9143640720001</v>
      </c>
      <c r="N51" s="14">
        <f t="shared" si="28"/>
        <v>0.56255400864138261</v>
      </c>
      <c r="O51" s="186"/>
    </row>
    <row r="52" spans="1:119" s="19" customFormat="1" ht="17.100000000000001" customHeight="1" x14ac:dyDescent="0.2">
      <c r="A52" s="18" t="s">
        <v>91</v>
      </c>
      <c r="B52" s="18" t="s">
        <v>81</v>
      </c>
      <c r="C52" s="18">
        <v>11762</v>
      </c>
      <c r="D52" s="18" t="s">
        <v>34</v>
      </c>
      <c r="E52" s="63" t="s">
        <v>121</v>
      </c>
      <c r="F52" s="18" t="s">
        <v>21</v>
      </c>
      <c r="G52" s="18">
        <v>15</v>
      </c>
      <c r="H52" s="92">
        <v>49.24</v>
      </c>
      <c r="I52" s="14">
        <f t="shared" si="18"/>
        <v>7.5435680000000005</v>
      </c>
      <c r="J52" s="14">
        <f t="shared" si="19"/>
        <v>56.783568000000002</v>
      </c>
      <c r="K52" s="14">
        <f t="shared" si="20"/>
        <v>1.7035070399999998E-2</v>
      </c>
      <c r="L52" s="14">
        <f t="shared" si="21"/>
        <v>56.766532929600004</v>
      </c>
      <c r="M52" s="14">
        <f t="shared" si="39"/>
        <v>851.49799394400009</v>
      </c>
      <c r="N52" s="14">
        <f t="shared" si="28"/>
        <v>0.63031233998975933</v>
      </c>
      <c r="O52" s="186"/>
    </row>
    <row r="53" spans="1:119" s="42" customFormat="1" ht="15" customHeight="1" x14ac:dyDescent="0.3">
      <c r="A53" s="18" t="s">
        <v>122</v>
      </c>
      <c r="B53" s="18" t="s">
        <v>81</v>
      </c>
      <c r="C53" s="18">
        <v>6138</v>
      </c>
      <c r="D53" s="18" t="s">
        <v>34</v>
      </c>
      <c r="E53" s="45" t="s">
        <v>165</v>
      </c>
      <c r="F53" s="18" t="s">
        <v>21</v>
      </c>
      <c r="G53" s="18">
        <v>10</v>
      </c>
      <c r="H53" s="92">
        <v>11.03</v>
      </c>
      <c r="I53" s="14">
        <f t="shared" ref="I53:I77" si="40">H53*0.1532</f>
        <v>1.6897959999999999</v>
      </c>
      <c r="J53" s="14">
        <f t="shared" ref="J53:J68" si="41">H53+I53</f>
        <v>12.719795999999999</v>
      </c>
      <c r="K53" s="14">
        <f t="shared" ref="K53:K77" si="42">J53*(0.03%)</f>
        <v>3.8159387999999995E-3</v>
      </c>
      <c r="L53" s="14">
        <f t="shared" ref="L53:L68" si="43">J53-K53</f>
        <v>12.715980061199998</v>
      </c>
      <c r="M53" s="14">
        <f t="shared" si="39"/>
        <v>127.15980061199998</v>
      </c>
      <c r="N53" s="14">
        <f t="shared" si="28"/>
        <v>0.14933658272407255</v>
      </c>
      <c r="O53" s="186"/>
    </row>
    <row r="54" spans="1:119" s="42" customFormat="1" ht="15" customHeight="1" x14ac:dyDescent="0.3">
      <c r="A54" s="18" t="s">
        <v>123</v>
      </c>
      <c r="B54" s="18" t="s">
        <v>81</v>
      </c>
      <c r="C54" s="91">
        <v>44945</v>
      </c>
      <c r="D54" s="18" t="s">
        <v>34</v>
      </c>
      <c r="E54" s="69" t="s">
        <v>166</v>
      </c>
      <c r="F54" s="18" t="s">
        <v>21</v>
      </c>
      <c r="G54" s="18">
        <v>30</v>
      </c>
      <c r="H54" s="92">
        <v>10.78</v>
      </c>
      <c r="I54" s="14">
        <f t="shared" si="40"/>
        <v>1.6514959999999999</v>
      </c>
      <c r="J54" s="14">
        <f t="shared" si="41"/>
        <v>12.431495999999999</v>
      </c>
      <c r="K54" s="14">
        <f t="shared" si="42"/>
        <v>3.7294487999999996E-3</v>
      </c>
      <c r="L54" s="14">
        <f t="shared" si="43"/>
        <v>12.4277665512</v>
      </c>
      <c r="M54" s="14">
        <f t="shared" si="39"/>
        <v>372.832996536</v>
      </c>
      <c r="N54" s="14">
        <f t="shared" si="28"/>
        <v>2.932003626473255</v>
      </c>
      <c r="O54" s="186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</row>
    <row r="55" spans="1:119" s="19" customFormat="1" ht="17.100000000000001" customHeight="1" x14ac:dyDescent="0.2">
      <c r="A55" s="18" t="s">
        <v>124</v>
      </c>
      <c r="B55" s="18" t="s">
        <v>81</v>
      </c>
      <c r="C55" s="70">
        <v>10228</v>
      </c>
      <c r="D55" s="18" t="s">
        <v>34</v>
      </c>
      <c r="E55" s="43" t="s">
        <v>167</v>
      </c>
      <c r="F55" s="18" t="s">
        <v>21</v>
      </c>
      <c r="G55" s="18">
        <v>10</v>
      </c>
      <c r="H55" s="82">
        <v>378.15</v>
      </c>
      <c r="I55" s="14">
        <f t="shared" si="40"/>
        <v>57.932579999999994</v>
      </c>
      <c r="J55" s="14">
        <f t="shared" si="41"/>
        <v>436.08257999999995</v>
      </c>
      <c r="K55" s="14">
        <f t="shared" si="42"/>
        <v>0.13082477399999998</v>
      </c>
      <c r="L55" s="14">
        <f t="shared" si="43"/>
        <v>435.95175522599993</v>
      </c>
      <c r="M55" s="14">
        <f t="shared" si="39"/>
        <v>4359.5175522599993</v>
      </c>
      <c r="N55" s="14">
        <f t="shared" si="28"/>
        <v>11.69294990723562</v>
      </c>
      <c r="O55" s="186"/>
    </row>
    <row r="56" spans="1:119" s="19" customFormat="1" ht="17.100000000000001" customHeight="1" x14ac:dyDescent="0.2">
      <c r="A56" s="18" t="s">
        <v>125</v>
      </c>
      <c r="B56" s="18" t="s">
        <v>81</v>
      </c>
      <c r="C56" s="18">
        <v>2305</v>
      </c>
      <c r="D56" s="18" t="s">
        <v>110</v>
      </c>
      <c r="E56" s="43" t="s">
        <v>117</v>
      </c>
      <c r="F56" s="18" t="s">
        <v>21</v>
      </c>
      <c r="G56" s="18">
        <v>10</v>
      </c>
      <c r="H56" s="92">
        <v>9.1300000000000008</v>
      </c>
      <c r="I56" s="14">
        <f t="shared" si="40"/>
        <v>1.3987160000000001</v>
      </c>
      <c r="J56" s="14">
        <f t="shared" si="41"/>
        <v>10.528716000000001</v>
      </c>
      <c r="K56" s="14">
        <f t="shared" si="42"/>
        <v>3.1586148E-3</v>
      </c>
      <c r="L56" s="14">
        <f t="shared" si="43"/>
        <v>10.525557385200001</v>
      </c>
      <c r="M56" s="14">
        <f t="shared" si="39"/>
        <v>105.25557385200001</v>
      </c>
      <c r="N56" s="14">
        <f t="shared" si="28"/>
        <v>2.414385825730531E-2</v>
      </c>
      <c r="O56" s="186"/>
    </row>
    <row r="57" spans="1:119" s="19" customFormat="1" ht="17.100000000000001" customHeight="1" x14ac:dyDescent="0.2">
      <c r="A57" s="18" t="s">
        <v>114</v>
      </c>
      <c r="B57" s="18" t="s">
        <v>81</v>
      </c>
      <c r="C57" s="18">
        <v>12613</v>
      </c>
      <c r="D57" s="18" t="s">
        <v>34</v>
      </c>
      <c r="E57" s="69" t="s">
        <v>168</v>
      </c>
      <c r="F57" s="18" t="s">
        <v>21</v>
      </c>
      <c r="G57" s="18">
        <v>10</v>
      </c>
      <c r="H57" s="92">
        <v>19.28</v>
      </c>
      <c r="I57" s="14">
        <f t="shared" si="40"/>
        <v>2.9536960000000003</v>
      </c>
      <c r="J57" s="14">
        <f t="shared" si="41"/>
        <v>22.233696000000002</v>
      </c>
      <c r="K57" s="14">
        <f t="shared" si="42"/>
        <v>6.6701088000000004E-3</v>
      </c>
      <c r="L57" s="14">
        <f t="shared" si="43"/>
        <v>22.2270258912</v>
      </c>
      <c r="M57" s="14">
        <f t="shared" si="39"/>
        <v>222.270258912</v>
      </c>
      <c r="N57" s="14">
        <f t="shared" si="28"/>
        <v>2.1117196056955092</v>
      </c>
      <c r="O57" s="186"/>
    </row>
    <row r="58" spans="1:119" s="42" customFormat="1" ht="15" customHeight="1" x14ac:dyDescent="0.3">
      <c r="A58" s="18" t="s">
        <v>127</v>
      </c>
      <c r="B58" s="18" t="s">
        <v>81</v>
      </c>
      <c r="C58" s="18">
        <v>3529</v>
      </c>
      <c r="D58" s="18" t="s">
        <v>34</v>
      </c>
      <c r="E58" s="43" t="s">
        <v>111</v>
      </c>
      <c r="F58" s="18" t="s">
        <v>21</v>
      </c>
      <c r="G58" s="18">
        <v>15</v>
      </c>
      <c r="H58" s="92">
        <v>0.76</v>
      </c>
      <c r="I58" s="14">
        <f t="shared" si="40"/>
        <v>0.11643200000000001</v>
      </c>
      <c r="J58" s="14">
        <f t="shared" si="41"/>
        <v>0.87643199999999999</v>
      </c>
      <c r="K58" s="14">
        <f t="shared" si="42"/>
        <v>2.6292959999999995E-4</v>
      </c>
      <c r="L58" s="14">
        <f t="shared" si="43"/>
        <v>0.87616907040000003</v>
      </c>
      <c r="M58" s="14">
        <f t="shared" si="39"/>
        <v>13.142536056000001</v>
      </c>
      <c r="N58" s="14">
        <f t="shared" si="28"/>
        <v>5.9128630705394196E-2</v>
      </c>
      <c r="O58" s="186"/>
    </row>
    <row r="59" spans="1:119" s="19" customFormat="1" ht="17.100000000000001" customHeight="1" x14ac:dyDescent="0.2">
      <c r="A59" s="18" t="s">
        <v>116</v>
      </c>
      <c r="B59" s="18" t="s">
        <v>81</v>
      </c>
      <c r="C59" s="18">
        <v>3904</v>
      </c>
      <c r="D59" s="18" t="s">
        <v>34</v>
      </c>
      <c r="E59" s="24" t="s">
        <v>139</v>
      </c>
      <c r="F59" s="18" t="s">
        <v>21</v>
      </c>
      <c r="G59" s="18">
        <v>10</v>
      </c>
      <c r="H59" s="94">
        <v>0.86</v>
      </c>
      <c r="I59" s="14">
        <f t="shared" si="40"/>
        <v>0.13175200000000001</v>
      </c>
      <c r="J59" s="14">
        <f t="shared" si="41"/>
        <v>0.99175199999999997</v>
      </c>
      <c r="K59" s="14">
        <f t="shared" si="42"/>
        <v>2.9752559999999997E-4</v>
      </c>
      <c r="L59" s="14">
        <f t="shared" si="43"/>
        <v>0.99145447440000001</v>
      </c>
      <c r="M59" s="14">
        <f t="shared" si="39"/>
        <v>9.9145447440000005</v>
      </c>
      <c r="N59" s="14">
        <f t="shared" si="28"/>
        <v>0.75438596491228072</v>
      </c>
      <c r="O59" s="186"/>
    </row>
    <row r="60" spans="1:119" s="19" customFormat="1" ht="17.100000000000001" customHeight="1" x14ac:dyDescent="0.2">
      <c r="A60" s="18" t="s">
        <v>126</v>
      </c>
      <c r="B60" s="18" t="s">
        <v>81</v>
      </c>
      <c r="C60" s="18">
        <v>3874</v>
      </c>
      <c r="D60" s="18" t="s">
        <v>34</v>
      </c>
      <c r="E60" s="71" t="s">
        <v>169</v>
      </c>
      <c r="F60" s="18" t="s">
        <v>21</v>
      </c>
      <c r="G60" s="18">
        <v>10</v>
      </c>
      <c r="H60" s="92">
        <v>6.25</v>
      </c>
      <c r="I60" s="14">
        <f t="shared" si="40"/>
        <v>0.95750000000000002</v>
      </c>
      <c r="J60" s="14">
        <f t="shared" si="41"/>
        <v>7.2074999999999996</v>
      </c>
      <c r="K60" s="14">
        <f t="shared" si="42"/>
        <v>2.1622499999999997E-3</v>
      </c>
      <c r="L60" s="14">
        <f t="shared" si="43"/>
        <v>7.20533775</v>
      </c>
      <c r="M60" s="14">
        <f t="shared" si="39"/>
        <v>72.053377499999996</v>
      </c>
      <c r="N60" s="14">
        <f t="shared" si="28"/>
        <v>7.2674418604651159</v>
      </c>
      <c r="O60" s="186"/>
    </row>
    <row r="61" spans="1:119" s="19" customFormat="1" ht="17.100000000000001" customHeight="1" x14ac:dyDescent="0.2">
      <c r="A61" s="18" t="s">
        <v>128</v>
      </c>
      <c r="B61" s="18" t="s">
        <v>81</v>
      </c>
      <c r="C61" s="18">
        <v>4992</v>
      </c>
      <c r="D61" s="18" t="s">
        <v>34</v>
      </c>
      <c r="E61" s="24" t="s">
        <v>170</v>
      </c>
      <c r="F61" s="18" t="s">
        <v>21</v>
      </c>
      <c r="G61" s="18">
        <v>6</v>
      </c>
      <c r="H61" s="92">
        <v>296.48</v>
      </c>
      <c r="I61" s="14">
        <f t="shared" si="40"/>
        <v>45.420736000000005</v>
      </c>
      <c r="J61" s="14">
        <f t="shared" si="41"/>
        <v>341.90073600000005</v>
      </c>
      <c r="K61" s="14">
        <f t="shared" si="42"/>
        <v>0.1025702208</v>
      </c>
      <c r="L61" s="14">
        <f t="shared" si="43"/>
        <v>341.79816577920008</v>
      </c>
      <c r="M61" s="14">
        <f t="shared" si="39"/>
        <v>2050.7889946752002</v>
      </c>
      <c r="N61" s="14">
        <f t="shared" si="28"/>
        <v>28.462080000000004</v>
      </c>
      <c r="O61" s="186"/>
    </row>
    <row r="62" spans="1:119" s="42" customFormat="1" ht="15" customHeight="1" x14ac:dyDescent="0.3">
      <c r="A62" s="18" t="s">
        <v>129</v>
      </c>
      <c r="B62" s="57" t="s">
        <v>81</v>
      </c>
      <c r="C62" s="72">
        <v>11447</v>
      </c>
      <c r="D62" s="72" t="s">
        <v>34</v>
      </c>
      <c r="E62" s="65" t="s">
        <v>171</v>
      </c>
      <c r="F62" s="57" t="s">
        <v>21</v>
      </c>
      <c r="G62" s="57">
        <v>6</v>
      </c>
      <c r="H62" s="97">
        <v>41.22</v>
      </c>
      <c r="I62" s="35">
        <f t="shared" si="40"/>
        <v>6.3149040000000003</v>
      </c>
      <c r="J62" s="35">
        <f t="shared" si="41"/>
        <v>47.534903999999997</v>
      </c>
      <c r="K62" s="35">
        <f t="shared" si="42"/>
        <v>1.4260471199999998E-2</v>
      </c>
      <c r="L62" s="35">
        <f t="shared" si="43"/>
        <v>47.520643528800001</v>
      </c>
      <c r="M62" s="35">
        <f t="shared" si="39"/>
        <v>285.12386117279999</v>
      </c>
      <c r="N62" s="14">
        <f t="shared" si="28"/>
        <v>0.13903130059363192</v>
      </c>
      <c r="O62" s="186"/>
    </row>
    <row r="63" spans="1:119" s="42" customFormat="1" ht="15" customHeight="1" x14ac:dyDescent="0.3">
      <c r="A63" s="18" t="s">
        <v>130</v>
      </c>
      <c r="B63" s="18" t="s">
        <v>81</v>
      </c>
      <c r="C63" s="18">
        <v>3080</v>
      </c>
      <c r="D63" s="18" t="s">
        <v>34</v>
      </c>
      <c r="E63" s="45" t="s">
        <v>172</v>
      </c>
      <c r="F63" s="18" t="s">
        <v>21</v>
      </c>
      <c r="G63" s="18">
        <v>10</v>
      </c>
      <c r="H63" s="92">
        <v>80.5</v>
      </c>
      <c r="I63" s="14">
        <f t="shared" si="40"/>
        <v>12.332599999999999</v>
      </c>
      <c r="J63" s="14">
        <f t="shared" si="41"/>
        <v>92.832599999999999</v>
      </c>
      <c r="K63" s="14">
        <f t="shared" si="42"/>
        <v>2.7849779999999998E-2</v>
      </c>
      <c r="L63" s="14">
        <f t="shared" si="43"/>
        <v>92.804750220000003</v>
      </c>
      <c r="M63" s="14">
        <f t="shared" si="39"/>
        <v>928.04750220000005</v>
      </c>
      <c r="N63" s="14">
        <f t="shared" si="28"/>
        <v>3.2548924470321854</v>
      </c>
      <c r="O63" s="186"/>
    </row>
    <row r="64" spans="1:119" s="67" customFormat="1" ht="15" customHeight="1" x14ac:dyDescent="0.2">
      <c r="A64" s="18" t="s">
        <v>131</v>
      </c>
      <c r="B64" s="18" t="s">
        <v>81</v>
      </c>
      <c r="C64" s="18">
        <v>4720</v>
      </c>
      <c r="D64" s="18" t="s">
        <v>34</v>
      </c>
      <c r="E64" s="68" t="s">
        <v>173</v>
      </c>
      <c r="F64" s="18" t="s">
        <v>174</v>
      </c>
      <c r="G64" s="18">
        <v>3</v>
      </c>
      <c r="H64" s="92">
        <v>89.8</v>
      </c>
      <c r="I64" s="14">
        <f t="shared" si="40"/>
        <v>13.75736</v>
      </c>
      <c r="J64" s="14">
        <f t="shared" si="41"/>
        <v>103.55736</v>
      </c>
      <c r="K64" s="14">
        <f t="shared" si="42"/>
        <v>3.1067207999999999E-2</v>
      </c>
      <c r="L64" s="14">
        <f t="shared" si="43"/>
        <v>103.52629279200001</v>
      </c>
      <c r="M64" s="14">
        <f t="shared" si="39"/>
        <v>310.57887837600003</v>
      </c>
      <c r="N64" s="14">
        <f t="shared" si="28"/>
        <v>0.3346583850931677</v>
      </c>
      <c r="O64" s="186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</row>
    <row r="65" spans="1:119" s="42" customFormat="1" ht="15" customHeight="1" x14ac:dyDescent="0.3">
      <c r="A65" s="18" t="s">
        <v>135</v>
      </c>
      <c r="B65" s="18" t="s">
        <v>81</v>
      </c>
      <c r="C65" s="18">
        <v>367</v>
      </c>
      <c r="D65" s="18" t="s">
        <v>34</v>
      </c>
      <c r="E65" s="43" t="s">
        <v>186</v>
      </c>
      <c r="F65" s="18" t="s">
        <v>174</v>
      </c>
      <c r="G65" s="18">
        <v>5</v>
      </c>
      <c r="H65" s="94">
        <v>86.11</v>
      </c>
      <c r="I65" s="14">
        <f t="shared" si="40"/>
        <v>13.192052</v>
      </c>
      <c r="J65" s="14">
        <f t="shared" si="41"/>
        <v>99.302052000000003</v>
      </c>
      <c r="K65" s="14">
        <f t="shared" si="42"/>
        <v>2.9790615599999997E-2</v>
      </c>
      <c r="L65" s="14">
        <f t="shared" si="43"/>
        <v>99.272261384399997</v>
      </c>
      <c r="M65" s="14">
        <f t="shared" si="39"/>
        <v>496.36130692199998</v>
      </c>
      <c r="N65" s="14">
        <f t="shared" si="28"/>
        <v>1.5981811432813657</v>
      </c>
      <c r="O65" s="186"/>
    </row>
    <row r="66" spans="1:119" s="42" customFormat="1" ht="15" customHeight="1" x14ac:dyDescent="0.3">
      <c r="A66" s="18" t="s">
        <v>137</v>
      </c>
      <c r="B66" s="18" t="s">
        <v>81</v>
      </c>
      <c r="C66" s="18">
        <v>1379</v>
      </c>
      <c r="D66" s="18" t="s">
        <v>34</v>
      </c>
      <c r="E66" s="76" t="s">
        <v>177</v>
      </c>
      <c r="F66" s="18" t="s">
        <v>21</v>
      </c>
      <c r="G66" s="18">
        <f>60*50</f>
        <v>3000</v>
      </c>
      <c r="H66" s="92">
        <v>0.62</v>
      </c>
      <c r="I66" s="59">
        <f t="shared" si="40"/>
        <v>9.4983999999999999E-2</v>
      </c>
      <c r="J66" s="59">
        <f t="shared" si="41"/>
        <v>0.71498399999999995</v>
      </c>
      <c r="K66" s="59">
        <f t="shared" si="42"/>
        <v>2.1449519999999997E-4</v>
      </c>
      <c r="L66" s="59">
        <f t="shared" si="43"/>
        <v>0.7147695047999999</v>
      </c>
      <c r="M66" s="59">
        <f t="shared" si="39"/>
        <v>2144.3085143999997</v>
      </c>
      <c r="N66" s="14">
        <f>M66/M64</f>
        <v>6.9042316258351875</v>
      </c>
      <c r="O66" s="186"/>
    </row>
    <row r="67" spans="1:119" s="19" customFormat="1" ht="17.100000000000001" customHeight="1" x14ac:dyDescent="0.2">
      <c r="A67" s="18" t="s">
        <v>133</v>
      </c>
      <c r="B67" s="18" t="s">
        <v>81</v>
      </c>
      <c r="C67" s="18">
        <v>4823</v>
      </c>
      <c r="D67" s="18" t="s">
        <v>34</v>
      </c>
      <c r="E67" s="76" t="s">
        <v>178</v>
      </c>
      <c r="F67" s="18" t="s">
        <v>101</v>
      </c>
      <c r="G67" s="18">
        <v>4</v>
      </c>
      <c r="H67" s="96">
        <v>35.119999999999997</v>
      </c>
      <c r="I67" s="14">
        <f t="shared" si="40"/>
        <v>5.3803839999999994</v>
      </c>
      <c r="J67" s="14">
        <f t="shared" si="41"/>
        <v>40.500383999999997</v>
      </c>
      <c r="K67" s="14">
        <f t="shared" si="42"/>
        <v>1.2150115199999999E-2</v>
      </c>
      <c r="L67" s="14">
        <f t="shared" si="43"/>
        <v>40.488233884799996</v>
      </c>
      <c r="M67" s="14">
        <f t="shared" si="39"/>
        <v>161.95293553919998</v>
      </c>
      <c r="N67" s="14">
        <f t="shared" si="28"/>
        <v>7.5526881720430109E-2</v>
      </c>
      <c r="O67" s="186"/>
    </row>
    <row r="68" spans="1:119" s="67" customFormat="1" ht="15" customHeight="1" x14ac:dyDescent="0.3">
      <c r="A68" s="18" t="s">
        <v>142</v>
      </c>
      <c r="B68" s="18" t="s">
        <v>81</v>
      </c>
      <c r="C68" s="18">
        <v>43132</v>
      </c>
      <c r="D68" s="18" t="s">
        <v>34</v>
      </c>
      <c r="E68" s="45" t="s">
        <v>106</v>
      </c>
      <c r="F68" s="18" t="s">
        <v>107</v>
      </c>
      <c r="G68" s="18">
        <v>10</v>
      </c>
      <c r="H68" s="92">
        <v>21.16</v>
      </c>
      <c r="I68" s="14">
        <f t="shared" si="40"/>
        <v>3.2417120000000001</v>
      </c>
      <c r="J68" s="14">
        <f t="shared" si="41"/>
        <v>24.401712</v>
      </c>
      <c r="K68" s="14">
        <f t="shared" si="42"/>
        <v>7.3205135999999992E-3</v>
      </c>
      <c r="L68" s="14">
        <f t="shared" si="43"/>
        <v>24.3943914864</v>
      </c>
      <c r="M68" s="14">
        <f t="shared" si="39"/>
        <v>243.94391486399999</v>
      </c>
      <c r="N68" s="14">
        <f t="shared" si="28"/>
        <v>1.5062642369020502</v>
      </c>
      <c r="O68" s="186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</row>
    <row r="69" spans="1:119" s="19" customFormat="1" ht="15" customHeight="1" x14ac:dyDescent="0.2">
      <c r="A69" s="18" t="s">
        <v>136</v>
      </c>
      <c r="B69" s="18" t="s">
        <v>81</v>
      </c>
      <c r="C69" s="18">
        <v>3148</v>
      </c>
      <c r="D69" s="18" t="s">
        <v>34</v>
      </c>
      <c r="E69" s="43" t="s">
        <v>132</v>
      </c>
      <c r="F69" s="18" t="s">
        <v>21</v>
      </c>
      <c r="G69" s="18">
        <v>10</v>
      </c>
      <c r="H69" s="92">
        <v>9.58</v>
      </c>
      <c r="I69" s="14">
        <f t="shared" si="40"/>
        <v>1.4676560000000001</v>
      </c>
      <c r="J69" s="14">
        <f t="shared" ref="J69:J76" si="44">H69+I69</f>
        <v>11.047656</v>
      </c>
      <c r="K69" s="14">
        <f t="shared" si="42"/>
        <v>3.3142967999999998E-3</v>
      </c>
      <c r="L69" s="14">
        <f t="shared" ref="L69:L76" si="45">J69-K69</f>
        <v>11.044341703200001</v>
      </c>
      <c r="M69" s="14">
        <f t="shared" ref="M69:M76" si="46">L69*G69</f>
        <v>110.44341703200001</v>
      </c>
      <c r="N69" s="14">
        <f t="shared" si="28"/>
        <v>0.4527410207939509</v>
      </c>
      <c r="O69" s="186"/>
    </row>
    <row r="70" spans="1:119" s="42" customFormat="1" ht="15" customHeight="1" x14ac:dyDescent="0.2">
      <c r="A70" s="18" t="s">
        <v>140</v>
      </c>
      <c r="B70" s="57" t="s">
        <v>81</v>
      </c>
      <c r="C70" s="18">
        <v>5068</v>
      </c>
      <c r="D70" s="18" t="s">
        <v>34</v>
      </c>
      <c r="E70" s="76" t="s">
        <v>179</v>
      </c>
      <c r="F70" s="18" t="s">
        <v>101</v>
      </c>
      <c r="G70" s="18">
        <v>5</v>
      </c>
      <c r="H70" s="92">
        <v>12.2</v>
      </c>
      <c r="I70" s="40">
        <f t="shared" si="40"/>
        <v>1.86904</v>
      </c>
      <c r="J70" s="40">
        <f t="shared" si="44"/>
        <v>14.069039999999999</v>
      </c>
      <c r="K70" s="40">
        <f t="shared" si="42"/>
        <v>4.2207119999999997E-3</v>
      </c>
      <c r="L70" s="40">
        <f t="shared" si="45"/>
        <v>14.064819287999999</v>
      </c>
      <c r="M70" s="40">
        <f t="shared" si="46"/>
        <v>70.324096439999991</v>
      </c>
      <c r="N70" s="14">
        <f t="shared" si="28"/>
        <v>0.63674321503131504</v>
      </c>
      <c r="O70" s="186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</row>
    <row r="71" spans="1:119" s="19" customFormat="1" ht="17.100000000000001" customHeight="1" x14ac:dyDescent="0.2">
      <c r="A71" s="18" t="s">
        <v>143</v>
      </c>
      <c r="B71" s="57" t="s">
        <v>81</v>
      </c>
      <c r="C71" s="18">
        <v>20247</v>
      </c>
      <c r="D71" s="18" t="s">
        <v>34</v>
      </c>
      <c r="E71" s="68" t="s">
        <v>180</v>
      </c>
      <c r="F71" s="18" t="s">
        <v>101</v>
      </c>
      <c r="G71" s="18">
        <v>5</v>
      </c>
      <c r="H71" s="94">
        <v>13.51</v>
      </c>
      <c r="I71" s="59">
        <f t="shared" si="40"/>
        <v>2.0697320000000001</v>
      </c>
      <c r="J71" s="59">
        <f t="shared" si="44"/>
        <v>15.579732</v>
      </c>
      <c r="K71" s="59">
        <f t="shared" si="42"/>
        <v>4.6739195999999997E-3</v>
      </c>
      <c r="L71" s="59">
        <f t="shared" si="45"/>
        <v>15.5750580804</v>
      </c>
      <c r="M71" s="59">
        <f t="shared" si="46"/>
        <v>77.875290402000005</v>
      </c>
      <c r="N71" s="14">
        <f t="shared" si="28"/>
        <v>1.1073770491803281</v>
      </c>
      <c r="O71" s="186"/>
    </row>
    <row r="72" spans="1:119" s="42" customFormat="1" ht="15" customHeight="1" x14ac:dyDescent="0.2">
      <c r="A72" s="18" t="s">
        <v>138</v>
      </c>
      <c r="B72" s="18" t="s">
        <v>81</v>
      </c>
      <c r="C72" s="23">
        <v>5061</v>
      </c>
      <c r="D72" s="18" t="s">
        <v>34</v>
      </c>
      <c r="E72" s="24" t="s">
        <v>181</v>
      </c>
      <c r="F72" s="18" t="s">
        <v>101</v>
      </c>
      <c r="G72" s="18">
        <v>5</v>
      </c>
      <c r="H72" s="98">
        <v>12</v>
      </c>
      <c r="I72" s="14">
        <f t="shared" si="40"/>
        <v>1.8384</v>
      </c>
      <c r="J72" s="14">
        <f t="shared" si="44"/>
        <v>13.8384</v>
      </c>
      <c r="K72" s="14">
        <f t="shared" si="42"/>
        <v>4.1515199999999997E-3</v>
      </c>
      <c r="L72" s="14">
        <f t="shared" si="45"/>
        <v>13.834248479999999</v>
      </c>
      <c r="M72" s="14">
        <f t="shared" si="46"/>
        <v>69.171242399999997</v>
      </c>
      <c r="N72" s="14">
        <f t="shared" si="28"/>
        <v>0.8882309400444115</v>
      </c>
      <c r="O72" s="186"/>
    </row>
    <row r="73" spans="1:119" s="39" customFormat="1" ht="16.5" customHeight="1" x14ac:dyDescent="0.2">
      <c r="A73" s="18" t="s">
        <v>120</v>
      </c>
      <c r="B73" s="18" t="s">
        <v>81</v>
      </c>
      <c r="C73" s="18">
        <v>34357</v>
      </c>
      <c r="D73" s="18" t="s">
        <v>34</v>
      </c>
      <c r="E73" s="45" t="s">
        <v>182</v>
      </c>
      <c r="F73" s="18" t="s">
        <v>101</v>
      </c>
      <c r="G73" s="18">
        <v>10</v>
      </c>
      <c r="H73" s="96">
        <v>4.99</v>
      </c>
      <c r="I73" s="14">
        <f t="shared" si="40"/>
        <v>0.76446800000000004</v>
      </c>
      <c r="J73" s="14">
        <f t="shared" si="44"/>
        <v>5.7544680000000001</v>
      </c>
      <c r="K73" s="14">
        <f t="shared" si="42"/>
        <v>1.7263404E-3</v>
      </c>
      <c r="L73" s="14">
        <f t="shared" si="45"/>
        <v>5.7527416595999998</v>
      </c>
      <c r="M73" s="14">
        <f t="shared" si="46"/>
        <v>57.527416595999995</v>
      </c>
      <c r="N73" s="14">
        <f t="shared" si="28"/>
        <v>0.83166666666666667</v>
      </c>
      <c r="O73" s="186"/>
    </row>
    <row r="74" spans="1:119" s="19" customFormat="1" ht="17.100000000000001" customHeight="1" x14ac:dyDescent="0.2">
      <c r="A74" s="18" t="s">
        <v>134</v>
      </c>
      <c r="B74" s="18" t="s">
        <v>81</v>
      </c>
      <c r="C74" s="23">
        <v>10515</v>
      </c>
      <c r="D74" s="18" t="s">
        <v>34</v>
      </c>
      <c r="E74" s="24" t="s">
        <v>183</v>
      </c>
      <c r="F74" s="18" t="s">
        <v>145</v>
      </c>
      <c r="G74" s="18">
        <v>14.04</v>
      </c>
      <c r="H74" s="82">
        <v>45.08</v>
      </c>
      <c r="I74" s="14">
        <f t="shared" si="40"/>
        <v>6.906256</v>
      </c>
      <c r="J74" s="14">
        <f t="shared" si="44"/>
        <v>51.986255999999997</v>
      </c>
      <c r="K74" s="14">
        <f t="shared" si="42"/>
        <v>1.5595876799999998E-2</v>
      </c>
      <c r="L74" s="14">
        <f t="shared" si="45"/>
        <v>51.970660123199998</v>
      </c>
      <c r="M74" s="14">
        <f t="shared" si="46"/>
        <v>729.66806812972789</v>
      </c>
      <c r="N74" s="14">
        <f t="shared" si="28"/>
        <v>12.683831663326652</v>
      </c>
      <c r="O74" s="186"/>
    </row>
    <row r="75" spans="1:119" s="42" customFormat="1" ht="15" customHeight="1" x14ac:dyDescent="0.3">
      <c r="A75" s="18" t="s">
        <v>118</v>
      </c>
      <c r="B75" s="18" t="s">
        <v>81</v>
      </c>
      <c r="C75" s="18">
        <v>44463</v>
      </c>
      <c r="D75" s="18" t="s">
        <v>34</v>
      </c>
      <c r="E75" s="45" t="s">
        <v>184</v>
      </c>
      <c r="F75" s="18" t="s">
        <v>21</v>
      </c>
      <c r="G75" s="18">
        <v>500</v>
      </c>
      <c r="H75" s="92">
        <v>1.84</v>
      </c>
      <c r="I75" s="14">
        <f t="shared" si="40"/>
        <v>0.28188800000000003</v>
      </c>
      <c r="J75" s="14">
        <f t="shared" si="44"/>
        <v>2.1218880000000002</v>
      </c>
      <c r="K75" s="14">
        <f t="shared" si="42"/>
        <v>6.365664E-4</v>
      </c>
      <c r="L75" s="14">
        <f t="shared" si="45"/>
        <v>2.1212514336000003</v>
      </c>
      <c r="M75" s="14">
        <f t="shared" si="46"/>
        <v>1060.6257168000002</v>
      </c>
      <c r="N75" s="14">
        <f t="shared" si="28"/>
        <v>1.4535728821443112</v>
      </c>
      <c r="O75" s="186"/>
    </row>
    <row r="76" spans="1:119" s="19" customFormat="1" ht="17.100000000000001" customHeight="1" x14ac:dyDescent="0.2">
      <c r="A76" s="18" t="s">
        <v>144</v>
      </c>
      <c r="B76" s="18" t="s">
        <v>81</v>
      </c>
      <c r="C76" s="23">
        <v>44538</v>
      </c>
      <c r="D76" s="18" t="s">
        <v>34</v>
      </c>
      <c r="E76" s="24" t="s">
        <v>185</v>
      </c>
      <c r="F76" s="18" t="s">
        <v>21</v>
      </c>
      <c r="G76" s="18">
        <v>3</v>
      </c>
      <c r="H76" s="94">
        <v>57.83</v>
      </c>
      <c r="I76" s="14">
        <f t="shared" si="40"/>
        <v>8.8595559999999995</v>
      </c>
      <c r="J76" s="14">
        <f t="shared" si="44"/>
        <v>66.689555999999996</v>
      </c>
      <c r="K76" s="14">
        <f t="shared" si="42"/>
        <v>2.0006866799999998E-2</v>
      </c>
      <c r="L76" s="14">
        <f t="shared" si="45"/>
        <v>66.669549133199993</v>
      </c>
      <c r="M76" s="14">
        <f t="shared" si="46"/>
        <v>200.00864739959997</v>
      </c>
      <c r="N76" s="14">
        <f t="shared" si="28"/>
        <v>0.18857608695652167</v>
      </c>
      <c r="O76" s="186"/>
    </row>
    <row r="77" spans="1:119" s="19" customFormat="1" ht="17.100000000000001" customHeight="1" x14ac:dyDescent="0.2">
      <c r="A77" s="18" t="s">
        <v>141</v>
      </c>
      <c r="B77" s="18" t="s">
        <v>81</v>
      </c>
      <c r="C77" s="46" t="s">
        <v>149</v>
      </c>
      <c r="D77" s="99" t="s">
        <v>229</v>
      </c>
      <c r="E77" s="66" t="s">
        <v>150</v>
      </c>
      <c r="F77" s="18" t="s">
        <v>21</v>
      </c>
      <c r="G77" s="46">
        <v>3</v>
      </c>
      <c r="H77" s="83">
        <v>460.86</v>
      </c>
      <c r="I77" s="14">
        <f t="shared" si="40"/>
        <v>70.603752</v>
      </c>
      <c r="J77" s="14">
        <f t="shared" ref="J77" si="47">H77+I77</f>
        <v>531.463752</v>
      </c>
      <c r="K77" s="14">
        <f t="shared" si="42"/>
        <v>0.15943912559999998</v>
      </c>
      <c r="L77" s="14">
        <f t="shared" ref="L77" si="48">J77-K77</f>
        <v>531.30431287440001</v>
      </c>
      <c r="M77" s="14">
        <f t="shared" ref="M77" si="49">L77*G77</f>
        <v>1593.9129386232</v>
      </c>
      <c r="N77" s="14">
        <f>M77/M34</f>
        <v>4.9875951886535201E-2</v>
      </c>
      <c r="O77" s="186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</row>
    <row r="78" spans="1:119" s="42" customFormat="1" ht="17.25" customHeight="1" x14ac:dyDescent="0.3">
      <c r="A78" s="18"/>
      <c r="B78" s="18"/>
      <c r="C78" s="46"/>
      <c r="D78" s="46"/>
      <c r="E78" s="64"/>
      <c r="F78" s="18"/>
      <c r="G78" s="46"/>
      <c r="H78" s="47"/>
      <c r="I78" s="14"/>
      <c r="J78" s="14"/>
      <c r="K78" s="14"/>
      <c r="L78" s="14"/>
      <c r="M78" s="14"/>
      <c r="N78" s="14"/>
      <c r="O78" s="186"/>
    </row>
    <row r="79" spans="1:119" s="42" customFormat="1" ht="17.25" customHeight="1" x14ac:dyDescent="0.3">
      <c r="A79" s="18"/>
      <c r="B79" s="18"/>
      <c r="C79" s="18"/>
      <c r="D79" s="18"/>
      <c r="E79" s="43"/>
      <c r="F79" s="18"/>
      <c r="G79" s="18"/>
      <c r="H79" s="41"/>
      <c r="I79" s="14"/>
      <c r="J79" s="14"/>
      <c r="K79" s="14"/>
      <c r="L79" s="14"/>
      <c r="M79" s="14"/>
      <c r="N79" s="14"/>
      <c r="O79" s="186"/>
    </row>
    <row r="80" spans="1:119" s="19" customFormat="1" ht="17.25" customHeight="1" x14ac:dyDescent="0.2">
      <c r="A80" s="18"/>
      <c r="B80" s="18"/>
      <c r="C80" s="23"/>
      <c r="D80" s="18"/>
      <c r="E80" s="24"/>
      <c r="F80" s="18"/>
      <c r="G80" s="18"/>
      <c r="H80" s="26"/>
      <c r="I80" s="14"/>
      <c r="J80" s="14"/>
      <c r="K80" s="14"/>
      <c r="L80" s="14"/>
      <c r="M80" s="14"/>
      <c r="N80" s="14"/>
      <c r="O80" s="186"/>
    </row>
    <row r="81" spans="1:15" s="27" customFormat="1" ht="17.100000000000001" customHeight="1" x14ac:dyDescent="0.3">
      <c r="A81" s="202" t="s">
        <v>16</v>
      </c>
      <c r="B81" s="137" t="s">
        <v>17</v>
      </c>
      <c r="C81" s="137" t="s">
        <v>18</v>
      </c>
      <c r="D81" s="137" t="s">
        <v>19</v>
      </c>
      <c r="E81" s="137" t="s">
        <v>20</v>
      </c>
      <c r="F81" s="137" t="s">
        <v>21</v>
      </c>
      <c r="G81" s="137" t="s">
        <v>22</v>
      </c>
      <c r="H81" s="139" t="s">
        <v>23</v>
      </c>
      <c r="I81" s="139"/>
      <c r="J81" s="139"/>
      <c r="K81" s="139"/>
      <c r="L81" s="140"/>
      <c r="M81" s="137" t="s">
        <v>24</v>
      </c>
      <c r="N81" s="137" t="s">
        <v>25</v>
      </c>
      <c r="O81" s="114"/>
    </row>
    <row r="82" spans="1:15" s="27" customFormat="1" ht="17.100000000000001" customHeight="1" x14ac:dyDescent="0.3">
      <c r="A82" s="203"/>
      <c r="B82" s="138"/>
      <c r="C82" s="138"/>
      <c r="D82" s="138"/>
      <c r="E82" s="138"/>
      <c r="F82" s="138"/>
      <c r="G82" s="138"/>
      <c r="H82" s="4" t="s">
        <v>27</v>
      </c>
      <c r="I82" s="4" t="s">
        <v>28</v>
      </c>
      <c r="J82" s="4" t="s">
        <v>29</v>
      </c>
      <c r="K82" s="4" t="s">
        <v>53</v>
      </c>
      <c r="L82" s="4" t="s">
        <v>30</v>
      </c>
      <c r="M82" s="138"/>
      <c r="N82" s="138"/>
      <c r="O82" s="114"/>
    </row>
    <row r="83" spans="1:15" s="28" customFormat="1" ht="17.100000000000001" customHeight="1" x14ac:dyDescent="0.2">
      <c r="A83" s="29">
        <v>3</v>
      </c>
      <c r="B83" s="189" t="s">
        <v>38</v>
      </c>
      <c r="C83" s="190"/>
      <c r="D83" s="190"/>
      <c r="E83" s="190"/>
      <c r="F83" s="191"/>
      <c r="G83" s="30"/>
      <c r="H83" s="30"/>
      <c r="I83" s="30"/>
      <c r="J83" s="30"/>
      <c r="K83" s="30"/>
      <c r="L83" s="30"/>
      <c r="M83" s="31">
        <f>SUM(M84:M122)</f>
        <v>53862.85951215426</v>
      </c>
      <c r="N83" s="30"/>
      <c r="O83" s="114"/>
    </row>
    <row r="84" spans="1:15" s="28" customFormat="1" ht="26.25" customHeight="1" x14ac:dyDescent="0.2">
      <c r="A84" s="32" t="s">
        <v>76</v>
      </c>
      <c r="B84" s="32" t="s">
        <v>33</v>
      </c>
      <c r="C84" s="32" t="s">
        <v>58</v>
      </c>
      <c r="D84" s="32" t="s">
        <v>34</v>
      </c>
      <c r="E84" s="33" t="s">
        <v>59</v>
      </c>
      <c r="F84" s="34" t="s">
        <v>35</v>
      </c>
      <c r="G84" s="11">
        <v>180</v>
      </c>
      <c r="H84" s="82">
        <v>34.08</v>
      </c>
      <c r="I84" s="35">
        <f>H84*0.2232</f>
        <v>7.6066560000000001</v>
      </c>
      <c r="J84" s="35">
        <f>H84+I84</f>
        <v>41.686655999999999</v>
      </c>
      <c r="K84" s="35">
        <f>J84*(0.03%)</f>
        <v>1.2505996799999999E-2</v>
      </c>
      <c r="L84" s="35">
        <f>J84-K84</f>
        <v>41.674150003199998</v>
      </c>
      <c r="M84" s="35">
        <f>L84*G84</f>
        <v>7501.3470005759991</v>
      </c>
      <c r="N84" s="35">
        <f>M84/M$16</f>
        <v>0.10030216222579756</v>
      </c>
      <c r="O84" s="186"/>
    </row>
    <row r="85" spans="1:15" s="28" customFormat="1" ht="23.25" customHeight="1" x14ac:dyDescent="0.2">
      <c r="A85" s="32" t="s">
        <v>78</v>
      </c>
      <c r="B85" s="32" t="s">
        <v>33</v>
      </c>
      <c r="C85" s="32" t="s">
        <v>60</v>
      </c>
      <c r="D85" s="32" t="s">
        <v>34</v>
      </c>
      <c r="E85" s="33" t="s">
        <v>61</v>
      </c>
      <c r="F85" s="34" t="s">
        <v>35</v>
      </c>
      <c r="G85" s="11">
        <v>180</v>
      </c>
      <c r="H85" s="82">
        <v>32.08</v>
      </c>
      <c r="I85" s="35">
        <f>H85*0.2232</f>
        <v>7.1602559999999995</v>
      </c>
      <c r="J85" s="35">
        <f>H85+I85</f>
        <v>39.240255999999995</v>
      </c>
      <c r="K85" s="35">
        <f>J85*(0.03%)</f>
        <v>1.1772076799999998E-2</v>
      </c>
      <c r="L85" s="35">
        <f>J85-K85</f>
        <v>39.228483923199995</v>
      </c>
      <c r="M85" s="35">
        <f>L85*G85</f>
        <v>7061.127106175999</v>
      </c>
      <c r="N85" s="35">
        <f>M85/M$16</f>
        <v>9.4415885099870464E-2</v>
      </c>
      <c r="O85" s="186"/>
    </row>
    <row r="86" spans="1:15" s="28" customFormat="1" ht="23.25" customHeight="1" x14ac:dyDescent="0.2">
      <c r="A86" s="11" t="s">
        <v>77</v>
      </c>
      <c r="B86" s="11" t="s">
        <v>33</v>
      </c>
      <c r="C86" s="11">
        <v>88310</v>
      </c>
      <c r="D86" s="11" t="s">
        <v>34</v>
      </c>
      <c r="E86" s="20" t="s">
        <v>79</v>
      </c>
      <c r="F86" s="13" t="s">
        <v>35</v>
      </c>
      <c r="G86" s="11">
        <v>180</v>
      </c>
      <c r="H86" s="82">
        <v>36.82</v>
      </c>
      <c r="I86" s="14">
        <f>H86*0.2232</f>
        <v>8.2182240000000011</v>
      </c>
      <c r="J86" s="14">
        <f>H86+I86</f>
        <v>45.038224</v>
      </c>
      <c r="K86" s="14">
        <f>J86*(0.03%)</f>
        <v>1.3511467199999998E-2</v>
      </c>
      <c r="L86" s="14">
        <f>J86-K86</f>
        <v>45.024712532800002</v>
      </c>
      <c r="M86" s="14">
        <f>L86*G86</f>
        <v>8104.4482559040007</v>
      </c>
      <c r="N86" s="14">
        <f>M86/M$16</f>
        <v>0.10836636188831769</v>
      </c>
      <c r="O86" s="186"/>
    </row>
    <row r="87" spans="1:15" s="28" customFormat="1" ht="23.25" customHeight="1" x14ac:dyDescent="0.2">
      <c r="A87" s="11" t="s">
        <v>80</v>
      </c>
      <c r="B87" s="17" t="s">
        <v>33</v>
      </c>
      <c r="C87" s="73">
        <v>93588</v>
      </c>
      <c r="D87" s="73" t="s">
        <v>34</v>
      </c>
      <c r="E87" s="74" t="s">
        <v>175</v>
      </c>
      <c r="F87" s="75" t="s">
        <v>176</v>
      </c>
      <c r="G87" s="73">
        <f>8*17</f>
        <v>136</v>
      </c>
      <c r="H87" s="83">
        <v>3.29</v>
      </c>
      <c r="I87" s="59">
        <f>H87*0.2232</f>
        <v>0.73432800000000009</v>
      </c>
      <c r="J87" s="59">
        <f>H87+I87</f>
        <v>4.0243280000000006</v>
      </c>
      <c r="K87" s="59">
        <f>J87*(0.03%)</f>
        <v>1.2072984E-3</v>
      </c>
      <c r="L87" s="59">
        <f>J87-K87</f>
        <v>4.0231207016000008</v>
      </c>
      <c r="M87" s="59">
        <f>L87*G87</f>
        <v>547.14441541760016</v>
      </c>
      <c r="N87" s="59">
        <f>M87/M86</f>
        <v>6.7511618081960295E-2</v>
      </c>
      <c r="O87" s="186"/>
    </row>
    <row r="88" spans="1:15" s="28" customFormat="1" ht="23.25" customHeight="1" x14ac:dyDescent="0.2">
      <c r="A88" s="197" t="s">
        <v>213</v>
      </c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86"/>
    </row>
    <row r="89" spans="1:15" s="28" customFormat="1" ht="40.799999999999997" x14ac:dyDescent="0.2">
      <c r="A89" s="11" t="s">
        <v>146</v>
      </c>
      <c r="B89" s="11" t="s">
        <v>33</v>
      </c>
      <c r="C89" s="84">
        <v>92106</v>
      </c>
      <c r="D89" s="11" t="s">
        <v>34</v>
      </c>
      <c r="E89" s="20" t="s">
        <v>187</v>
      </c>
      <c r="F89" s="13" t="s">
        <v>188</v>
      </c>
      <c r="G89" s="11">
        <v>6</v>
      </c>
      <c r="H89" s="82">
        <v>366.03</v>
      </c>
      <c r="I89" s="40">
        <f t="shared" ref="I89:I91" si="50">H89*0.2232</f>
        <v>81.697896</v>
      </c>
      <c r="J89" s="40">
        <f t="shared" ref="J89:J91" si="51">H89+I89</f>
        <v>447.72789599999999</v>
      </c>
      <c r="K89" s="40">
        <f t="shared" ref="K89:K91" si="52">J89*(0.03%)</f>
        <v>0.13431836879999998</v>
      </c>
      <c r="L89" s="40">
        <f t="shared" ref="L89:L91" si="53">J89-K89</f>
        <v>447.59357763119999</v>
      </c>
      <c r="M89" s="40">
        <f t="shared" ref="M89:M91" si="54">L89*G89</f>
        <v>2685.5614657872002</v>
      </c>
      <c r="N89" s="35">
        <f t="shared" ref="N89:N91" si="55">M89/M$16</f>
        <v>3.5909233606718202E-2</v>
      </c>
      <c r="O89" s="186"/>
    </row>
    <row r="90" spans="1:15" s="28" customFormat="1" ht="23.25" customHeight="1" x14ac:dyDescent="0.2">
      <c r="A90" s="17" t="s">
        <v>147</v>
      </c>
      <c r="B90" s="17" t="s">
        <v>33</v>
      </c>
      <c r="C90" s="11" t="s">
        <v>54</v>
      </c>
      <c r="D90" s="11" t="s">
        <v>34</v>
      </c>
      <c r="E90" s="20" t="s">
        <v>55</v>
      </c>
      <c r="F90" s="13" t="s">
        <v>35</v>
      </c>
      <c r="G90" s="17">
        <v>6</v>
      </c>
      <c r="H90" s="82">
        <v>38.36</v>
      </c>
      <c r="I90" s="14">
        <f t="shared" si="50"/>
        <v>8.5619519999999998</v>
      </c>
      <c r="J90" s="14">
        <f t="shared" si="51"/>
        <v>46.921951999999997</v>
      </c>
      <c r="K90" s="14">
        <f t="shared" si="52"/>
        <v>1.4076585599999998E-2</v>
      </c>
      <c r="L90" s="14">
        <f t="shared" si="53"/>
        <v>46.907875414399996</v>
      </c>
      <c r="M90" s="14">
        <f t="shared" si="54"/>
        <v>281.44725248639998</v>
      </c>
      <c r="N90" s="14">
        <f t="shared" si="55"/>
        <v>3.7632931758427176E-3</v>
      </c>
      <c r="O90" s="186"/>
    </row>
    <row r="91" spans="1:15" s="28" customFormat="1" ht="23.25" customHeight="1" x14ac:dyDescent="0.2">
      <c r="A91" s="17" t="s">
        <v>102</v>
      </c>
      <c r="B91" s="17" t="s">
        <v>33</v>
      </c>
      <c r="C91" s="11">
        <v>88248</v>
      </c>
      <c r="D91" s="11" t="s">
        <v>34</v>
      </c>
      <c r="E91" s="20" t="s">
        <v>57</v>
      </c>
      <c r="F91" s="13" t="s">
        <v>35</v>
      </c>
      <c r="G91" s="17">
        <v>6</v>
      </c>
      <c r="H91" s="82">
        <v>31.51</v>
      </c>
      <c r="I91" s="14">
        <f t="shared" si="50"/>
        <v>7.0330320000000004</v>
      </c>
      <c r="J91" s="14">
        <f t="shared" si="51"/>
        <v>38.543032000000004</v>
      </c>
      <c r="K91" s="14">
        <f t="shared" si="52"/>
        <v>1.1562909600000001E-2</v>
      </c>
      <c r="L91" s="14">
        <f t="shared" si="53"/>
        <v>38.531469090400002</v>
      </c>
      <c r="M91" s="14">
        <f t="shared" si="54"/>
        <v>231.1888145424</v>
      </c>
      <c r="N91" s="14">
        <f t="shared" si="55"/>
        <v>3.0912765372993751E-3</v>
      </c>
      <c r="O91" s="186"/>
    </row>
    <row r="92" spans="1:15" s="28" customFormat="1" ht="23.25" customHeight="1" x14ac:dyDescent="0.2">
      <c r="A92" s="106" t="s">
        <v>201</v>
      </c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7"/>
      <c r="N92" s="14"/>
      <c r="O92" s="186"/>
    </row>
    <row r="93" spans="1:15" s="28" customFormat="1" ht="23.25" customHeight="1" x14ac:dyDescent="0.2">
      <c r="A93" s="40" t="s">
        <v>103</v>
      </c>
      <c r="B93" s="32" t="s">
        <v>33</v>
      </c>
      <c r="C93" s="85">
        <v>102180</v>
      </c>
      <c r="D93" s="55" t="s">
        <v>34</v>
      </c>
      <c r="E93" s="56" t="s">
        <v>199</v>
      </c>
      <c r="F93" s="13" t="s">
        <v>145</v>
      </c>
      <c r="G93" s="55">
        <f>1.8*1</f>
        <v>1.8</v>
      </c>
      <c r="H93" s="86">
        <v>484.3</v>
      </c>
      <c r="I93" s="40">
        <f t="shared" ref="I93" si="56">H93*0.2232</f>
        <v>108.09576000000001</v>
      </c>
      <c r="J93" s="40">
        <f t="shared" ref="J93" si="57">H93+I93</f>
        <v>592.39576</v>
      </c>
      <c r="K93" s="40">
        <f t="shared" ref="K93" si="58">J93*(0.03%)</f>
        <v>0.17771872799999999</v>
      </c>
      <c r="L93" s="40">
        <f t="shared" ref="L93" si="59">J93-K93</f>
        <v>592.21804127200005</v>
      </c>
      <c r="M93" s="40">
        <f t="shared" ref="M93" si="60">L93*G93</f>
        <v>1065.9924742896001</v>
      </c>
      <c r="N93" s="14">
        <f>M84/M83</f>
        <v>0.13926752252882721</v>
      </c>
      <c r="O93" s="186"/>
    </row>
    <row r="94" spans="1:15" s="28" customFormat="1" ht="23.25" customHeight="1" x14ac:dyDescent="0.2">
      <c r="A94" s="40" t="s">
        <v>148</v>
      </c>
      <c r="B94" s="32" t="s">
        <v>33</v>
      </c>
      <c r="C94" s="85">
        <v>102192</v>
      </c>
      <c r="D94" s="55" t="s">
        <v>34</v>
      </c>
      <c r="E94" s="56" t="s">
        <v>200</v>
      </c>
      <c r="F94" s="49" t="s">
        <v>145</v>
      </c>
      <c r="G94" s="55">
        <v>1.8</v>
      </c>
      <c r="H94" s="86">
        <v>20.309999999999999</v>
      </c>
      <c r="I94" s="40">
        <f t="shared" ref="I94" si="61">H94*0.2232</f>
        <v>4.5331919999999997</v>
      </c>
      <c r="J94" s="40">
        <f t="shared" ref="J94" si="62">H94+I94</f>
        <v>24.843191999999998</v>
      </c>
      <c r="K94" s="40">
        <f t="shared" ref="K94" si="63">J94*(0.03%)</f>
        <v>7.452957599999999E-3</v>
      </c>
      <c r="L94" s="40">
        <f t="shared" ref="L94" si="64">J94-K94</f>
        <v>24.835739042399997</v>
      </c>
      <c r="M94" s="40">
        <f t="shared" ref="M94" si="65">L94*G94</f>
        <v>44.704330276319993</v>
      </c>
      <c r="N94" s="14">
        <f>M85/M84</f>
        <v>0.94131455399061026</v>
      </c>
      <c r="O94" s="186"/>
    </row>
    <row r="95" spans="1:15" s="28" customFormat="1" ht="23.25" customHeight="1" x14ac:dyDescent="0.2">
      <c r="A95" s="106" t="s">
        <v>198</v>
      </c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7"/>
      <c r="N95" s="14"/>
      <c r="O95" s="186"/>
    </row>
    <row r="96" spans="1:15" s="28" customFormat="1" ht="23.25" customHeight="1" x14ac:dyDescent="0.2">
      <c r="A96" s="40" t="s">
        <v>104</v>
      </c>
      <c r="B96" s="32" t="s">
        <v>33</v>
      </c>
      <c r="C96" s="80">
        <v>102161</v>
      </c>
      <c r="D96" s="80" t="s">
        <v>34</v>
      </c>
      <c r="E96" s="81" t="s">
        <v>211</v>
      </c>
      <c r="F96" s="49" t="s">
        <v>145</v>
      </c>
      <c r="G96" s="80">
        <v>9.9700000000000006</v>
      </c>
      <c r="H96" s="88">
        <v>317.98</v>
      </c>
      <c r="I96" s="40">
        <f>H96*0.2232</f>
        <v>70.973136000000011</v>
      </c>
      <c r="J96" s="40">
        <f>H96+I96</f>
        <v>388.95313600000003</v>
      </c>
      <c r="K96" s="40">
        <f>J96*(0.03%)</f>
        <v>0.1166859408</v>
      </c>
      <c r="L96" s="40">
        <f>J96-K96</f>
        <v>388.83645005920005</v>
      </c>
      <c r="M96" s="40">
        <f>L96*G96</f>
        <v>3876.6994070902247</v>
      </c>
      <c r="N96" s="35">
        <f>M96/M$16</f>
        <v>5.1836201258355238E-2</v>
      </c>
      <c r="O96" s="186"/>
    </row>
    <row r="97" spans="1:15" s="28" customFormat="1" ht="23.25" customHeight="1" x14ac:dyDescent="0.2">
      <c r="A97" s="40" t="s">
        <v>105</v>
      </c>
      <c r="B97" s="32" t="s">
        <v>33</v>
      </c>
      <c r="C97" s="46">
        <v>102191</v>
      </c>
      <c r="D97" s="46" t="s">
        <v>34</v>
      </c>
      <c r="E97" s="60" t="s">
        <v>212</v>
      </c>
      <c r="F97" s="49" t="s">
        <v>145</v>
      </c>
      <c r="G97" s="46">
        <v>9.9700000000000006</v>
      </c>
      <c r="H97" s="87">
        <v>28.45</v>
      </c>
      <c r="I97" s="40">
        <f t="shared" ref="I97" si="66">H97*0.2232</f>
        <v>6.3500399999999999</v>
      </c>
      <c r="J97" s="40">
        <f t="shared" ref="J97" si="67">H97+I97</f>
        <v>34.800039999999996</v>
      </c>
      <c r="K97" s="40">
        <f t="shared" ref="K97" si="68">J97*(0.03%)</f>
        <v>1.0440011999999999E-2</v>
      </c>
      <c r="L97" s="40">
        <f t="shared" ref="L97" si="69">J97-K97</f>
        <v>34.789599987999999</v>
      </c>
      <c r="M97" s="40">
        <f t="shared" ref="M97" si="70">L97*G97</f>
        <v>346.85231188035999</v>
      </c>
      <c r="N97" s="14">
        <f>M88/M86</f>
        <v>0</v>
      </c>
      <c r="O97" s="186"/>
    </row>
    <row r="98" spans="1:15" s="28" customFormat="1" ht="23.25" customHeight="1" x14ac:dyDescent="0.2">
      <c r="A98" s="106" t="s">
        <v>214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7"/>
      <c r="N98" s="14"/>
      <c r="O98" s="186"/>
    </row>
    <row r="99" spans="1:15" s="28" customFormat="1" ht="23.25" customHeight="1" x14ac:dyDescent="0.2">
      <c r="A99" s="40" t="s">
        <v>230</v>
      </c>
      <c r="B99" s="32" t="s">
        <v>33</v>
      </c>
      <c r="C99" s="55">
        <v>99814</v>
      </c>
      <c r="D99" s="55" t="s">
        <v>34</v>
      </c>
      <c r="E99" s="56" t="s">
        <v>217</v>
      </c>
      <c r="F99" s="55" t="s">
        <v>145</v>
      </c>
      <c r="G99" s="55">
        <v>85</v>
      </c>
      <c r="H99" s="89">
        <v>2.69</v>
      </c>
      <c r="I99" s="40">
        <f t="shared" ref="I99" si="71">H99*0.2232</f>
        <v>0.60040800000000005</v>
      </c>
      <c r="J99" s="40">
        <f t="shared" ref="J99" si="72">H99+I99</f>
        <v>3.2904080000000002</v>
      </c>
      <c r="K99" s="40">
        <f t="shared" ref="K99" si="73">J99*(0.03%)</f>
        <v>9.8712239999999992E-4</v>
      </c>
      <c r="L99" s="40">
        <f t="shared" ref="L99" si="74">J99-K99</f>
        <v>3.2894208776</v>
      </c>
      <c r="M99" s="40">
        <f t="shared" ref="M99" si="75">L99*G99</f>
        <v>279.60077459600001</v>
      </c>
      <c r="N99" s="35">
        <f t="shared" ref="N99" si="76">M99/M$16</f>
        <v>3.7386035134534127E-3</v>
      </c>
      <c r="O99" s="186"/>
    </row>
    <row r="100" spans="1:15" s="28" customFormat="1" ht="23.25" customHeight="1" x14ac:dyDescent="0.2">
      <c r="A100" s="40" t="s">
        <v>231</v>
      </c>
      <c r="B100" s="32" t="s">
        <v>33</v>
      </c>
      <c r="C100" s="46">
        <v>98554</v>
      </c>
      <c r="D100" s="46" t="s">
        <v>34</v>
      </c>
      <c r="E100" s="60" t="s">
        <v>218</v>
      </c>
      <c r="F100" s="55" t="s">
        <v>145</v>
      </c>
      <c r="G100" s="46">
        <v>85</v>
      </c>
      <c r="H100" s="90">
        <v>50.13</v>
      </c>
      <c r="I100" s="40">
        <f t="shared" ref="I100:I101" si="77">H100*0.2232</f>
        <v>11.189016000000001</v>
      </c>
      <c r="J100" s="40">
        <f t="shared" ref="J100:J101" si="78">H100+I100</f>
        <v>61.319016000000005</v>
      </c>
      <c r="K100" s="40">
        <f t="shared" ref="K100:K101" si="79">J100*(0.03%)</f>
        <v>1.8395704799999999E-2</v>
      </c>
      <c r="L100" s="40">
        <f t="shared" ref="L100:L101" si="80">J100-K100</f>
        <v>61.300620295200005</v>
      </c>
      <c r="M100" s="40">
        <f t="shared" ref="M100:M101" si="81">L100*G100</f>
        <v>5210.5527250920004</v>
      </c>
      <c r="N100" s="35">
        <f t="shared" ref="N100:N101" si="82">M100/M$16</f>
        <v>6.9671447631754493E-2</v>
      </c>
      <c r="O100" s="186"/>
    </row>
    <row r="101" spans="1:15" s="28" customFormat="1" ht="23.25" customHeight="1" x14ac:dyDescent="0.2">
      <c r="A101" s="40" t="s">
        <v>232</v>
      </c>
      <c r="B101" s="32" t="s">
        <v>33</v>
      </c>
      <c r="C101" s="55" t="s">
        <v>215</v>
      </c>
      <c r="D101" s="55" t="s">
        <v>34</v>
      </c>
      <c r="E101" s="56" t="s">
        <v>216</v>
      </c>
      <c r="F101" s="55" t="s">
        <v>145</v>
      </c>
      <c r="G101" s="55">
        <v>85</v>
      </c>
      <c r="H101" s="86">
        <v>14.98</v>
      </c>
      <c r="I101" s="40">
        <f t="shared" si="77"/>
        <v>3.3435360000000003</v>
      </c>
      <c r="J101" s="40">
        <f t="shared" si="78"/>
        <v>18.323536000000001</v>
      </c>
      <c r="K101" s="40">
        <f t="shared" si="79"/>
        <v>5.4970608000000001E-3</v>
      </c>
      <c r="L101" s="40">
        <f t="shared" si="80"/>
        <v>18.318038939200001</v>
      </c>
      <c r="M101" s="40">
        <f t="shared" si="81"/>
        <v>1557.033309832</v>
      </c>
      <c r="N101" s="35">
        <f t="shared" si="82"/>
        <v>2.0819435179008222E-2</v>
      </c>
      <c r="O101" s="186"/>
    </row>
    <row r="102" spans="1:15" s="28" customFormat="1" ht="23.25" customHeight="1" x14ac:dyDescent="0.2">
      <c r="A102" s="40" t="s">
        <v>233</v>
      </c>
      <c r="B102" s="32" t="s">
        <v>33</v>
      </c>
      <c r="C102" s="46">
        <v>95305</v>
      </c>
      <c r="D102" s="46" t="s">
        <v>34</v>
      </c>
      <c r="E102" s="60" t="s">
        <v>219</v>
      </c>
      <c r="F102" s="55" t="s">
        <v>145</v>
      </c>
      <c r="G102" s="46">
        <v>85</v>
      </c>
      <c r="H102" s="90">
        <v>15.72</v>
      </c>
      <c r="I102" s="40">
        <f t="shared" ref="I102" si="83">H102*0.2232</f>
        <v>3.5087040000000003</v>
      </c>
      <c r="J102" s="40">
        <f t="shared" ref="J102" si="84">H102+I102</f>
        <v>19.228704</v>
      </c>
      <c r="K102" s="40">
        <f t="shared" ref="K102" si="85">J102*(0.03%)</f>
        <v>5.7686111999999999E-3</v>
      </c>
      <c r="L102" s="40">
        <f t="shared" ref="L102" si="86">J102-K102</f>
        <v>19.2229353888</v>
      </c>
      <c r="M102" s="40">
        <f t="shared" ref="M102" si="87">L102*G102</f>
        <v>1633.9495080480001</v>
      </c>
      <c r="N102" s="35">
        <f t="shared" ref="N102" si="88">M102/M$16</f>
        <v>2.1847898599066041E-2</v>
      </c>
      <c r="O102" s="186"/>
    </row>
    <row r="103" spans="1:15" s="28" customFormat="1" ht="23.25" customHeight="1" x14ac:dyDescent="0.2">
      <c r="A103" s="106" t="s">
        <v>224</v>
      </c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7"/>
      <c r="N103" s="35"/>
      <c r="O103" s="186"/>
    </row>
    <row r="104" spans="1:15" s="28" customFormat="1" ht="23.25" customHeight="1" x14ac:dyDescent="0.2">
      <c r="A104" s="40" t="s">
        <v>234</v>
      </c>
      <c r="B104" s="32" t="s">
        <v>33</v>
      </c>
      <c r="C104" s="55" t="s">
        <v>215</v>
      </c>
      <c r="D104" s="55" t="s">
        <v>34</v>
      </c>
      <c r="E104" s="56" t="s">
        <v>216</v>
      </c>
      <c r="F104" s="55" t="s">
        <v>145</v>
      </c>
      <c r="G104" s="55">
        <v>16.98</v>
      </c>
      <c r="H104" s="86">
        <v>14.98</v>
      </c>
      <c r="I104" s="40">
        <f t="shared" ref="I104" si="89">H104*0.2232</f>
        <v>3.3435360000000003</v>
      </c>
      <c r="J104" s="40">
        <f t="shared" ref="J104" si="90">H104+I104</f>
        <v>18.323536000000001</v>
      </c>
      <c r="K104" s="40">
        <f t="shared" ref="K104" si="91">J104*(0.03%)</f>
        <v>5.4970608000000001E-3</v>
      </c>
      <c r="L104" s="40">
        <f t="shared" ref="L104" si="92">J104-K104</f>
        <v>18.318038939200001</v>
      </c>
      <c r="M104" s="40">
        <f t="shared" ref="M104" si="93">L104*G104</f>
        <v>311.04030118761602</v>
      </c>
      <c r="N104" s="35">
        <f>M104/M83</f>
        <v>5.7746711556862142E-3</v>
      </c>
      <c r="O104" s="186"/>
    </row>
    <row r="105" spans="1:15" s="28" customFormat="1" ht="23.25" customHeight="1" x14ac:dyDescent="0.2">
      <c r="A105" s="106" t="s">
        <v>225</v>
      </c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7"/>
      <c r="N105" s="35"/>
      <c r="O105" s="186"/>
    </row>
    <row r="106" spans="1:15" s="28" customFormat="1" ht="23.25" customHeight="1" x14ac:dyDescent="0.2">
      <c r="A106" s="40" t="s">
        <v>235</v>
      </c>
      <c r="B106" s="32" t="s">
        <v>33</v>
      </c>
      <c r="C106" s="55" t="s">
        <v>215</v>
      </c>
      <c r="D106" s="55" t="s">
        <v>34</v>
      </c>
      <c r="E106" s="56" t="s">
        <v>216</v>
      </c>
      <c r="F106" s="55" t="s">
        <v>145</v>
      </c>
      <c r="G106" s="55">
        <v>12.8</v>
      </c>
      <c r="H106" s="86">
        <v>14.98</v>
      </c>
      <c r="I106" s="40">
        <f t="shared" ref="I106" si="94">H106*0.2232</f>
        <v>3.3435360000000003</v>
      </c>
      <c r="J106" s="40">
        <f t="shared" ref="J106" si="95">H106+I106</f>
        <v>18.323536000000001</v>
      </c>
      <c r="K106" s="40">
        <f t="shared" ref="K106" si="96">J106*(0.03%)</f>
        <v>5.4970608000000001E-3</v>
      </c>
      <c r="L106" s="40">
        <f t="shared" ref="L106" si="97">J106-K106</f>
        <v>18.318038939200001</v>
      </c>
      <c r="M106" s="40">
        <f t="shared" ref="M106" si="98">L106*G106</f>
        <v>234.47089842176001</v>
      </c>
      <c r="N106" s="35">
        <f>M106/M83</f>
        <v>4.3531089983971458E-3</v>
      </c>
      <c r="O106" s="186"/>
    </row>
    <row r="107" spans="1:15" s="28" customFormat="1" ht="23.25" customHeight="1" x14ac:dyDescent="0.2">
      <c r="A107" s="106" t="s">
        <v>227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7"/>
      <c r="N107" s="14"/>
      <c r="O107" s="186"/>
    </row>
    <row r="108" spans="1:15" s="28" customFormat="1" ht="23.25" customHeight="1" x14ac:dyDescent="0.2">
      <c r="A108" s="40" t="s">
        <v>236</v>
      </c>
      <c r="B108" s="32" t="s">
        <v>33</v>
      </c>
      <c r="C108" s="55" t="s">
        <v>215</v>
      </c>
      <c r="D108" s="55" t="s">
        <v>34</v>
      </c>
      <c r="E108" s="56" t="s">
        <v>216</v>
      </c>
      <c r="F108" s="55" t="s">
        <v>145</v>
      </c>
      <c r="G108" s="55">
        <f>5.67+20.4+18.9+25.16+31.08+13.32</f>
        <v>114.53</v>
      </c>
      <c r="H108" s="86">
        <v>14.98</v>
      </c>
      <c r="I108" s="40">
        <f t="shared" ref="I108:I110" si="99">H108*0.2232</f>
        <v>3.3435360000000003</v>
      </c>
      <c r="J108" s="40">
        <f t="shared" ref="J108:J110" si="100">H108+I108</f>
        <v>18.323536000000001</v>
      </c>
      <c r="K108" s="40">
        <f t="shared" ref="K108:K110" si="101">J108*(0.03%)</f>
        <v>5.4970608000000001E-3</v>
      </c>
      <c r="L108" s="40">
        <f t="shared" ref="L108:L110" si="102">J108-K108</f>
        <v>18.318038939200001</v>
      </c>
      <c r="M108" s="40">
        <f t="shared" ref="M108:M110" si="103">L108*G108</f>
        <v>2097.9649997065762</v>
      </c>
      <c r="N108" s="35">
        <f t="shared" ref="N108:N110" si="104">M108/M$16</f>
        <v>2.8052351894727202E-2</v>
      </c>
      <c r="O108" s="186"/>
    </row>
    <row r="109" spans="1:15" s="28" customFormat="1" ht="23.25" customHeight="1" x14ac:dyDescent="0.2">
      <c r="A109" s="40" t="s">
        <v>237</v>
      </c>
      <c r="B109" s="32" t="s">
        <v>33</v>
      </c>
      <c r="C109" s="55">
        <v>88488</v>
      </c>
      <c r="D109" s="55" t="s">
        <v>34</v>
      </c>
      <c r="E109" s="56" t="s">
        <v>220</v>
      </c>
      <c r="F109" s="55" t="s">
        <v>194</v>
      </c>
      <c r="G109" s="55">
        <v>7.56</v>
      </c>
      <c r="H109" s="86">
        <v>17.97</v>
      </c>
      <c r="I109" s="40">
        <f t="shared" si="99"/>
        <v>4.010904</v>
      </c>
      <c r="J109" s="40">
        <f t="shared" si="100"/>
        <v>21.980903999999999</v>
      </c>
      <c r="K109" s="40">
        <f t="shared" si="101"/>
        <v>6.5942711999999988E-3</v>
      </c>
      <c r="L109" s="40">
        <f t="shared" si="102"/>
        <v>21.974309728799998</v>
      </c>
      <c r="M109" s="40">
        <f t="shared" si="103"/>
        <v>166.12578154972798</v>
      </c>
      <c r="N109" s="35">
        <f t="shared" si="104"/>
        <v>2.2213043990111044E-3</v>
      </c>
      <c r="O109" s="186"/>
    </row>
    <row r="110" spans="1:15" s="28" customFormat="1" ht="23.25" customHeight="1" x14ac:dyDescent="0.2">
      <c r="A110" s="40" t="s">
        <v>238</v>
      </c>
      <c r="B110" s="32" t="s">
        <v>33</v>
      </c>
      <c r="C110" s="55">
        <v>96135</v>
      </c>
      <c r="D110" s="55" t="s">
        <v>34</v>
      </c>
      <c r="E110" s="56" t="s">
        <v>222</v>
      </c>
      <c r="F110" s="55" t="s">
        <v>194</v>
      </c>
      <c r="G110" s="55">
        <v>21</v>
      </c>
      <c r="H110" s="89">
        <v>36.119999999999997</v>
      </c>
      <c r="I110" s="40">
        <f t="shared" si="99"/>
        <v>8.0619839999999989</v>
      </c>
      <c r="J110" s="40">
        <f t="shared" si="100"/>
        <v>44.181984</v>
      </c>
      <c r="K110" s="40">
        <f t="shared" si="101"/>
        <v>1.3254595199999998E-2</v>
      </c>
      <c r="L110" s="40">
        <f t="shared" si="102"/>
        <v>44.168729404799997</v>
      </c>
      <c r="M110" s="40">
        <f t="shared" si="103"/>
        <v>927.54331750079996</v>
      </c>
      <c r="N110" s="35">
        <f t="shared" si="104"/>
        <v>1.2402385904328373E-2</v>
      </c>
      <c r="O110" s="186"/>
    </row>
    <row r="111" spans="1:15" s="28" customFormat="1" ht="23.25" customHeight="1" x14ac:dyDescent="0.2">
      <c r="A111" s="106" t="s">
        <v>226</v>
      </c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7"/>
      <c r="N111" s="35"/>
      <c r="O111" s="186"/>
    </row>
    <row r="112" spans="1:15" s="28" customFormat="1" ht="23.25" customHeight="1" x14ac:dyDescent="0.2">
      <c r="A112" s="40" t="s">
        <v>239</v>
      </c>
      <c r="B112" s="32" t="s">
        <v>33</v>
      </c>
      <c r="C112" s="55" t="s">
        <v>215</v>
      </c>
      <c r="D112" s="55" t="s">
        <v>34</v>
      </c>
      <c r="E112" s="56" t="s">
        <v>216</v>
      </c>
      <c r="F112" s="55" t="s">
        <v>145</v>
      </c>
      <c r="G112" s="55">
        <f>31.08+13.31</f>
        <v>44.39</v>
      </c>
      <c r="H112" s="86">
        <v>14.98</v>
      </c>
      <c r="I112" s="40">
        <f t="shared" ref="I112:I113" si="105">H112*0.2232</f>
        <v>3.3435360000000003</v>
      </c>
      <c r="J112" s="40">
        <f t="shared" ref="J112:J113" si="106">H112+I112</f>
        <v>18.323536000000001</v>
      </c>
      <c r="K112" s="40">
        <f t="shared" ref="K112:K113" si="107">J112*(0.03%)</f>
        <v>5.4970608000000001E-3</v>
      </c>
      <c r="L112" s="40">
        <f t="shared" ref="L112:L113" si="108">J112-K112</f>
        <v>18.318038939200001</v>
      </c>
      <c r="M112" s="40">
        <f t="shared" ref="M112:M113" si="109">L112*G112</f>
        <v>813.13774851108803</v>
      </c>
      <c r="N112" s="35">
        <f t="shared" ref="N112:N113" si="110">M112/M$16</f>
        <v>1.0872643854072647E-2</v>
      </c>
      <c r="O112" s="186"/>
    </row>
    <row r="113" spans="1:16" s="28" customFormat="1" ht="23.25" customHeight="1" x14ac:dyDescent="0.2">
      <c r="A113" s="40" t="s">
        <v>240</v>
      </c>
      <c r="B113" s="32" t="s">
        <v>33</v>
      </c>
      <c r="C113" s="55">
        <v>88488</v>
      </c>
      <c r="D113" s="55" t="s">
        <v>34</v>
      </c>
      <c r="E113" s="56" t="s">
        <v>220</v>
      </c>
      <c r="F113" s="55" t="s">
        <v>194</v>
      </c>
      <c r="G113" s="55">
        <v>7.56</v>
      </c>
      <c r="H113" s="86">
        <v>17.97</v>
      </c>
      <c r="I113" s="40">
        <f t="shared" si="105"/>
        <v>4.010904</v>
      </c>
      <c r="J113" s="40">
        <f t="shared" si="106"/>
        <v>21.980903999999999</v>
      </c>
      <c r="K113" s="40">
        <f t="shared" si="107"/>
        <v>6.5942711999999988E-3</v>
      </c>
      <c r="L113" s="40">
        <f t="shared" si="108"/>
        <v>21.974309728799998</v>
      </c>
      <c r="M113" s="40">
        <f t="shared" si="109"/>
        <v>166.12578154972798</v>
      </c>
      <c r="N113" s="35">
        <f t="shared" si="110"/>
        <v>2.2213043990111044E-3</v>
      </c>
      <c r="O113" s="186"/>
    </row>
    <row r="114" spans="1:16" s="28" customFormat="1" ht="23.25" customHeight="1" x14ac:dyDescent="0.2">
      <c r="A114" s="106" t="s">
        <v>223</v>
      </c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7"/>
      <c r="N114" s="35"/>
      <c r="O114" s="186"/>
    </row>
    <row r="115" spans="1:16" s="28" customFormat="1" ht="23.25" customHeight="1" x14ac:dyDescent="0.2">
      <c r="A115" s="40" t="s">
        <v>241</v>
      </c>
      <c r="B115" s="32" t="s">
        <v>33</v>
      </c>
      <c r="C115" s="55" t="s">
        <v>215</v>
      </c>
      <c r="D115" s="55" t="s">
        <v>34</v>
      </c>
      <c r="E115" s="56" t="s">
        <v>216</v>
      </c>
      <c r="F115" s="55" t="s">
        <v>145</v>
      </c>
      <c r="G115" s="55">
        <f>19.08+30.74</f>
        <v>49.819999999999993</v>
      </c>
      <c r="H115" s="86">
        <v>14.98</v>
      </c>
      <c r="I115" s="40">
        <f t="shared" ref="I115:I117" si="111">H115*0.2232</f>
        <v>3.3435360000000003</v>
      </c>
      <c r="J115" s="40">
        <f t="shared" ref="J115:J117" si="112">H115+I115</f>
        <v>18.323536000000001</v>
      </c>
      <c r="K115" s="40">
        <f t="shared" ref="K115:K117" si="113">J115*(0.03%)</f>
        <v>5.4970608000000001E-3</v>
      </c>
      <c r="L115" s="40">
        <f t="shared" ref="L115:L117" si="114">J115-K115</f>
        <v>18.318038939200001</v>
      </c>
      <c r="M115" s="40">
        <f t="shared" ref="M115:M117" si="115">L115*G115</f>
        <v>912.60469995094388</v>
      </c>
      <c r="N115" s="35">
        <f t="shared" ref="N115:N117" si="116">M115/M$16</f>
        <v>1.2202638360213994E-2</v>
      </c>
      <c r="O115" s="186"/>
    </row>
    <row r="116" spans="1:16" s="28" customFormat="1" ht="23.25" customHeight="1" x14ac:dyDescent="0.2">
      <c r="A116" s="40" t="s">
        <v>242</v>
      </c>
      <c r="B116" s="32" t="s">
        <v>33</v>
      </c>
      <c r="C116" s="55">
        <v>88488</v>
      </c>
      <c r="D116" s="55" t="s">
        <v>34</v>
      </c>
      <c r="E116" s="56" t="s">
        <v>220</v>
      </c>
      <c r="F116" s="55" t="s">
        <v>194</v>
      </c>
      <c r="G116" s="55">
        <v>20.88</v>
      </c>
      <c r="H116" s="86">
        <v>17.97</v>
      </c>
      <c r="I116" s="40">
        <f t="shared" si="111"/>
        <v>4.010904</v>
      </c>
      <c r="J116" s="40">
        <f t="shared" si="112"/>
        <v>21.980903999999999</v>
      </c>
      <c r="K116" s="40">
        <f t="shared" si="113"/>
        <v>6.5942711999999988E-3</v>
      </c>
      <c r="L116" s="40">
        <f t="shared" si="114"/>
        <v>21.974309728799998</v>
      </c>
      <c r="M116" s="40">
        <f t="shared" si="115"/>
        <v>458.82358713734396</v>
      </c>
      <c r="N116" s="35">
        <f t="shared" si="116"/>
        <v>6.1350311972687656E-3</v>
      </c>
      <c r="O116" s="186"/>
    </row>
    <row r="117" spans="1:16" s="28" customFormat="1" ht="23.25" customHeight="1" x14ac:dyDescent="0.2">
      <c r="A117" s="40" t="s">
        <v>243</v>
      </c>
      <c r="B117" s="32" t="s">
        <v>33</v>
      </c>
      <c r="C117" s="46">
        <v>95305</v>
      </c>
      <c r="D117" s="46" t="s">
        <v>34</v>
      </c>
      <c r="E117" s="60" t="s">
        <v>219</v>
      </c>
      <c r="F117" s="55" t="s">
        <v>145</v>
      </c>
      <c r="G117" s="46">
        <v>4</v>
      </c>
      <c r="H117" s="90">
        <v>15.72</v>
      </c>
      <c r="I117" s="40">
        <f t="shared" si="111"/>
        <v>3.5087040000000003</v>
      </c>
      <c r="J117" s="40">
        <f t="shared" si="112"/>
        <v>19.228704</v>
      </c>
      <c r="K117" s="40">
        <f t="shared" si="113"/>
        <v>5.7686111999999999E-3</v>
      </c>
      <c r="L117" s="40">
        <f t="shared" si="114"/>
        <v>19.2229353888</v>
      </c>
      <c r="M117" s="40">
        <f t="shared" si="115"/>
        <v>76.891741555199999</v>
      </c>
      <c r="N117" s="35">
        <f t="shared" si="116"/>
        <v>1.0281364046619312E-3</v>
      </c>
      <c r="O117" s="186"/>
    </row>
    <row r="118" spans="1:16" s="28" customFormat="1" ht="23.25" customHeight="1" x14ac:dyDescent="0.2">
      <c r="A118" s="106" t="s">
        <v>221</v>
      </c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7"/>
      <c r="N118" s="14"/>
      <c r="O118" s="186"/>
    </row>
    <row r="119" spans="1:16" s="28" customFormat="1" ht="23.25" customHeight="1" x14ac:dyDescent="0.2">
      <c r="A119" s="40" t="s">
        <v>244</v>
      </c>
      <c r="B119" s="32" t="s">
        <v>33</v>
      </c>
      <c r="C119" s="55" t="s">
        <v>215</v>
      </c>
      <c r="D119" s="55" t="s">
        <v>34</v>
      </c>
      <c r="E119" s="56" t="s">
        <v>216</v>
      </c>
      <c r="F119" s="55" t="s">
        <v>145</v>
      </c>
      <c r="G119" s="55">
        <f>319.88-G120</f>
        <v>248.07999999999998</v>
      </c>
      <c r="H119" s="86">
        <v>14.98</v>
      </c>
      <c r="I119" s="40">
        <f t="shared" ref="I119:I121" si="117">H119*0.2232</f>
        <v>3.3435360000000003</v>
      </c>
      <c r="J119" s="40">
        <f t="shared" ref="J119:J121" si="118">H119+I119</f>
        <v>18.323536000000001</v>
      </c>
      <c r="K119" s="40">
        <f t="shared" ref="K119:K121" si="119">J119*(0.03%)</f>
        <v>5.4970608000000001E-3</v>
      </c>
      <c r="L119" s="40">
        <f t="shared" ref="L119:L121" si="120">J119-K119</f>
        <v>18.318038939200001</v>
      </c>
      <c r="M119" s="40">
        <f t="shared" ref="M119:M121" si="121">L119*G119</f>
        <v>4544.3391000367355</v>
      </c>
      <c r="N119" s="35">
        <f t="shared" ref="N119:N121" si="122">M119/M$16</f>
        <v>6.0763358578921879E-2</v>
      </c>
      <c r="O119" s="186"/>
    </row>
    <row r="120" spans="1:16" s="28" customFormat="1" ht="23.25" customHeight="1" x14ac:dyDescent="0.2">
      <c r="A120" s="40" t="s">
        <v>245</v>
      </c>
      <c r="B120" s="32" t="s">
        <v>33</v>
      </c>
      <c r="C120" s="55">
        <v>88488</v>
      </c>
      <c r="D120" s="55" t="s">
        <v>34</v>
      </c>
      <c r="E120" s="56" t="s">
        <v>220</v>
      </c>
      <c r="F120" s="55" t="s">
        <v>194</v>
      </c>
      <c r="G120" s="55">
        <f>8.25+15+15+15+18.55</f>
        <v>71.8</v>
      </c>
      <c r="H120" s="86">
        <v>17.97</v>
      </c>
      <c r="I120" s="40">
        <f t="shared" si="117"/>
        <v>4.010904</v>
      </c>
      <c r="J120" s="40">
        <f t="shared" si="118"/>
        <v>21.980903999999999</v>
      </c>
      <c r="K120" s="40">
        <f t="shared" si="119"/>
        <v>6.5942711999999988E-3</v>
      </c>
      <c r="L120" s="40">
        <f t="shared" si="120"/>
        <v>21.974309728799998</v>
      </c>
      <c r="M120" s="40">
        <f t="shared" si="121"/>
        <v>1577.7554385278397</v>
      </c>
      <c r="N120" s="35">
        <f t="shared" si="122"/>
        <v>2.1096515323941443E-2</v>
      </c>
      <c r="O120" s="186"/>
    </row>
    <row r="121" spans="1:16" s="28" customFormat="1" ht="23.25" customHeight="1" x14ac:dyDescent="0.2">
      <c r="A121" s="40" t="s">
        <v>246</v>
      </c>
      <c r="B121" s="32" t="s">
        <v>33</v>
      </c>
      <c r="C121" s="55">
        <v>96135</v>
      </c>
      <c r="D121" s="55" t="s">
        <v>34</v>
      </c>
      <c r="E121" s="56" t="s">
        <v>222</v>
      </c>
      <c r="F121" s="55" t="s">
        <v>194</v>
      </c>
      <c r="G121" s="55">
        <v>26</v>
      </c>
      <c r="H121" s="89">
        <v>36.119999999999997</v>
      </c>
      <c r="I121" s="40">
        <f t="shared" si="117"/>
        <v>8.0619839999999989</v>
      </c>
      <c r="J121" s="40">
        <f t="shared" si="118"/>
        <v>44.181984</v>
      </c>
      <c r="K121" s="40">
        <f t="shared" si="119"/>
        <v>1.3254595199999998E-2</v>
      </c>
      <c r="L121" s="40">
        <f t="shared" si="120"/>
        <v>44.168729404799997</v>
      </c>
      <c r="M121" s="40">
        <f t="shared" si="121"/>
        <v>1148.3869645247999</v>
      </c>
      <c r="N121" s="35">
        <f t="shared" si="122"/>
        <v>1.5355334929168459E-2</v>
      </c>
      <c r="O121" s="186"/>
    </row>
    <row r="122" spans="1:16" s="28" customFormat="1" ht="23.25" customHeight="1" x14ac:dyDescent="0.2">
      <c r="A122" s="48"/>
      <c r="B122" s="11"/>
      <c r="C122" s="49"/>
      <c r="D122" s="11"/>
      <c r="E122" s="50"/>
      <c r="F122" s="49"/>
      <c r="G122" s="49"/>
      <c r="H122" s="51"/>
      <c r="I122" s="14"/>
      <c r="J122" s="14"/>
      <c r="K122" s="14"/>
      <c r="L122" s="14"/>
      <c r="M122" s="14"/>
      <c r="N122" s="14"/>
      <c r="O122" s="186"/>
    </row>
    <row r="123" spans="1:16" s="39" customFormat="1" ht="17.100000000000001" customHeight="1" x14ac:dyDescent="0.2">
      <c r="A123" s="36"/>
      <c r="B123" s="36"/>
      <c r="C123" s="36"/>
      <c r="D123" s="36"/>
      <c r="E123" s="36"/>
      <c r="F123" s="36"/>
      <c r="G123" s="36"/>
      <c r="H123" s="54"/>
      <c r="I123" s="36"/>
      <c r="J123" s="36"/>
      <c r="K123" s="36"/>
      <c r="L123" s="36"/>
      <c r="M123" s="36"/>
      <c r="N123" s="36"/>
      <c r="O123" s="186"/>
    </row>
    <row r="124" spans="1:16" s="39" customFormat="1" ht="17.100000000000001" customHeight="1" x14ac:dyDescent="0.2">
      <c r="A124" s="192"/>
      <c r="B124" s="193"/>
      <c r="C124" s="193"/>
      <c r="D124" s="193"/>
      <c r="E124" s="193"/>
      <c r="F124" s="193"/>
      <c r="G124" s="193"/>
      <c r="H124" s="37" t="s">
        <v>39</v>
      </c>
      <c r="I124" s="38"/>
      <c r="J124" s="194">
        <f>M16+M34+M83</f>
        <v>160607.89420605003</v>
      </c>
      <c r="K124" s="195"/>
      <c r="L124" s="195"/>
      <c r="M124" s="195"/>
      <c r="N124" s="196"/>
      <c r="O124" s="114"/>
      <c r="P124" s="44"/>
    </row>
    <row r="125" spans="1:16" ht="17.100000000000001" customHeight="1" x14ac:dyDescent="0.3">
      <c r="A125" s="174" t="s">
        <v>109</v>
      </c>
      <c r="B125" s="119"/>
      <c r="C125" s="119"/>
      <c r="D125" s="119"/>
      <c r="E125" s="119"/>
      <c r="F125" s="119"/>
      <c r="G125" s="119"/>
      <c r="H125" s="116"/>
      <c r="I125" s="116"/>
      <c r="J125" s="116"/>
      <c r="K125" s="116"/>
      <c r="L125" s="116"/>
      <c r="M125" s="116"/>
      <c r="N125" s="117"/>
      <c r="O125" s="114"/>
    </row>
    <row r="126" spans="1:16" ht="17.100000000000001" customHeight="1" x14ac:dyDescent="0.3">
      <c r="A126" s="118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20"/>
      <c r="O126" s="114"/>
    </row>
    <row r="127" spans="1:16" ht="17.100000000000001" customHeight="1" x14ac:dyDescent="0.3">
      <c r="A127" s="118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20"/>
      <c r="O127" s="114"/>
    </row>
    <row r="128" spans="1:16" ht="17.100000000000001" customHeight="1" x14ac:dyDescent="0.3">
      <c r="A128" s="118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20"/>
      <c r="O128" s="114"/>
    </row>
    <row r="129" spans="1:15" ht="17.100000000000001" customHeight="1" x14ac:dyDescent="0.3">
      <c r="A129" s="118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20"/>
      <c r="O129" s="114"/>
    </row>
    <row r="130" spans="1:15" ht="17.100000000000001" customHeight="1" x14ac:dyDescent="0.3">
      <c r="A130" s="118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20"/>
      <c r="O130" s="114"/>
    </row>
    <row r="131" spans="1:15" ht="17.100000000000001" customHeight="1" x14ac:dyDescent="0.3">
      <c r="A131" s="121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3"/>
      <c r="O131" s="114"/>
    </row>
    <row r="132" spans="1:15" ht="17.100000000000001" customHeight="1" x14ac:dyDescent="0.3">
      <c r="A132" s="149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1"/>
    </row>
    <row r="133" spans="1:15" ht="17.100000000000001" customHeight="1" x14ac:dyDescent="0.3">
      <c r="A133" s="152" t="s">
        <v>40</v>
      </c>
      <c r="B133" s="153"/>
      <c r="C133" s="153"/>
      <c r="D133" s="153"/>
      <c r="E133" s="153"/>
      <c r="F133" s="153"/>
      <c r="G133" s="154" t="s">
        <v>41</v>
      </c>
      <c r="H133" s="154"/>
      <c r="I133" s="154"/>
      <c r="J133" s="154"/>
      <c r="K133" s="155"/>
      <c r="L133" s="156"/>
      <c r="M133" s="156"/>
      <c r="N133" s="157"/>
      <c r="O133" s="114" t="s">
        <v>42</v>
      </c>
    </row>
    <row r="134" spans="1:15" ht="17.100000000000001" customHeight="1" x14ac:dyDescent="0.3">
      <c r="A134" s="162" t="s">
        <v>43</v>
      </c>
      <c r="B134" s="163"/>
      <c r="C134" s="163"/>
      <c r="D134" s="163"/>
      <c r="E134" s="163"/>
      <c r="F134" s="164"/>
      <c r="G134" s="168" t="s">
        <v>44</v>
      </c>
      <c r="H134" s="163"/>
      <c r="I134" s="163"/>
      <c r="J134" s="164"/>
      <c r="K134" s="158"/>
      <c r="L134" s="159"/>
      <c r="M134" s="159"/>
      <c r="N134" s="160"/>
      <c r="O134" s="114"/>
    </row>
    <row r="135" spans="1:15" ht="17.100000000000001" customHeight="1" x14ac:dyDescent="0.3">
      <c r="A135" s="165"/>
      <c r="B135" s="166"/>
      <c r="C135" s="166"/>
      <c r="D135" s="166"/>
      <c r="E135" s="166"/>
      <c r="F135" s="167"/>
      <c r="G135" s="169"/>
      <c r="H135" s="166"/>
      <c r="I135" s="166"/>
      <c r="J135" s="167"/>
      <c r="K135" s="158"/>
      <c r="L135" s="159"/>
      <c r="M135" s="159"/>
      <c r="N135" s="160"/>
      <c r="O135" s="114"/>
    </row>
    <row r="136" spans="1:15" ht="17.100000000000001" customHeight="1" x14ac:dyDescent="0.3">
      <c r="A136" s="165"/>
      <c r="B136" s="166"/>
      <c r="C136" s="166"/>
      <c r="D136" s="166"/>
      <c r="E136" s="166"/>
      <c r="F136" s="167"/>
      <c r="G136" s="169"/>
      <c r="H136" s="166"/>
      <c r="I136" s="166"/>
      <c r="J136" s="167"/>
      <c r="K136" s="158"/>
      <c r="L136" s="159"/>
      <c r="M136" s="159"/>
      <c r="N136" s="160"/>
      <c r="O136" s="114"/>
    </row>
    <row r="137" spans="1:15" ht="17.100000000000001" customHeight="1" x14ac:dyDescent="0.3">
      <c r="A137" s="165"/>
      <c r="B137" s="166"/>
      <c r="C137" s="166"/>
      <c r="D137" s="166"/>
      <c r="E137" s="166"/>
      <c r="F137" s="167"/>
      <c r="G137" s="169"/>
      <c r="H137" s="166"/>
      <c r="I137" s="166"/>
      <c r="J137" s="167"/>
      <c r="K137" s="158"/>
      <c r="L137" s="159"/>
      <c r="M137" s="159"/>
      <c r="N137" s="160"/>
      <c r="O137" s="114"/>
    </row>
    <row r="138" spans="1:15" ht="17.100000000000001" customHeight="1" x14ac:dyDescent="0.3">
      <c r="A138" s="165"/>
      <c r="B138" s="166"/>
      <c r="C138" s="166"/>
      <c r="D138" s="166"/>
      <c r="E138" s="166"/>
      <c r="F138" s="167"/>
      <c r="G138" s="169"/>
      <c r="H138" s="166"/>
      <c r="I138" s="166"/>
      <c r="J138" s="167"/>
      <c r="K138" s="158"/>
      <c r="L138" s="159"/>
      <c r="M138" s="159"/>
      <c r="N138" s="160"/>
      <c r="O138" s="114"/>
    </row>
    <row r="139" spans="1:15" ht="17.100000000000001" customHeight="1" x14ac:dyDescent="0.3">
      <c r="A139" s="165"/>
      <c r="B139" s="166"/>
      <c r="C139" s="166"/>
      <c r="D139" s="166"/>
      <c r="E139" s="166"/>
      <c r="F139" s="167"/>
      <c r="G139" s="169"/>
      <c r="H139" s="166"/>
      <c r="I139" s="166"/>
      <c r="J139" s="167"/>
      <c r="K139" s="158"/>
      <c r="L139" s="159"/>
      <c r="M139" s="159"/>
      <c r="N139" s="160"/>
      <c r="O139" s="114"/>
    </row>
    <row r="140" spans="1:15" ht="17.100000000000001" customHeight="1" x14ac:dyDescent="0.3">
      <c r="A140" s="165"/>
      <c r="B140" s="166"/>
      <c r="C140" s="166"/>
      <c r="D140" s="166"/>
      <c r="E140" s="166"/>
      <c r="F140" s="167"/>
      <c r="G140" s="169"/>
      <c r="H140" s="166"/>
      <c r="I140" s="166"/>
      <c r="J140" s="167"/>
      <c r="K140" s="158"/>
      <c r="L140" s="159"/>
      <c r="M140" s="159"/>
      <c r="N140" s="160"/>
      <c r="O140" s="114"/>
    </row>
    <row r="141" spans="1:15" ht="17.100000000000001" customHeight="1" thickBot="1" x14ac:dyDescent="0.35">
      <c r="A141" s="165"/>
      <c r="B141" s="166"/>
      <c r="C141" s="166"/>
      <c r="D141" s="166"/>
      <c r="E141" s="166"/>
      <c r="F141" s="167"/>
      <c r="G141" s="169"/>
      <c r="H141" s="166"/>
      <c r="I141" s="166"/>
      <c r="J141" s="167"/>
      <c r="K141" s="158"/>
      <c r="L141" s="159"/>
      <c r="M141" s="159"/>
      <c r="N141" s="160"/>
      <c r="O141" s="161"/>
    </row>
    <row r="142" spans="1:15" ht="17.100000000000001" customHeight="1" thickBot="1" x14ac:dyDescent="0.35">
      <c r="A142" s="171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3"/>
    </row>
    <row r="143" spans="1:15" ht="17.100000000000001" customHeight="1" x14ac:dyDescent="0.3">
      <c r="A143" s="174" t="s">
        <v>45</v>
      </c>
      <c r="B143" s="119"/>
      <c r="C143" s="119"/>
      <c r="D143" s="120"/>
      <c r="E143" s="175" t="s">
        <v>46</v>
      </c>
      <c r="F143" s="119"/>
      <c r="G143" s="119"/>
      <c r="H143" s="119"/>
      <c r="I143" s="119"/>
      <c r="J143" s="119"/>
      <c r="K143" s="177" t="s">
        <v>47</v>
      </c>
      <c r="L143" s="150"/>
      <c r="M143" s="150"/>
      <c r="N143" s="150"/>
      <c r="O143" s="181" t="s">
        <v>48</v>
      </c>
    </row>
    <row r="144" spans="1:15" ht="17.100000000000001" customHeight="1" x14ac:dyDescent="0.3">
      <c r="A144" s="121"/>
      <c r="B144" s="122"/>
      <c r="C144" s="122"/>
      <c r="D144" s="123"/>
      <c r="E144" s="176"/>
      <c r="F144" s="122"/>
      <c r="G144" s="122"/>
      <c r="H144" s="122"/>
      <c r="I144" s="122"/>
      <c r="J144" s="122"/>
      <c r="K144" s="178"/>
      <c r="L144" s="150"/>
      <c r="M144" s="150"/>
      <c r="N144" s="150"/>
      <c r="O144" s="182"/>
    </row>
    <row r="145" spans="1:19" ht="17.100000000000001" customHeight="1" x14ac:dyDescent="0.3">
      <c r="A145" s="115" t="s">
        <v>49</v>
      </c>
      <c r="B145" s="116"/>
      <c r="C145" s="116"/>
      <c r="D145" s="116"/>
      <c r="E145" s="116"/>
      <c r="F145" s="116"/>
      <c r="G145" s="116"/>
      <c r="H145" s="116"/>
      <c r="I145" s="116"/>
      <c r="J145" s="116"/>
      <c r="K145" s="178"/>
      <c r="L145" s="150"/>
      <c r="M145" s="150"/>
      <c r="N145" s="150"/>
      <c r="O145" s="182"/>
    </row>
    <row r="146" spans="1:19" ht="17.100000000000001" customHeight="1" x14ac:dyDescent="0.3">
      <c r="A146" s="118"/>
      <c r="B146" s="119"/>
      <c r="C146" s="119"/>
      <c r="D146" s="119"/>
      <c r="E146" s="119"/>
      <c r="F146" s="119"/>
      <c r="G146" s="119"/>
      <c r="H146" s="119"/>
      <c r="I146" s="119"/>
      <c r="J146" s="119"/>
      <c r="K146" s="178"/>
      <c r="L146" s="150"/>
      <c r="M146" s="150"/>
      <c r="N146" s="150"/>
      <c r="O146" s="182"/>
    </row>
    <row r="147" spans="1:19" ht="17.100000000000001" customHeight="1" x14ac:dyDescent="0.3">
      <c r="A147" s="118"/>
      <c r="B147" s="119"/>
      <c r="C147" s="119"/>
      <c r="D147" s="119"/>
      <c r="E147" s="119"/>
      <c r="F147" s="119"/>
      <c r="G147" s="119"/>
      <c r="H147" s="119"/>
      <c r="I147" s="119"/>
      <c r="J147" s="119"/>
      <c r="K147" s="178"/>
      <c r="L147" s="150"/>
      <c r="M147" s="150"/>
      <c r="N147" s="150"/>
      <c r="O147" s="182"/>
    </row>
    <row r="148" spans="1:19" ht="17.100000000000001" customHeight="1" x14ac:dyDescent="0.3">
      <c r="A148" s="118"/>
      <c r="B148" s="119"/>
      <c r="C148" s="119"/>
      <c r="D148" s="119"/>
      <c r="E148" s="119"/>
      <c r="F148" s="119"/>
      <c r="G148" s="119"/>
      <c r="H148" s="119"/>
      <c r="I148" s="119"/>
      <c r="J148" s="119"/>
      <c r="K148" s="178"/>
      <c r="L148" s="150"/>
      <c r="M148" s="150"/>
      <c r="N148" s="150"/>
      <c r="O148" s="182"/>
    </row>
    <row r="149" spans="1:19" ht="17.100000000000001" customHeight="1" thickBot="1" x14ac:dyDescent="0.35">
      <c r="A149" s="184"/>
      <c r="B149" s="185"/>
      <c r="C149" s="185"/>
      <c r="D149" s="185"/>
      <c r="E149" s="185"/>
      <c r="F149" s="185"/>
      <c r="G149" s="185"/>
      <c r="H149" s="185"/>
      <c r="I149" s="185"/>
      <c r="J149" s="185"/>
      <c r="K149" s="179"/>
      <c r="L149" s="180"/>
      <c r="M149" s="180"/>
      <c r="N149" s="180"/>
      <c r="O149" s="183"/>
    </row>
    <row r="150" spans="1:19" ht="14.1" customHeight="1" x14ac:dyDescent="0.3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</row>
    <row r="151" spans="1:19" ht="14.1" customHeight="1" x14ac:dyDescent="0.3"/>
    <row r="152" spans="1:19" ht="14.1" customHeight="1" x14ac:dyDescent="0.3"/>
    <row r="153" spans="1:19" ht="14.1" customHeight="1" x14ac:dyDescent="0.3"/>
  </sheetData>
  <sortState xmlns:xlrd2="http://schemas.microsoft.com/office/spreadsheetml/2017/richdata2" ref="A35:N79">
    <sortCondition ref="E35:E79"/>
  </sortState>
  <mergeCells count="85">
    <mergeCell ref="A92:M92"/>
    <mergeCell ref="A14:A15"/>
    <mergeCell ref="A88:N88"/>
    <mergeCell ref="H32:L32"/>
    <mergeCell ref="M32:M33"/>
    <mergeCell ref="F14:F15"/>
    <mergeCell ref="G14:G15"/>
    <mergeCell ref="H14:L14"/>
    <mergeCell ref="M14:M15"/>
    <mergeCell ref="N14:N15"/>
    <mergeCell ref="N32:N33"/>
    <mergeCell ref="B34:F34"/>
    <mergeCell ref="A81:A82"/>
    <mergeCell ref="B81:B82"/>
    <mergeCell ref="C81:C82"/>
    <mergeCell ref="D81:D82"/>
    <mergeCell ref="O14:O131"/>
    <mergeCell ref="A32:A33"/>
    <mergeCell ref="B32:B33"/>
    <mergeCell ref="C32:C33"/>
    <mergeCell ref="D32:D33"/>
    <mergeCell ref="E32:E33"/>
    <mergeCell ref="F32:F33"/>
    <mergeCell ref="G32:G33"/>
    <mergeCell ref="B83:F83"/>
    <mergeCell ref="A124:G124"/>
    <mergeCell ref="J124:N124"/>
    <mergeCell ref="A125:N131"/>
    <mergeCell ref="E81:E82"/>
    <mergeCell ref="F81:F82"/>
    <mergeCell ref="G81:G82"/>
    <mergeCell ref="E14:E15"/>
    <mergeCell ref="A150:J150"/>
    <mergeCell ref="K150:S150"/>
    <mergeCell ref="A142:O142"/>
    <mergeCell ref="A143:D144"/>
    <mergeCell ref="E143:J144"/>
    <mergeCell ref="K143:N149"/>
    <mergeCell ref="O143:O149"/>
    <mergeCell ref="A145:J149"/>
    <mergeCell ref="A132:O132"/>
    <mergeCell ref="A133:F133"/>
    <mergeCell ref="G133:J133"/>
    <mergeCell ref="K133:N141"/>
    <mergeCell ref="O133:O141"/>
    <mergeCell ref="A134:F141"/>
    <mergeCell ref="G134:J141"/>
    <mergeCell ref="N81:N82"/>
    <mergeCell ref="H81:L81"/>
    <mergeCell ref="M81:M82"/>
    <mergeCell ref="B14:B15"/>
    <mergeCell ref="C14:C15"/>
    <mergeCell ref="D14:D15"/>
    <mergeCell ref="A18:E18"/>
    <mergeCell ref="A20:E20"/>
    <mergeCell ref="A27:E27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95:M95"/>
    <mergeCell ref="A98:M98"/>
    <mergeCell ref="A107:M107"/>
    <mergeCell ref="A118:M118"/>
    <mergeCell ref="A114:M114"/>
    <mergeCell ref="A103:M103"/>
    <mergeCell ref="A105:M105"/>
    <mergeCell ref="A111:M111"/>
  </mergeCells>
  <phoneticPr fontId="13" type="noConversion"/>
  <hyperlinks>
    <hyperlink ref="E56" r:id="rId1" display="FITA VEDA ROSCA EM ROLOS DE 18 MM X 50 M (L X C)" xr:uid="{00000000-0004-0000-0000-000000000000}"/>
    <hyperlink ref="E69" r:id="rId2" display="VALVULA DE DESCARGA EM METAL CROMADO PARA MICTORIO COM ACIONAMENTO POR PRESSAO E FECHAMENTO AUTOMATICO" xr:uid="{00000000-0004-0000-0000-000001000000}"/>
    <hyperlink ref="E50" r:id="rId3" display="VALVULA DE DESCARGA EM METAL CROMADO PARA MICTORIO COM ACIONAMENTO POR PRESSAO E FECHAMENTO AUTOMATICO" xr:uid="{00000000-0004-0000-0000-000002000000}"/>
    <hyperlink ref="E51" r:id="rId4" display="FITA VEDA ROSCA EM ROLOS DE 18 MM X 50 M (L X C)" xr:uid="{00000000-0004-0000-0000-000003000000}"/>
    <hyperlink ref="E52" r:id="rId5" display="VALVULA DE DESCARGA EM METAL CROMADO PARA MICTORIO COM ACIONAMENTO POR PRESSAO E FECHAMENTO AUTOMATICO" xr:uid="{00000000-0004-0000-0000-000004000000}"/>
    <hyperlink ref="E57" r:id="rId6" display="FITA VEDA ROSCA EM ROLOS DE 18 MM X 50 M (L X C)" xr:uid="{00000000-0004-0000-0000-000005000000}"/>
    <hyperlink ref="E64" r:id="rId7" display="VALVULA DE DESCARGA EM METAL CROMADO PARA MICTORIO COM ACIONAMENTO POR PRESSAO E FECHAMENTO AUTOMATICO" xr:uid="{00000000-0004-0000-0000-000006000000}"/>
    <hyperlink ref="E67" r:id="rId8" display="VALVULA DE DESCARGA EM METAL CROMADO PARA MICTORIO COM ACIONAMENTO POR PRESSAO E FECHAMENTO AUTOMATICO" xr:uid="{00000000-0004-0000-0000-000007000000}"/>
  </hyperlinks>
  <pageMargins left="0.25" right="0.25" top="0.75" bottom="0.75" header="0.3" footer="0.3"/>
  <pageSetup paperSize="9" scale="53" orientation="landscape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I23"/>
  <sheetViews>
    <sheetView workbookViewId="0">
      <selection activeCell="H18" sqref="H18"/>
    </sheetView>
  </sheetViews>
  <sheetFormatPr defaultRowHeight="14.4" x14ac:dyDescent="0.3"/>
  <cols>
    <col min="4" max="8" width="18.6640625" customWidth="1"/>
    <col min="9" max="9" width="26.44140625" bestFit="1" customWidth="1"/>
  </cols>
  <sheetData>
    <row r="2" spans="4:9" x14ac:dyDescent="0.3">
      <c r="D2" s="77"/>
      <c r="E2" s="204" t="s">
        <v>189</v>
      </c>
      <c r="F2" s="204"/>
      <c r="G2" s="204"/>
      <c r="H2" s="204"/>
    </row>
    <row r="3" spans="4:9" x14ac:dyDescent="0.3">
      <c r="D3" s="78" t="s">
        <v>190</v>
      </c>
      <c r="E3" s="78" t="s">
        <v>191</v>
      </c>
      <c r="F3" s="78" t="s">
        <v>192</v>
      </c>
      <c r="G3" s="78" t="s">
        <v>193</v>
      </c>
      <c r="H3" s="78" t="s">
        <v>194</v>
      </c>
      <c r="I3" s="78" t="s">
        <v>195</v>
      </c>
    </row>
    <row r="4" spans="4:9" x14ac:dyDescent="0.3">
      <c r="D4" s="77" t="s">
        <v>202</v>
      </c>
      <c r="E4" s="77">
        <v>2</v>
      </c>
      <c r="F4" s="77">
        <v>80</v>
      </c>
      <c r="G4" s="77">
        <v>20</v>
      </c>
      <c r="H4" s="77">
        <f>E4*F4*G4/10000</f>
        <v>0.32</v>
      </c>
      <c r="I4" s="77"/>
    </row>
    <row r="5" spans="4:9" x14ac:dyDescent="0.3">
      <c r="D5" s="77"/>
      <c r="E5" s="77">
        <v>4</v>
      </c>
      <c r="F5" s="77">
        <v>77</v>
      </c>
      <c r="G5" s="77">
        <v>20</v>
      </c>
      <c r="H5" s="77">
        <f t="shared" ref="H5:H22" si="0">E5*F5*G5/10000</f>
        <v>0.61599999999999999</v>
      </c>
      <c r="I5" s="77"/>
    </row>
    <row r="6" spans="4:9" x14ac:dyDescent="0.3">
      <c r="D6" s="77"/>
      <c r="E6" s="77">
        <v>1</v>
      </c>
      <c r="F6" s="77">
        <v>90</v>
      </c>
      <c r="G6" s="77">
        <v>30</v>
      </c>
      <c r="H6" s="77">
        <f t="shared" si="0"/>
        <v>0.27</v>
      </c>
      <c r="I6" s="77"/>
    </row>
    <row r="7" spans="4:9" x14ac:dyDescent="0.3">
      <c r="D7" s="77" t="s">
        <v>203</v>
      </c>
      <c r="E7" s="77">
        <v>1</v>
      </c>
      <c r="F7" s="77">
        <v>65</v>
      </c>
      <c r="G7" s="77">
        <v>85</v>
      </c>
      <c r="H7" s="77">
        <f t="shared" si="0"/>
        <v>0.55249999999999999</v>
      </c>
      <c r="I7" s="77"/>
    </row>
    <row r="8" spans="4:9" x14ac:dyDescent="0.3">
      <c r="D8" s="77"/>
      <c r="E8" s="77">
        <v>2</v>
      </c>
      <c r="F8" s="77">
        <v>59</v>
      </c>
      <c r="G8" s="77">
        <v>21</v>
      </c>
      <c r="H8" s="77">
        <f t="shared" si="0"/>
        <v>0.24779999999999999</v>
      </c>
      <c r="I8" s="77"/>
    </row>
    <row r="9" spans="4:9" x14ac:dyDescent="0.3">
      <c r="D9" s="77" t="s">
        <v>204</v>
      </c>
      <c r="E9" s="77">
        <v>1</v>
      </c>
      <c r="F9" s="77">
        <v>25</v>
      </c>
      <c r="G9" s="77">
        <v>15</v>
      </c>
      <c r="H9" s="77">
        <f t="shared" si="0"/>
        <v>3.7499999999999999E-2</v>
      </c>
      <c r="I9" s="77"/>
    </row>
    <row r="10" spans="4:9" x14ac:dyDescent="0.3">
      <c r="D10" s="77"/>
      <c r="E10" s="77">
        <v>1</v>
      </c>
      <c r="F10" s="77">
        <v>56</v>
      </c>
      <c r="G10" s="77">
        <v>16</v>
      </c>
      <c r="H10" s="77">
        <f t="shared" si="0"/>
        <v>8.9599999999999999E-2</v>
      </c>
      <c r="I10" s="77"/>
    </row>
    <row r="11" spans="4:9" x14ac:dyDescent="0.3">
      <c r="D11" s="77" t="s">
        <v>205</v>
      </c>
      <c r="E11" s="77">
        <v>1</v>
      </c>
      <c r="F11" s="77">
        <v>85.5</v>
      </c>
      <c r="G11" s="77">
        <v>22</v>
      </c>
      <c r="H11" s="77">
        <f t="shared" si="0"/>
        <v>0.18809999999999999</v>
      </c>
      <c r="I11" s="77"/>
    </row>
    <row r="12" spans="4:9" x14ac:dyDescent="0.3">
      <c r="D12" s="77" t="s">
        <v>206</v>
      </c>
      <c r="E12" s="77">
        <v>4</v>
      </c>
      <c r="F12" s="77">
        <v>55</v>
      </c>
      <c r="G12" s="77">
        <v>20</v>
      </c>
      <c r="H12" s="77">
        <f t="shared" si="0"/>
        <v>0.44</v>
      </c>
      <c r="I12" s="77"/>
    </row>
    <row r="13" spans="4:9" x14ac:dyDescent="0.3">
      <c r="D13" s="77" t="s">
        <v>207</v>
      </c>
      <c r="E13" s="77">
        <v>1</v>
      </c>
      <c r="F13" s="77">
        <v>71</v>
      </c>
      <c r="G13" s="77">
        <v>68</v>
      </c>
      <c r="H13" s="77">
        <f t="shared" si="0"/>
        <v>0.48280000000000001</v>
      </c>
      <c r="I13" s="77"/>
    </row>
    <row r="14" spans="4:9" x14ac:dyDescent="0.3">
      <c r="D14" s="77" t="s">
        <v>208</v>
      </c>
      <c r="E14" s="77">
        <v>1</v>
      </c>
      <c r="F14" s="77">
        <v>45</v>
      </c>
      <c r="G14" s="77">
        <v>45</v>
      </c>
      <c r="H14" s="77">
        <f t="shared" si="0"/>
        <v>0.20250000000000001</v>
      </c>
      <c r="I14" s="77"/>
    </row>
    <row r="15" spans="4:9" x14ac:dyDescent="0.3">
      <c r="D15" s="77" t="s">
        <v>196</v>
      </c>
      <c r="E15" s="77">
        <v>9</v>
      </c>
      <c r="F15" s="77">
        <v>77</v>
      </c>
      <c r="G15" s="77">
        <v>26</v>
      </c>
      <c r="H15" s="77">
        <f t="shared" si="0"/>
        <v>1.8018000000000001</v>
      </c>
      <c r="I15" s="77"/>
    </row>
    <row r="16" spans="4:9" x14ac:dyDescent="0.3">
      <c r="D16" s="77">
        <v>1</v>
      </c>
      <c r="E16" s="77">
        <v>1</v>
      </c>
      <c r="F16" s="77">
        <v>45</v>
      </c>
      <c r="G16" s="77">
        <v>76</v>
      </c>
      <c r="H16" s="77">
        <f t="shared" si="0"/>
        <v>0.34200000000000003</v>
      </c>
      <c r="I16" s="77"/>
    </row>
    <row r="17" spans="4:9" x14ac:dyDescent="0.3">
      <c r="D17" s="77" t="s">
        <v>209</v>
      </c>
      <c r="E17" s="77">
        <v>2</v>
      </c>
      <c r="F17" s="77">
        <v>175</v>
      </c>
      <c r="G17" s="77">
        <v>100</v>
      </c>
      <c r="H17" s="77">
        <f t="shared" si="0"/>
        <v>3.5</v>
      </c>
      <c r="I17" s="77"/>
    </row>
    <row r="18" spans="4:9" x14ac:dyDescent="0.3">
      <c r="D18" s="77" t="s">
        <v>210</v>
      </c>
      <c r="E18" s="77">
        <v>2</v>
      </c>
      <c r="F18" s="77">
        <v>80</v>
      </c>
      <c r="G18" s="77">
        <v>55</v>
      </c>
      <c r="H18" s="77">
        <f t="shared" si="0"/>
        <v>0.88</v>
      </c>
      <c r="I18" s="77"/>
    </row>
    <row r="19" spans="4:9" x14ac:dyDescent="0.3">
      <c r="D19" s="77"/>
      <c r="E19" s="77"/>
      <c r="F19" s="77"/>
      <c r="G19" s="77"/>
      <c r="H19" s="77">
        <f t="shared" si="0"/>
        <v>0</v>
      </c>
      <c r="I19" s="77"/>
    </row>
    <row r="20" spans="4:9" x14ac:dyDescent="0.3">
      <c r="D20" s="77"/>
      <c r="E20" s="77"/>
      <c r="F20" s="77"/>
      <c r="G20" s="77"/>
      <c r="H20" s="77">
        <f t="shared" si="0"/>
        <v>0</v>
      </c>
      <c r="I20" s="77"/>
    </row>
    <row r="21" spans="4:9" x14ac:dyDescent="0.3">
      <c r="D21" s="77"/>
      <c r="E21" s="77"/>
      <c r="F21" s="77"/>
      <c r="G21" s="77"/>
      <c r="H21" s="77">
        <f t="shared" si="0"/>
        <v>0</v>
      </c>
      <c r="I21" s="77"/>
    </row>
    <row r="22" spans="4:9" x14ac:dyDescent="0.3">
      <c r="D22" s="77"/>
      <c r="E22" s="77"/>
      <c r="F22" s="77"/>
      <c r="G22" s="77"/>
      <c r="H22" s="77">
        <f t="shared" si="0"/>
        <v>0</v>
      </c>
      <c r="I22" s="77"/>
    </row>
    <row r="23" spans="4:9" x14ac:dyDescent="0.3">
      <c r="D23" s="205" t="s">
        <v>197</v>
      </c>
      <c r="E23" s="206"/>
      <c r="F23" s="206"/>
      <c r="G23" s="207"/>
      <c r="H23" s="79">
        <f>SUM(H4:H22)</f>
        <v>9.9705999999999992</v>
      </c>
    </row>
  </sheetData>
  <mergeCells count="2">
    <mergeCell ref="E2:H2"/>
    <mergeCell ref="D23:G2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B2B8F70-A712-42AD-820B-53BD778191EE}"/>
</file>

<file path=customXml/itemProps2.xml><?xml version="1.0" encoding="utf-8"?>
<ds:datastoreItem xmlns:ds="http://schemas.openxmlformats.org/officeDocument/2006/customXml" ds:itemID="{00726E39-CF5E-4688-8EEA-462BA8A0136F}"/>
</file>

<file path=customXml/itemProps3.xml><?xml version="1.0" encoding="utf-8"?>
<ds:datastoreItem xmlns:ds="http://schemas.openxmlformats.org/officeDocument/2006/customXml" ds:itemID="{9BDEDC2E-F95E-4E47-B66F-DBA87FC4B7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VIDROS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2025-09-18T19:29:10Z</cp:lastPrinted>
  <dcterms:created xsi:type="dcterms:W3CDTF">2022-01-02T19:12:46Z</dcterms:created>
  <dcterms:modified xsi:type="dcterms:W3CDTF">2025-09-18T19:29:26Z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