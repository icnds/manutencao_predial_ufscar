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G:\Meu Drive\0-Gi contrato 2022\Medições\36-Maio-25\"/>
    </mc:Choice>
  </mc:AlternateContent>
  <xr:revisionPtr revIDLastSave="0" documentId="13_ncr:1_{C3B33A2D-D722-41AB-82B2-36F025167BEB}" xr6:coauthVersionLast="47" xr6:coauthVersionMax="47" xr10:uidLastSave="{00000000-0000-0000-0000-000000000000}"/>
  <bookViews>
    <workbookView xWindow="-108" yWindow="-108" windowWidth="46296" windowHeight="25416" xr2:uid="{00000000-000D-0000-FFFF-FFFF00000000}"/>
  </bookViews>
  <sheets>
    <sheet name="São Carlos" sheetId="1" r:id="rId1"/>
  </sheets>
  <definedNames>
    <definedName name="_xlnm.Print_Area" localSheetId="0">'São Carlos'!$A$1:$O$123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7" i="1" l="1"/>
  <c r="J27" i="1" s="1"/>
  <c r="I25" i="1"/>
  <c r="J25" i="1" s="1"/>
  <c r="K27" i="1" l="1"/>
  <c r="L27" i="1" s="1"/>
  <c r="M27" i="1" s="1"/>
  <c r="K25" i="1"/>
  <c r="L25" i="1" s="1"/>
  <c r="M25" i="1" s="1"/>
  <c r="G94" i="1"/>
  <c r="G95" i="1" s="1"/>
  <c r="I95" i="1"/>
  <c r="J95" i="1" s="1"/>
  <c r="I94" i="1"/>
  <c r="J94" i="1" s="1"/>
  <c r="G92" i="1"/>
  <c r="I92" i="1"/>
  <c r="J92" i="1" s="1"/>
  <c r="I91" i="1"/>
  <c r="J91" i="1" s="1"/>
  <c r="I87" i="1"/>
  <c r="J87" i="1" s="1"/>
  <c r="I83" i="1"/>
  <c r="J83" i="1" s="1"/>
  <c r="I89" i="1"/>
  <c r="J89" i="1" s="1"/>
  <c r="I88" i="1"/>
  <c r="J88" i="1" s="1"/>
  <c r="I85" i="1"/>
  <c r="J85" i="1" s="1"/>
  <c r="I84" i="1"/>
  <c r="J84" i="1" s="1"/>
  <c r="I82" i="1"/>
  <c r="J82" i="1" s="1"/>
  <c r="I78" i="1"/>
  <c r="J78" i="1" s="1"/>
  <c r="I77" i="1"/>
  <c r="J77" i="1" s="1"/>
  <c r="I80" i="1"/>
  <c r="J80" i="1" s="1"/>
  <c r="I79" i="1"/>
  <c r="J79" i="1" s="1"/>
  <c r="I75" i="1"/>
  <c r="J75" i="1" s="1"/>
  <c r="I74" i="1"/>
  <c r="J74" i="1" s="1"/>
  <c r="I73" i="1"/>
  <c r="J73" i="1" s="1"/>
  <c r="I35" i="1"/>
  <c r="J35" i="1" s="1"/>
  <c r="I36" i="1"/>
  <c r="J36" i="1" s="1"/>
  <c r="K36" i="1" s="1"/>
  <c r="I37" i="1"/>
  <c r="J37" i="1" s="1"/>
  <c r="K37" i="1" s="1"/>
  <c r="I38" i="1"/>
  <c r="J38" i="1" s="1"/>
  <c r="K38" i="1" s="1"/>
  <c r="I39" i="1"/>
  <c r="J39" i="1" s="1"/>
  <c r="K39" i="1" s="1"/>
  <c r="I40" i="1"/>
  <c r="J40" i="1" s="1"/>
  <c r="K40" i="1" s="1"/>
  <c r="I41" i="1"/>
  <c r="J41" i="1" s="1"/>
  <c r="K41" i="1" s="1"/>
  <c r="I42" i="1"/>
  <c r="J42" i="1" s="1"/>
  <c r="K42" i="1" s="1"/>
  <c r="I43" i="1"/>
  <c r="J43" i="1" s="1"/>
  <c r="I44" i="1"/>
  <c r="J44" i="1" s="1"/>
  <c r="K44" i="1" s="1"/>
  <c r="I45" i="1"/>
  <c r="J45" i="1" s="1"/>
  <c r="K45" i="1" s="1"/>
  <c r="I46" i="1"/>
  <c r="J46" i="1" s="1"/>
  <c r="K46" i="1" s="1"/>
  <c r="I47" i="1"/>
  <c r="J47" i="1" s="1"/>
  <c r="K47" i="1" s="1"/>
  <c r="I48" i="1"/>
  <c r="J48" i="1" s="1"/>
  <c r="K48" i="1" s="1"/>
  <c r="I49" i="1"/>
  <c r="J49" i="1" s="1"/>
  <c r="K49" i="1" s="1"/>
  <c r="I50" i="1"/>
  <c r="J50" i="1" s="1"/>
  <c r="K50" i="1" s="1"/>
  <c r="I51" i="1"/>
  <c r="J51" i="1" s="1"/>
  <c r="I52" i="1"/>
  <c r="J52" i="1" s="1"/>
  <c r="K52" i="1" s="1"/>
  <c r="I53" i="1"/>
  <c r="J53" i="1" s="1"/>
  <c r="K53" i="1" s="1"/>
  <c r="I54" i="1"/>
  <c r="J54" i="1" s="1"/>
  <c r="K54" i="1" s="1"/>
  <c r="I55" i="1"/>
  <c r="J55" i="1" s="1"/>
  <c r="K55" i="1" s="1"/>
  <c r="I56" i="1"/>
  <c r="J56" i="1" s="1"/>
  <c r="K56" i="1" s="1"/>
  <c r="I57" i="1"/>
  <c r="J57" i="1" s="1"/>
  <c r="K57" i="1" s="1"/>
  <c r="I58" i="1"/>
  <c r="J58" i="1" s="1"/>
  <c r="K58" i="1" s="1"/>
  <c r="I59" i="1"/>
  <c r="J59" i="1" s="1"/>
  <c r="I60" i="1"/>
  <c r="J60" i="1" s="1"/>
  <c r="K60" i="1" s="1"/>
  <c r="I34" i="1"/>
  <c r="J34" i="1" s="1"/>
  <c r="G48" i="1"/>
  <c r="G52" i="1"/>
  <c r="G51" i="1"/>
  <c r="K95" i="1" l="1"/>
  <c r="L95" i="1" s="1"/>
  <c r="M95" i="1" s="1"/>
  <c r="K94" i="1"/>
  <c r="L94" i="1" s="1"/>
  <c r="M94" i="1" s="1"/>
  <c r="K92" i="1"/>
  <c r="L92" i="1" s="1"/>
  <c r="M92" i="1" s="1"/>
  <c r="K91" i="1"/>
  <c r="L91" i="1" s="1"/>
  <c r="M91" i="1" s="1"/>
  <c r="K87" i="1"/>
  <c r="L87" i="1" s="1"/>
  <c r="M87" i="1" s="1"/>
  <c r="K83" i="1"/>
  <c r="L83" i="1" s="1"/>
  <c r="M83" i="1" s="1"/>
  <c r="K88" i="1"/>
  <c r="L88" i="1" s="1"/>
  <c r="M88" i="1" s="1"/>
  <c r="K89" i="1"/>
  <c r="L89" i="1" s="1"/>
  <c r="M89" i="1" s="1"/>
  <c r="K84" i="1"/>
  <c r="L84" i="1" s="1"/>
  <c r="M84" i="1" s="1"/>
  <c r="K82" i="1"/>
  <c r="L82" i="1" s="1"/>
  <c r="M82" i="1" s="1"/>
  <c r="K85" i="1"/>
  <c r="L85" i="1" s="1"/>
  <c r="M85" i="1" s="1"/>
  <c r="K78" i="1"/>
  <c r="L78" i="1" s="1"/>
  <c r="M78" i="1" s="1"/>
  <c r="K77" i="1"/>
  <c r="L77" i="1" s="1"/>
  <c r="M77" i="1" s="1"/>
  <c r="K79" i="1"/>
  <c r="L79" i="1" s="1"/>
  <c r="M79" i="1" s="1"/>
  <c r="K80" i="1"/>
  <c r="L80" i="1" s="1"/>
  <c r="M80" i="1" s="1"/>
  <c r="K75" i="1"/>
  <c r="L75" i="1" s="1"/>
  <c r="M75" i="1" s="1"/>
  <c r="K74" i="1"/>
  <c r="L74" i="1" s="1"/>
  <c r="M74" i="1" s="1"/>
  <c r="K73" i="1"/>
  <c r="L73" i="1" s="1"/>
  <c r="M73" i="1" s="1"/>
  <c r="K59" i="1"/>
  <c r="L59" i="1" s="1"/>
  <c r="M59" i="1" s="1"/>
  <c r="K51" i="1"/>
  <c r="L51" i="1" s="1"/>
  <c r="M51" i="1" s="1"/>
  <c r="K43" i="1"/>
  <c r="L43" i="1" s="1"/>
  <c r="M43" i="1" s="1"/>
  <c r="K35" i="1"/>
  <c r="L35" i="1" s="1"/>
  <c r="M35" i="1" s="1"/>
  <c r="L55" i="1"/>
  <c r="M55" i="1" s="1"/>
  <c r="L47" i="1"/>
  <c r="M47" i="1" s="1"/>
  <c r="L39" i="1"/>
  <c r="M39" i="1" s="1"/>
  <c r="L57" i="1"/>
  <c r="M57" i="1" s="1"/>
  <c r="L53" i="1"/>
  <c r="M53" i="1" s="1"/>
  <c r="L49" i="1"/>
  <c r="M49" i="1" s="1"/>
  <c r="L37" i="1"/>
  <c r="M37" i="1" s="1"/>
  <c r="L45" i="1"/>
  <c r="M45" i="1" s="1"/>
  <c r="L41" i="1"/>
  <c r="M41" i="1" s="1"/>
  <c r="L60" i="1"/>
  <c r="M60" i="1" s="1"/>
  <c r="L58" i="1"/>
  <c r="M58" i="1" s="1"/>
  <c r="L54" i="1"/>
  <c r="M54" i="1" s="1"/>
  <c r="L52" i="1"/>
  <c r="M52" i="1" s="1"/>
  <c r="L50" i="1"/>
  <c r="M50" i="1" s="1"/>
  <c r="L48" i="1"/>
  <c r="M48" i="1" s="1"/>
  <c r="L46" i="1"/>
  <c r="M46" i="1" s="1"/>
  <c r="L44" i="1"/>
  <c r="M44" i="1" s="1"/>
  <c r="L42" i="1"/>
  <c r="M42" i="1" s="1"/>
  <c r="L40" i="1"/>
  <c r="M40" i="1" s="1"/>
  <c r="L38" i="1"/>
  <c r="M38" i="1" s="1"/>
  <c r="L36" i="1"/>
  <c r="M36" i="1" s="1"/>
  <c r="L56" i="1"/>
  <c r="M56" i="1" s="1"/>
  <c r="K34" i="1"/>
  <c r="L34" i="1" s="1"/>
  <c r="M34" i="1" s="1"/>
  <c r="N46" i="1" l="1"/>
  <c r="N54" i="1"/>
  <c r="N58" i="1"/>
  <c r="N41" i="1"/>
  <c r="N49" i="1"/>
  <c r="N35" i="1"/>
  <c r="N56" i="1"/>
  <c r="N42" i="1"/>
  <c r="N50" i="1"/>
  <c r="N60" i="1"/>
  <c r="N36" i="1"/>
  <c r="N52" i="1"/>
  <c r="N44" i="1"/>
  <c r="N40" i="1"/>
  <c r="N48" i="1"/>
  <c r="N57" i="1"/>
  <c r="N38" i="1"/>
  <c r="N51" i="1"/>
  <c r="N47" i="1"/>
  <c r="N45" i="1"/>
  <c r="N53" i="1"/>
  <c r="N55" i="1"/>
  <c r="N43" i="1"/>
  <c r="N39" i="1"/>
  <c r="N37" i="1"/>
  <c r="N59" i="1"/>
  <c r="I71" i="1" l="1"/>
  <c r="J71" i="1" s="1"/>
  <c r="I69" i="1"/>
  <c r="J69" i="1" s="1"/>
  <c r="I70" i="1"/>
  <c r="J70" i="1" s="1"/>
  <c r="K70" i="1" s="1"/>
  <c r="K71" i="1" l="1"/>
  <c r="L71" i="1" s="1"/>
  <c r="M71" i="1" s="1"/>
  <c r="K69" i="1"/>
  <c r="L69" i="1" s="1"/>
  <c r="M69" i="1" s="1"/>
  <c r="L70" i="1"/>
  <c r="M70" i="1" s="1"/>
  <c r="M68" i="1" l="1"/>
  <c r="N94" i="1" s="1"/>
  <c r="M33" i="1"/>
  <c r="N34" i="1" s="1"/>
  <c r="I18" i="1" l="1"/>
  <c r="J18" i="1" s="1"/>
  <c r="K18" i="1" s="1"/>
  <c r="I19" i="1"/>
  <c r="J19" i="1" s="1"/>
  <c r="I20" i="1"/>
  <c r="J20" i="1" s="1"/>
  <c r="K20" i="1" s="1"/>
  <c r="I21" i="1"/>
  <c r="J21" i="1" s="1"/>
  <c r="I22" i="1"/>
  <c r="J22" i="1" s="1"/>
  <c r="K22" i="1" s="1"/>
  <c r="I23" i="1"/>
  <c r="J23" i="1" s="1"/>
  <c r="I24" i="1"/>
  <c r="J24" i="1" s="1"/>
  <c r="K24" i="1" s="1"/>
  <c r="I26" i="1"/>
  <c r="J26" i="1" s="1"/>
  <c r="I28" i="1"/>
  <c r="J28" i="1" s="1"/>
  <c r="K28" i="1" s="1"/>
  <c r="I29" i="1"/>
  <c r="J29" i="1" s="1"/>
  <c r="I30" i="1"/>
  <c r="J30" i="1" s="1"/>
  <c r="K30" i="1" s="1"/>
  <c r="K23" i="1" l="1"/>
  <c r="L23" i="1" s="1"/>
  <c r="M23" i="1" s="1"/>
  <c r="K26" i="1"/>
  <c r="L26" i="1" s="1"/>
  <c r="M26" i="1" s="1"/>
  <c r="K29" i="1"/>
  <c r="L29" i="1" s="1"/>
  <c r="M29" i="1" s="1"/>
  <c r="K19" i="1"/>
  <c r="L19" i="1" s="1"/>
  <c r="M19" i="1" s="1"/>
  <c r="K21" i="1"/>
  <c r="L21" i="1" s="1"/>
  <c r="M21" i="1" s="1"/>
  <c r="L30" i="1"/>
  <c r="M30" i="1" s="1"/>
  <c r="L28" i="1"/>
  <c r="M28" i="1" s="1"/>
  <c r="L24" i="1"/>
  <c r="M24" i="1" s="1"/>
  <c r="L22" i="1"/>
  <c r="M22" i="1" s="1"/>
  <c r="L20" i="1"/>
  <c r="M20" i="1" s="1"/>
  <c r="L18" i="1"/>
  <c r="M18" i="1" s="1"/>
  <c r="I17" i="1"/>
  <c r="J17" i="1" s="1"/>
  <c r="K17" i="1" s="1"/>
  <c r="L17" i="1" l="1"/>
  <c r="M17" i="1" s="1"/>
  <c r="M16" i="1" s="1"/>
  <c r="N25" i="1" l="1"/>
  <c r="N27" i="1"/>
  <c r="N92" i="1"/>
  <c r="N87" i="1"/>
  <c r="N91" i="1"/>
  <c r="N83" i="1"/>
  <c r="N88" i="1"/>
  <c r="N89" i="1"/>
  <c r="N82" i="1"/>
  <c r="N85" i="1"/>
  <c r="N84" i="1"/>
  <c r="N77" i="1"/>
  <c r="N78" i="1"/>
  <c r="N75" i="1"/>
  <c r="N73" i="1"/>
  <c r="N74" i="1"/>
  <c r="N79" i="1"/>
  <c r="N80" i="1"/>
  <c r="N69" i="1"/>
  <c r="N71" i="1"/>
  <c r="N70" i="1"/>
  <c r="N19" i="1"/>
  <c r="N18" i="1"/>
  <c r="N23" i="1"/>
  <c r="N21" i="1"/>
  <c r="N28" i="1"/>
  <c r="N20" i="1"/>
  <c r="N29" i="1"/>
  <c r="N26" i="1"/>
  <c r="N24" i="1"/>
  <c r="N30" i="1"/>
  <c r="N22" i="1"/>
  <c r="N17" i="1"/>
  <c r="J98" i="1"/>
  <c r="N16" i="1" l="1"/>
</calcChain>
</file>

<file path=xl/sharedStrings.xml><?xml version="1.0" encoding="utf-8"?>
<sst xmlns="http://schemas.openxmlformats.org/spreadsheetml/2006/main" count="411" uniqueCount="190">
  <si>
    <t>LOGO</t>
  </si>
  <si>
    <t>Ordem de Serviço</t>
  </si>
  <si>
    <t>Prioridade:</t>
  </si>
  <si>
    <t>URGENTE</t>
  </si>
  <si>
    <t xml:space="preserve">24 horas </t>
  </si>
  <si>
    <t>ALTA</t>
  </si>
  <si>
    <t>3 dias</t>
  </si>
  <si>
    <t>MÉDIA</t>
  </si>
  <si>
    <t>7 dias</t>
  </si>
  <si>
    <t>BAIXA</t>
  </si>
  <si>
    <t xml:space="preserve">15 dias </t>
  </si>
  <si>
    <r>
      <t xml:space="preserve">UNIDADE: </t>
    </r>
    <r>
      <rPr>
        <sz val="8"/>
        <color rgb="FFFF0000"/>
        <rFont val="Arial"/>
        <family val="2"/>
      </rPr>
      <t>UFSCar Campus São Carlos</t>
    </r>
  </si>
  <si>
    <t>SOLICITAÇÃO</t>
  </si>
  <si>
    <r>
      <t xml:space="preserve">Solicitante: </t>
    </r>
    <r>
      <rPr>
        <sz val="8"/>
        <color rgb="FFFF0000"/>
        <rFont val="Arial"/>
        <family val="2"/>
      </rPr>
      <t>Prefeitura Universitária do Campus São Carlos</t>
    </r>
  </si>
  <si>
    <r>
      <t xml:space="preserve">Ambiente: </t>
    </r>
    <r>
      <rPr>
        <sz val="8"/>
        <color rgb="FFFF0000"/>
        <rFont val="Arial"/>
        <family val="2"/>
      </rPr>
      <t>Campus São Carlos</t>
    </r>
  </si>
  <si>
    <r>
      <t xml:space="preserve">Prazo de execução: </t>
    </r>
    <r>
      <rPr>
        <sz val="8"/>
        <color rgb="FFFF0000"/>
        <rFont val="Arial"/>
        <family val="2"/>
      </rPr>
      <t>Continuado</t>
    </r>
  </si>
  <si>
    <t>ITEM</t>
  </si>
  <si>
    <t>TIPO</t>
  </si>
  <si>
    <t>CÓDIGO</t>
  </si>
  <si>
    <t>BANCO</t>
  </si>
  <si>
    <t>DESCRIÇÃO DAS ETAPAS</t>
  </si>
  <si>
    <t>UNID.</t>
  </si>
  <si>
    <t>QUANT.</t>
  </si>
  <si>
    <t>PREÇO</t>
  </si>
  <si>
    <t>TOTAL DA ETAPA</t>
  </si>
  <si>
    <t>%</t>
  </si>
  <si>
    <t>ORÇAMENTO</t>
  </si>
  <si>
    <t>UNITÁRIO SEM BDI</t>
  </si>
  <si>
    <t>BDI (22,32%)</t>
  </si>
  <si>
    <t>UNITÁRIO COM BDI</t>
  </si>
  <si>
    <t>UNITÁRIO C/ BDI e DESCONTO</t>
  </si>
  <si>
    <t>EQUIPE DE PRESTAÇÃO DE SERVIÇOS ROTINEIROS DE MANUTENÇÃO PREDIAL</t>
  </si>
  <si>
    <t>1.1</t>
  </si>
  <si>
    <t xml:space="preserve">Composição </t>
  </si>
  <si>
    <t>SINAPI</t>
  </si>
  <si>
    <t>h</t>
  </si>
  <si>
    <t>BDI (15,32%)</t>
  </si>
  <si>
    <t>MATERIAIS NECESSÁRIOS PARA O DESEMPENHO DAS ROTINAS</t>
  </si>
  <si>
    <t>SERVIÇOS / EQUIPAMENTOS ADICIONAIS NECESSÁRIOS DURANTE AS ROTINAS</t>
  </si>
  <si>
    <t>TOTAL DO SERVIÇO - R$</t>
  </si>
  <si>
    <t>APROVAÇÃO DO ORÇAMENTO</t>
  </si>
  <si>
    <t>Ordem Serviço Eletrônica</t>
  </si>
  <si>
    <t>APROVAÇÃO ORÇAMENTO</t>
  </si>
  <si>
    <t>Conforme Serviços.UFSCar</t>
  </si>
  <si>
    <t xml:space="preserve">
Conforme Servicos.UFSCar
</t>
  </si>
  <si>
    <t xml:space="preserve">Data de início:
Hora de início:
</t>
  </si>
  <si>
    <t xml:space="preserve">Data de conclusão:
Hora de conclusão:
</t>
  </si>
  <si>
    <t xml:space="preserve"> _____________________________________________
Fiscal do Contrato / Assinatura
</t>
  </si>
  <si>
    <t xml:space="preserve">EXECUÇÃO / ATESTE DE
APROVAÇAO DO SERVIÇO
</t>
  </si>
  <si>
    <t xml:space="preserve">Observações do fiscal do contrato: </t>
  </si>
  <si>
    <r>
      <t xml:space="preserve">Prazo de início: </t>
    </r>
    <r>
      <rPr>
        <sz val="8"/>
        <color rgb="FFFF0000"/>
        <rFont val="Arial"/>
        <family val="2"/>
      </rPr>
      <t>13/06/2022</t>
    </r>
  </si>
  <si>
    <r>
      <t xml:space="preserve">CONTRATO: </t>
    </r>
    <r>
      <rPr>
        <sz val="8"/>
        <color rgb="FFFF0000"/>
        <rFont val="Arial"/>
        <family val="2"/>
      </rPr>
      <t xml:space="preserve"> 023/2022</t>
    </r>
  </si>
  <si>
    <t>DESCONTO (0,03%)</t>
  </si>
  <si>
    <t>ESCONTO (0,03%)</t>
  </si>
  <si>
    <t xml:space="preserve"> 88267 </t>
  </si>
  <si>
    <t>ENCANADOR OU BOMBEIRO HIDRÁULICO COM ENCARGOS COMPLEMENTARES</t>
  </si>
  <si>
    <t xml:space="preserve"> 88248 </t>
  </si>
  <si>
    <t>AUXILIAR DE ENCANADOR OU BOMBEIRO HIDRÁULICO COM ENCARGOS COMPLEMENTARES</t>
  </si>
  <si>
    <t xml:space="preserve"> 88309 </t>
  </si>
  <si>
    <t>PEDREIRO COM ENCARGOS COMPLEMENTARES</t>
  </si>
  <si>
    <t xml:space="preserve"> 88242 </t>
  </si>
  <si>
    <t>AJUDANTE DE PEDREIRO COM ENCARGOS COMPLEMENTARES</t>
  </si>
  <si>
    <t>ENCARREGADO GERAL COM ENCARGOS COMPLEMENTARES</t>
  </si>
  <si>
    <t xml:space="preserve"> 88241 </t>
  </si>
  <si>
    <t>AJUDANTE DE OPERAÇÃO EM GERAL COM ENCARGOS COMPLEMENTARES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</si>
  <si>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</si>
  <si>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</si>
  <si>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</si>
  <si>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</si>
  <si>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</si>
  <si>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</si>
  <si>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</si>
  <si>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</si>
  <si>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</si>
  <si>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</si>
  <si>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</si>
  <si>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3.1</t>
  </si>
  <si>
    <t>3.3</t>
  </si>
  <si>
    <t>3.2</t>
  </si>
  <si>
    <t>PINTOR COM ENCARGOS COMPLEMENTARES</t>
  </si>
  <si>
    <t>3.4</t>
  </si>
  <si>
    <t>Insumos</t>
  </si>
  <si>
    <t>2.5</t>
  </si>
  <si>
    <t>2.24</t>
  </si>
  <si>
    <t>2.11</t>
  </si>
  <si>
    <t>2.15</t>
  </si>
  <si>
    <t>2.20</t>
  </si>
  <si>
    <t>2.10</t>
  </si>
  <si>
    <t>2.1</t>
  </si>
  <si>
    <t>2.3</t>
  </si>
  <si>
    <t>2.7</t>
  </si>
  <si>
    <t>2.9</t>
  </si>
  <si>
    <t>2.12</t>
  </si>
  <si>
    <t>2.18</t>
  </si>
  <si>
    <t>2.23</t>
  </si>
  <si>
    <t>2.25</t>
  </si>
  <si>
    <r>
      <t xml:space="preserve">Observações: 
1) As composições de custos apresentadas nesta planilha orçamentária englobam em seu valor toda a mão de obra, materiais, ferramentas, equipamentos e demais itens necessários à sua perfeita e completa execução.
2) Preços das composições e insumos do </t>
    </r>
    <r>
      <rPr>
        <b/>
        <sz val="8"/>
        <color rgb="FFFF0000"/>
        <rFont val="Arial"/>
        <family val="2"/>
      </rPr>
      <t xml:space="preserve">SINAPI São Paulo (mês 05/2024) </t>
    </r>
    <r>
      <rPr>
        <sz val="8"/>
        <color theme="1"/>
        <rFont val="Arial"/>
        <family val="2"/>
      </rPr>
      <t xml:space="preserve">e/ou demais preços do mercado vigentes na mesma data.
3) A identificação de materiais ou equipamentos por determinada marca implica apenas na caracterização de uma analogia ou similaridade, não tendo caráter vinculante e sim, meramente indicativo.
4) O BDI e o desconto adotados são os acordados no respectivo contrato, bem como a modalidade de impostos desonerados ou padrão, considerando o ISS da Prefeitura local do serviço.
</t>
    </r>
  </si>
  <si>
    <r>
      <t xml:space="preserve">Mês de referência: </t>
    </r>
    <r>
      <rPr>
        <sz val="8"/>
        <color rgb="FFFF0000"/>
        <rFont val="Arial"/>
        <family val="2"/>
      </rPr>
      <t>Maio/2024 (data da proposta)</t>
    </r>
  </si>
  <si>
    <r>
      <t xml:space="preserve">Data Orçamento: </t>
    </r>
    <r>
      <rPr>
        <sz val="8"/>
        <color rgb="FFFF0000"/>
        <rFont val="Arial"/>
        <family val="2"/>
      </rPr>
      <t>Jun/22</t>
    </r>
  </si>
  <si>
    <t>L</t>
  </si>
  <si>
    <t>2.6</t>
  </si>
  <si>
    <t>2.4</t>
  </si>
  <si>
    <t>2.22</t>
  </si>
  <si>
    <t>2.2</t>
  </si>
  <si>
    <t>2.8</t>
  </si>
  <si>
    <t>2.13</t>
  </si>
  <si>
    <t>2.14</t>
  </si>
  <si>
    <t>2.16</t>
  </si>
  <si>
    <t>2.17</t>
  </si>
  <si>
    <t>2.19</t>
  </si>
  <si>
    <t>2.21</t>
  </si>
  <si>
    <t>2.26</t>
  </si>
  <si>
    <t>2.27</t>
  </si>
  <si>
    <t>KG</t>
  </si>
  <si>
    <t>M</t>
  </si>
  <si>
    <t>TINTA LATEX ACRILICA STANDARD, COR BRANCA</t>
  </si>
  <si>
    <t>3.5</t>
  </si>
  <si>
    <t>BUCHA DE REDUCAO DE FERRO GALVANIZADO, COM ROSCA BSP, DE 3/4" X 1/2"</t>
  </si>
  <si>
    <t>SIFAO / TUBO SINFONADO EXTENSIVEL/SANFONADO, UNIVERSAL/ SIMPLES, ENTRE *50 A 70* CM, DE PLASTICO BRANCO</t>
  </si>
  <si>
    <t>NIPLE DE FERRO GALVANIZADO, COM ROSCA BSP, DE 1/2"</t>
  </si>
  <si>
    <t>ASSENTO SANITARIO DE PLASTICO, TIPO CONVENCIONAL</t>
  </si>
  <si>
    <t>TORNEIRA METALICA CROMADA PARA JARDIM / TANQUE, COM BICO PLASTICO, CANO LONGO, DE PAREDE, PADRAO POPULAR / USO GERAL , 1/2 " OU 3/4 " (REF 1153 / 1130)</t>
  </si>
  <si>
    <t>m²</t>
  </si>
  <si>
    <r>
      <t xml:space="preserve">Descrição serviço: </t>
    </r>
    <r>
      <rPr>
        <b/>
        <sz val="8"/>
        <color theme="1"/>
        <rFont val="Arial"/>
        <family val="2"/>
      </rPr>
      <t xml:space="preserve">ROTINAS DE MANUTENÇÃO PREDIAL NO CAMPUS SÃO CARLOS, REFERENTE AO PERIODO DE </t>
    </r>
    <r>
      <rPr>
        <b/>
        <sz val="8"/>
        <color rgb="FFFF0000"/>
        <rFont val="Arial"/>
        <family val="2"/>
      </rPr>
      <t>MAIO/2025</t>
    </r>
  </si>
  <si>
    <t xml:space="preserve"> CUBA ACO INOX (AISI 304) DE EMBUTIR COM VALVULA 3 1/2 ", DE *46 X 30 X 12* CM</t>
  </si>
  <si>
    <t>FECHADURA ESPELHO PARA PORTA EXTERNA, EM ACO INOX (MAQUINA, TESTA E CONTRA-TESTA) E EM ZAMAC (MACANETA, LINGUETA E TRINCOS) COM ACABAMENTO CROMADO, MAQUINA DE 40 MM, INCLUINDO CHAVE TIPO CILINDRO</t>
  </si>
  <si>
    <t>ARGAMASSA COLANTE AC I PARA CERAMICAS</t>
  </si>
  <si>
    <t>CIMENTO PORTLAND COMPOSTO CP II-32</t>
  </si>
  <si>
    <t>PREGO DE ACO POLIDO COM CABECA 12 X 12</t>
  </si>
  <si>
    <t>PREGO DE ACO POLIDO COM CABECA 15 X 15 (1 1/4 X 13)</t>
  </si>
  <si>
    <t>PREGO DE ACO POLIDO COM CABECA 18 X 27 (2 1/2 X 10)</t>
  </si>
  <si>
    <t>REJUNTE CIMENTICIO, QUALQUER COR</t>
  </si>
  <si>
    <t>LONA PLASTICA EXTRA FORTE PRETA, E = 200 MICRA</t>
  </si>
  <si>
    <t>M²</t>
  </si>
  <si>
    <t>TINTA ACRILICA PREMIUM PARA PISO - AMARELO</t>
  </si>
  <si>
    <t>TINTA ACRILICA PREMIUM PARA PISO - BRANCO</t>
  </si>
  <si>
    <t>TINTA LATEX ACRILICA STANDARD, COR PALHA</t>
  </si>
  <si>
    <t>TINTA LATEX ACRILICA STANDARD, COR MARFIM</t>
  </si>
  <si>
    <t>VALVULA DE DESCARGA EM METAL CROMADO PARA MICTORIO COM ACIONAMENTO POR PRESSAO E FECHAMENTO AUTOMATICO</t>
  </si>
  <si>
    <t>TORNEIRA METALICA CROMADA, DE MESA/BANCADA, PARA COZINHA, BICA MOVEL, COM AREJADOR, 1/2 " OU 3/4 " (REF 1167 / 1168)</t>
  </si>
  <si>
    <t>TORNEIRA METALICA CROMADA DE MESA PARA LAVATORIO, BICA ALTA, COM AREJADOR (REF 1195)</t>
  </si>
  <si>
    <t>ENGATE / RABICHO FLEXIVEL INOX 1/2 " X 40 CM</t>
  </si>
  <si>
    <t>6.95.48</t>
  </si>
  <si>
    <t>FDE</t>
  </si>
  <si>
    <t>KIT REPARO CAIXA ACOPLADA</t>
  </si>
  <si>
    <t>6.95.47</t>
  </si>
  <si>
    <t>REPARO P/VALVULA DESCARGA HIDRA LISA II</t>
  </si>
  <si>
    <t>ANEL BORRACHA, PARA TUBO/CONEXAO PVC PBA, DN 75 MM, PARA REDE AGUA</t>
  </si>
  <si>
    <t>ENGATE / RABICHO FLEXIVEL INOX 1/2 " X 40 CM - 60 CM</t>
  </si>
  <si>
    <t>Manutenção Telhado Gerontologia - Calhas</t>
  </si>
  <si>
    <t>3.7</t>
  </si>
  <si>
    <t>RUFO EM CHAPA DE AÇO GALVANIZADO NÚMERO 24, CORTE DE 25 CM, INCLUSO TRANSPORTE VERTICAL. AF_07/2019</t>
  </si>
  <si>
    <t>3.8</t>
  </si>
  <si>
    <t>TELHADISTA COM ENCARGOS COMPLEMENTARES</t>
  </si>
  <si>
    <t>H</t>
  </si>
  <si>
    <t>3.9</t>
  </si>
  <si>
    <t>SERVENTE COM ENCARGOS COMPLEMENTARES</t>
  </si>
  <si>
    <t>SOLTAR TELHAS PARA VER O NIVEL DO ENCANAMENTO</t>
  </si>
  <si>
    <t>VEDAR OS BOCAIS DA CALHA SALA 01 E 18</t>
  </si>
  <si>
    <t>Manutenção Departamento de Fisica - Calhas</t>
  </si>
  <si>
    <t>3.6</t>
  </si>
  <si>
    <t>REMOÇÃO CALHAS E RUFOS, DE FORMA MANUAL, SEM REAPROVEITAMENTO. AF_09/2023</t>
  </si>
  <si>
    <t>CALHA EM CHAPA DE AÇO GALVANIZADO NÚMERO 24,
DESENVOLVIMENTO DE 50 CM, INCLUSO TRANSPORTE VERTICAL. AF_07/2019</t>
  </si>
  <si>
    <t>Manutenção Nullen Ecosol - Calhas</t>
  </si>
  <si>
    <t>VEDAÇÃO NOS RUFOS NO ENTORNO DA CAIXA DÁGUA</t>
  </si>
  <si>
    <t>VEDAÇÃO NOS RUFOS DE ENCOSTO DOS FUNDOS</t>
  </si>
  <si>
    <t xml:space="preserve">TROCA DA CALHA COCHO </t>
  </si>
  <si>
    <t>VEDAÇÃO NAS EMENDAS DAS CALHAS E NOS BOCAIS SENDO
INSTALAÇÃO DE NOVAS SAIDAS EM CADA CALHA
PINTURA DAS CALHAS</t>
  </si>
  <si>
    <t>CALHA EM CHAPA DE AÇO GALVANIZADO NÚMERO 24, DESENVOLVIMENTO DE 100 CM, INCLUSO TRANSPORTE VERTICAL. AF_07/2019</t>
  </si>
  <si>
    <t>Manutenção Nova Quimica - Calhas</t>
  </si>
  <si>
    <t>Limpeza PU - Entulho</t>
  </si>
  <si>
    <t>CARGA, MANOBRA E DESCARGA DE SOLOS E MATERIAIS GRANULARES EM CAMINHÃO BASCULANTE 14 M³ CARGA COM PÁ CARREGADEIRA (CAÇAMBA DE 1,7 A 2,8 M³ / 128 HP) E DESCARGA LIVRE (UNIDADE:T).AF_07/2020</t>
  </si>
  <si>
    <t>T</t>
  </si>
  <si>
    <t>TRANSPORTE COM CAMINHÃO BASCULANTE DE 14 M³, EM VIA URBANA PAVIMENTADA, DMT ATÉ 30 KM (UNIDADE:TXKM).AF_07/2020</t>
  </si>
  <si>
    <t>TXKM</t>
  </si>
  <si>
    <t>3.10</t>
  </si>
  <si>
    <t>3.11</t>
  </si>
  <si>
    <t>3.12</t>
  </si>
  <si>
    <t>3.13</t>
  </si>
  <si>
    <t>3.14</t>
  </si>
  <si>
    <t>3.15</t>
  </si>
  <si>
    <t>3.16</t>
  </si>
  <si>
    <t>3.17</t>
  </si>
  <si>
    <t>3.18</t>
  </si>
  <si>
    <t>3.19</t>
  </si>
  <si>
    <t>APLICAÇÃO MANUAL DE PINTURA COM TINTA LÁTEX ACRÍLICA EM TETO, DUAS DEMÃOS. AF_06/2014</t>
  </si>
  <si>
    <t xml:space="preserve"> 88489 </t>
  </si>
  <si>
    <t>PINTURA LÁTEX ACRÍLICA PREMIUM, APLICAÇÃO MANUAL EM PAREDES, DUAS DEMÃOS. AF_04/2023</t>
  </si>
  <si>
    <t>Pintura Engenharia mecanica e DEMA</t>
  </si>
  <si>
    <t>CORREÇÃO FOLHA ABRIL/25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</si>
</sst>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 &quot;* #,##0.00_-;&quot;-R$ &quot;* #,##0.00_-;_-&quot;R$ &quot;* \-??_-;_-@_-"/>
  </numFmts>
  <fonts count="2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color theme="1"/>
      <name val="Arial"/>
      <family val="2"/>
    </font>
    <font>
      <b/>
      <sz val="8"/>
      <color rgb="FF3F3F3F"/>
      <name val="Arial"/>
      <family val="2"/>
    </font>
    <font>
      <sz val="8"/>
      <color rgb="FF3F3F3F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3F3F3F"/>
      <name val="Calibri"/>
      <family val="2"/>
      <charset val="1"/>
    </font>
    <font>
      <i/>
      <sz val="11"/>
      <color rgb="FF7F7F7F"/>
      <name val="Calibri"/>
      <family val="2"/>
      <charset val="1"/>
    </font>
    <font>
      <b/>
      <sz val="8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Arial"/>
      <family val="1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name val="Arial"/>
      <family val="1"/>
    </font>
    <font>
      <sz val="8"/>
      <color rgb="FFFF0000"/>
      <name val="Calibri"/>
      <family val="2"/>
      <scheme val="minor"/>
    </font>
    <font>
      <b/>
      <sz val="8"/>
      <color rgb="FF00B0F0"/>
      <name val="Arial"/>
      <family val="2"/>
    </font>
    <font>
      <b/>
      <sz val="8"/>
      <color theme="4"/>
      <name val="Arial"/>
      <family val="2"/>
    </font>
    <font>
      <b/>
      <sz val="8"/>
      <color rgb="FFFF0000"/>
      <name val="Arial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/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3F3F3F"/>
      </top>
      <bottom style="medium">
        <color indexed="64"/>
      </bottom>
      <diagonal/>
    </border>
    <border>
      <left/>
      <right style="thin">
        <color rgb="FF3F3F3F"/>
      </right>
      <top style="thin">
        <color indexed="64"/>
      </top>
      <bottom/>
      <diagonal/>
    </border>
  </borders>
  <cellStyleXfs count="12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  <xf numFmtId="44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6" fillId="4" borderId="1" applyProtection="0"/>
    <xf numFmtId="0" fontId="17" fillId="0" borderId="0" applyBorder="0" applyProtection="0"/>
    <xf numFmtId="0" fontId="22" fillId="0" borderId="0"/>
    <xf numFmtId="164" fontId="22" fillId="0" borderId="0" applyBorder="0" applyProtection="0"/>
    <xf numFmtId="0" fontId="23" fillId="0" borderId="0" applyBorder="0" applyProtection="0"/>
    <xf numFmtId="0" fontId="16" fillId="4" borderId="1" applyProtection="0"/>
    <xf numFmtId="0" fontId="24" fillId="0" borderId="0"/>
  </cellStyleXfs>
  <cellXfs count="175">
    <xf numFmtId="0" fontId="0" fillId="0" borderId="0" xfId="0"/>
    <xf numFmtId="0" fontId="4" fillId="2" borderId="9" xfId="1" applyFont="1" applyBorder="1" applyAlignment="1"/>
    <xf numFmtId="0" fontId="5" fillId="2" borderId="9" xfId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5" fillId="2" borderId="25" xfId="1" applyFont="1" applyBorder="1" applyAlignment="1">
      <alignment horizontal="center" vertical="center"/>
    </xf>
    <xf numFmtId="0" fontId="4" fillId="2" borderId="26" xfId="1" applyFont="1" applyBorder="1" applyAlignment="1">
      <alignment vertical="center"/>
    </xf>
    <xf numFmtId="0" fontId="4" fillId="2" borderId="18" xfId="1" applyFont="1" applyBorder="1" applyAlignment="1">
      <alignment vertical="center"/>
    </xf>
    <xf numFmtId="0" fontId="4" fillId="2" borderId="26" xfId="1" applyFont="1" applyBorder="1" applyAlignment="1">
      <alignment horizontal="center" vertical="center"/>
    </xf>
    <xf numFmtId="0" fontId="4" fillId="2" borderId="27" xfId="1" applyFont="1" applyBorder="1" applyAlignment="1">
      <alignment horizontal="center" vertical="center"/>
    </xf>
    <xf numFmtId="4" fontId="4" fillId="2" borderId="27" xfId="1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4" xfId="2" applyFont="1" applyBorder="1" applyAlignment="1" applyProtection="1">
      <alignment horizontal="left" vertical="center" wrapText="1"/>
    </xf>
    <xf numFmtId="0" fontId="9" fillId="0" borderId="24" xfId="2" applyFont="1" applyBorder="1" applyAlignment="1" applyProtection="1">
      <alignment horizontal="center" vertical="center"/>
    </xf>
    <xf numFmtId="4" fontId="9" fillId="0" borderId="24" xfId="2" applyNumberFormat="1" applyFont="1" applyBorder="1" applyAlignment="1" applyProtection="1">
      <alignment horizontal="center" vertical="center"/>
    </xf>
    <xf numFmtId="0" fontId="5" fillId="2" borderId="29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9" fillId="0" borderId="24" xfId="1" applyFont="1" applyFill="1" applyBorder="1" applyAlignment="1">
      <alignment horizontal="center" vertical="center"/>
    </xf>
    <xf numFmtId="0" fontId="9" fillId="0" borderId="0" xfId="0" applyFont="1"/>
    <xf numFmtId="0" fontId="9" fillId="0" borderId="24" xfId="2" applyFont="1" applyFill="1" applyBorder="1" applyAlignment="1" applyProtection="1">
      <alignment horizontal="left" vertical="center" wrapText="1"/>
    </xf>
    <xf numFmtId="44" fontId="4" fillId="2" borderId="27" xfId="3" applyFont="1" applyFill="1" applyBorder="1" applyAlignment="1">
      <alignment horizontal="center" vertical="center"/>
    </xf>
    <xf numFmtId="44" fontId="4" fillId="2" borderId="24" xfId="3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4" xfId="0" applyFont="1" applyBorder="1"/>
    <xf numFmtId="0" fontId="8" fillId="3" borderId="24" xfId="0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/>
    </xf>
    <xf numFmtId="0" fontId="14" fillId="0" borderId="0" xfId="0" applyFont="1"/>
    <xf numFmtId="0" fontId="13" fillId="0" borderId="0" xfId="0" applyFont="1"/>
    <xf numFmtId="0" fontId="13" fillId="2" borderId="25" xfId="1" applyFont="1" applyBorder="1" applyAlignment="1">
      <alignment horizontal="center" vertical="center"/>
    </xf>
    <xf numFmtId="0" fontId="18" fillId="2" borderId="27" xfId="1" applyFont="1" applyBorder="1" applyAlignment="1">
      <alignment horizontal="center" vertical="center"/>
    </xf>
    <xf numFmtId="44" fontId="18" fillId="2" borderId="27" xfId="3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4" xfId="2" applyFont="1" applyFill="1" applyBorder="1" applyAlignment="1" applyProtection="1">
      <alignment horizontal="left" vertical="center" wrapText="1"/>
    </xf>
    <xf numFmtId="0" fontId="13" fillId="0" borderId="24" xfId="2" applyFont="1" applyBorder="1" applyAlignment="1" applyProtection="1">
      <alignment horizontal="center" vertical="center"/>
    </xf>
    <xf numFmtId="4" fontId="13" fillId="0" borderId="24" xfId="2" applyNumberFormat="1" applyFont="1" applyBorder="1" applyAlignment="1" applyProtection="1">
      <alignment horizontal="center" vertical="center"/>
    </xf>
    <xf numFmtId="0" fontId="19" fillId="2" borderId="24" xfId="1" applyFont="1" applyBorder="1"/>
    <xf numFmtId="0" fontId="18" fillId="0" borderId="39" xfId="0" applyFont="1" applyBorder="1" applyAlignment="1">
      <alignment vertical="top"/>
    </xf>
    <xf numFmtId="0" fontId="20" fillId="0" borderId="11" xfId="0" applyFont="1" applyBorder="1" applyAlignment="1">
      <alignment vertical="top"/>
    </xf>
    <xf numFmtId="0" fontId="15" fillId="0" borderId="0" xfId="0" applyFont="1"/>
    <xf numFmtId="4" fontId="13" fillId="0" borderId="24" xfId="2" applyNumberFormat="1" applyFont="1" applyFill="1" applyBorder="1" applyAlignment="1" applyProtection="1">
      <alignment horizontal="center" vertical="center"/>
    </xf>
    <xf numFmtId="2" fontId="8" fillId="0" borderId="24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24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5" fillId="0" borderId="0" xfId="0" applyFont="1"/>
    <xf numFmtId="43" fontId="15" fillId="0" borderId="0" xfId="0" applyNumberFormat="1" applyFont="1"/>
    <xf numFmtId="0" fontId="13" fillId="0" borderId="0" xfId="0" applyFont="1" applyAlignment="1">
      <alignment vertical="center"/>
    </xf>
    <xf numFmtId="0" fontId="9" fillId="0" borderId="24" xfId="4" applyFont="1" applyFill="1" applyBorder="1" applyAlignment="1">
      <alignment vertical="center"/>
    </xf>
    <xf numFmtId="0" fontId="9" fillId="0" borderId="24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left" vertical="center"/>
    </xf>
    <xf numFmtId="4" fontId="13" fillId="0" borderId="16" xfId="2" applyNumberFormat="1" applyFont="1" applyFill="1" applyBorder="1" applyAlignment="1" applyProtection="1">
      <alignment horizontal="center" vertical="center"/>
    </xf>
    <xf numFmtId="0" fontId="21" fillId="5" borderId="24" xfId="0" applyFont="1" applyFill="1" applyBorder="1" applyAlignment="1">
      <alignment horizontal="center" vertical="center" wrapText="1"/>
    </xf>
    <xf numFmtId="0" fontId="21" fillId="0" borderId="24" xfId="0" applyFont="1" applyBorder="1" applyAlignment="1">
      <alignment horizontal="left" vertical="center" wrapText="1"/>
    </xf>
    <xf numFmtId="4" fontId="8" fillId="5" borderId="24" xfId="0" applyNumberFormat="1" applyFont="1" applyFill="1" applyBorder="1" applyAlignment="1">
      <alignment horizontal="center" vertical="center" wrapText="1"/>
    </xf>
    <xf numFmtId="0" fontId="8" fillId="2" borderId="27" xfId="1" applyFont="1" applyBorder="1" applyAlignment="1">
      <alignment horizontal="center" vertical="center"/>
    </xf>
    <xf numFmtId="0" fontId="8" fillId="2" borderId="24" xfId="1" applyFont="1" applyBorder="1" applyAlignment="1">
      <alignment horizontal="center" vertical="center"/>
    </xf>
    <xf numFmtId="0" fontId="18" fillId="2" borderId="24" xfId="1" applyFont="1" applyBorder="1"/>
    <xf numFmtId="0" fontId="9" fillId="0" borderId="24" xfId="1" applyFont="1" applyFill="1" applyBorder="1" applyAlignment="1">
      <alignment horizontal="left" vertical="center"/>
    </xf>
    <xf numFmtId="0" fontId="9" fillId="0" borderId="24" xfId="5" applyFont="1" applyFill="1" applyBorder="1" applyAlignment="1" applyProtection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3" fillId="0" borderId="0" xfId="0" applyFont="1" applyAlignment="1">
      <alignment horizontal="left"/>
    </xf>
    <xf numFmtId="0" fontId="21" fillId="0" borderId="24" xfId="0" applyFont="1" applyBorder="1" applyAlignment="1">
      <alignment horizontal="center" vertical="center" wrapText="1"/>
    </xf>
    <xf numFmtId="0" fontId="21" fillId="0" borderId="24" xfId="0" applyFont="1" applyBorder="1" applyAlignment="1">
      <alignment vertical="center" wrapText="1"/>
    </xf>
    <xf numFmtId="4" fontId="26" fillId="0" borderId="24" xfId="2" applyNumberFormat="1" applyFont="1" applyBorder="1" applyAlignment="1" applyProtection="1">
      <alignment horizontal="center" vertical="center"/>
    </xf>
    <xf numFmtId="4" fontId="10" fillId="0" borderId="24" xfId="2" applyNumberFormat="1" applyFont="1" applyBorder="1" applyAlignment="1" applyProtection="1">
      <alignment horizontal="center" vertical="center"/>
    </xf>
    <xf numFmtId="4" fontId="27" fillId="0" borderId="24" xfId="2" applyNumberFormat="1" applyFont="1" applyBorder="1" applyAlignment="1" applyProtection="1">
      <alignment horizontal="center" vertical="center"/>
    </xf>
    <xf numFmtId="0" fontId="7" fillId="0" borderId="24" xfId="0" applyFont="1" applyBorder="1" applyAlignment="1">
      <alignment horizontal="center" vertical="center"/>
    </xf>
    <xf numFmtId="4" fontId="26" fillId="5" borderId="24" xfId="0" applyNumberFormat="1" applyFont="1" applyFill="1" applyBorder="1" applyAlignment="1">
      <alignment horizontal="center" vertical="center" wrapText="1"/>
    </xf>
    <xf numFmtId="4" fontId="28" fillId="5" borderId="15" xfId="0" applyNumberFormat="1" applyFont="1" applyFill="1" applyBorder="1" applyAlignment="1">
      <alignment horizontal="center" vertical="center" wrapText="1"/>
    </xf>
    <xf numFmtId="2" fontId="10" fillId="0" borderId="24" xfId="1" applyNumberFormat="1" applyFont="1" applyFill="1" applyBorder="1" applyAlignment="1">
      <alignment horizontal="center" vertical="center"/>
    </xf>
    <xf numFmtId="4" fontId="26" fillId="0" borderId="24" xfId="0" applyNumberFormat="1" applyFont="1" applyBorder="1" applyAlignment="1">
      <alignment horizontal="center" vertical="center" wrapText="1"/>
    </xf>
    <xf numFmtId="0" fontId="26" fillId="0" borderId="24" xfId="1" applyFont="1" applyFill="1" applyBorder="1" applyAlignment="1">
      <alignment horizontal="center" vertical="center"/>
    </xf>
    <xf numFmtId="2" fontId="26" fillId="0" borderId="24" xfId="2" applyNumberFormat="1" applyFont="1" applyBorder="1" applyAlignment="1" applyProtection="1">
      <alignment horizontal="center" vertical="center"/>
    </xf>
    <xf numFmtId="2" fontId="26" fillId="0" borderId="24" xfId="1" applyNumberFormat="1" applyFont="1" applyFill="1" applyBorder="1" applyAlignment="1">
      <alignment horizontal="center" vertical="center"/>
    </xf>
    <xf numFmtId="0" fontId="7" fillId="0" borderId="24" xfId="2" applyFont="1" applyFill="1" applyBorder="1" applyAlignment="1" applyProtection="1">
      <alignment horizontal="left" vertical="center" wrapText="1"/>
    </xf>
    <xf numFmtId="0" fontId="7" fillId="0" borderId="24" xfId="2" applyFont="1" applyBorder="1" applyAlignment="1" applyProtection="1">
      <alignment horizontal="center" vertical="center"/>
    </xf>
    <xf numFmtId="4" fontId="7" fillId="0" borderId="24" xfId="2" applyNumberFormat="1" applyFont="1" applyBorder="1" applyAlignment="1" applyProtection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4" fillId="2" borderId="21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5" fillId="2" borderId="9" xfId="1" applyFont="1" applyBorder="1" applyAlignment="1">
      <alignment horizontal="center" vertical="center" textRotation="90"/>
    </xf>
    <xf numFmtId="0" fontId="5" fillId="2" borderId="28" xfId="1" applyFont="1" applyBorder="1" applyAlignment="1">
      <alignment horizontal="center" vertical="center" textRotation="90"/>
    </xf>
    <xf numFmtId="0" fontId="18" fillId="2" borderId="26" xfId="1" applyFont="1" applyBorder="1" applyAlignment="1">
      <alignment horizontal="center" vertical="center"/>
    </xf>
    <xf numFmtId="0" fontId="18" fillId="2" borderId="18" xfId="1" applyFont="1" applyBorder="1" applyAlignment="1">
      <alignment horizontal="center" vertical="center"/>
    </xf>
    <xf numFmtId="0" fontId="18" fillId="2" borderId="44" xfId="1" applyFont="1" applyBorder="1" applyAlignment="1">
      <alignment horizontal="center" vertical="center"/>
    </xf>
    <xf numFmtId="0" fontId="15" fillId="0" borderId="7" xfId="0" applyFont="1" applyBorder="1" applyAlignment="1">
      <alignment horizontal="center"/>
    </xf>
    <xf numFmtId="0" fontId="15" fillId="0" borderId="0" xfId="0" applyFont="1" applyAlignment="1">
      <alignment horizontal="center"/>
    </xf>
    <xf numFmtId="43" fontId="20" fillId="0" borderId="11" xfId="0" applyNumberFormat="1" applyFont="1" applyBorder="1" applyAlignment="1">
      <alignment horizontal="center" vertical="top"/>
    </xf>
    <xf numFmtId="0" fontId="20" fillId="0" borderId="11" xfId="0" applyFont="1" applyBorder="1" applyAlignment="1">
      <alignment horizontal="center" vertical="top"/>
    </xf>
    <xf numFmtId="0" fontId="20" fillId="0" borderId="12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33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/>
    </xf>
    <xf numFmtId="0" fontId="3" fillId="0" borderId="33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5" fillId="2" borderId="38" xfId="1" applyFont="1" applyBorder="1" applyAlignment="1">
      <alignment horizontal="left" vertical="center" textRotation="90" wrapText="1"/>
    </xf>
    <xf numFmtId="0" fontId="5" fillId="2" borderId="28" xfId="1" applyFont="1" applyBorder="1" applyAlignment="1">
      <alignment horizontal="left" vertical="center" textRotation="90"/>
    </xf>
    <xf numFmtId="0" fontId="5" fillId="2" borderId="43" xfId="1" applyFont="1" applyBorder="1" applyAlignment="1">
      <alignment horizontal="left" vertical="center" textRotation="90"/>
    </xf>
    <xf numFmtId="0" fontId="3" fillId="0" borderId="17" xfId="0" applyFont="1" applyBorder="1" applyAlignment="1">
      <alignment horizontal="left" vertical="top"/>
    </xf>
    <xf numFmtId="0" fontId="3" fillId="0" borderId="40" xfId="0" applyFont="1" applyBorder="1" applyAlignment="1">
      <alignment horizontal="left" vertical="top"/>
    </xf>
    <xf numFmtId="0" fontId="3" fillId="0" borderId="41" xfId="0" applyFont="1" applyBorder="1" applyAlignment="1">
      <alignment horizontal="left" vertical="top"/>
    </xf>
    <xf numFmtId="0" fontId="3" fillId="0" borderId="7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5" fillId="2" borderId="30" xfId="1" applyFont="1" applyBorder="1" applyAlignment="1">
      <alignment horizontal="left" vertical="top"/>
    </xf>
    <xf numFmtId="0" fontId="5" fillId="2" borderId="1" xfId="1" applyFont="1" applyAlignment="1">
      <alignment horizontal="left" vertical="top"/>
    </xf>
    <xf numFmtId="0" fontId="5" fillId="2" borderId="1" xfId="1" applyFont="1" applyAlignment="1">
      <alignment horizontal="center" vertical="center"/>
    </xf>
    <xf numFmtId="0" fontId="3" fillId="0" borderId="32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5" fillId="2" borderId="34" xfId="1" applyFont="1" applyBorder="1" applyAlignment="1">
      <alignment horizontal="center" vertical="center" textRotation="90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2" borderId="5" xfId="1" applyFont="1" applyBorder="1" applyAlignment="1">
      <alignment horizontal="center"/>
    </xf>
    <xf numFmtId="0" fontId="4" fillId="2" borderId="6" xfId="1" applyFont="1" applyBorder="1" applyAlignment="1">
      <alignment horizontal="center"/>
    </xf>
    <xf numFmtId="0" fontId="5" fillId="2" borderId="1" xfId="1" applyFont="1" applyAlignment="1">
      <alignment horizontal="center"/>
    </xf>
    <xf numFmtId="0" fontId="5" fillId="2" borderId="9" xfId="1" applyFont="1" applyBorder="1" applyAlignment="1">
      <alignment horizontal="center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</cellXfs>
  <cellStyles count="12">
    <cellStyle name="Excel Built-in Explanatory Text" xfId="6" xr:uid="{00000000-0005-0000-0000-000000000000}"/>
    <cellStyle name="Excel Built-in Output" xfId="5" xr:uid="{00000000-0005-0000-0000-000001000000}"/>
    <cellStyle name="Excel Built-in Output 2" xfId="10" xr:uid="{00000000-0005-0000-0000-000002000000}"/>
    <cellStyle name="Hiperlink" xfId="4" builtinId="8"/>
    <cellStyle name="Hiperlink 2" xfId="9" xr:uid="{00000000-0005-0000-0000-000004000000}"/>
    <cellStyle name="Moeda" xfId="3" builtinId="4"/>
    <cellStyle name="Moeda 2" xfId="8" xr:uid="{00000000-0005-0000-0000-000006000000}"/>
    <cellStyle name="Normal" xfId="0" builtinId="0"/>
    <cellStyle name="Normal 2" xfId="7" xr:uid="{00000000-0005-0000-0000-000008000000}"/>
    <cellStyle name="Normal 3" xfId="11" xr:uid="{00000000-0005-0000-0000-000009000000}"/>
    <cellStyle name="Saída" xfId="1" builtinId="21"/>
    <cellStyle name="Texto Explicativo" xfId="2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2042772</xdr:colOff>
      <xdr:row>1</xdr:row>
      <xdr:rowOff>96683</xdr:rowOff>
    </xdr:from>
    <xdr:to>
      <xdr:col>4</xdr:col>
      <xdr:colOff>2991910</xdr:colOff>
      <xdr:row>4</xdr:row>
      <xdr:rowOff>179114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0855" y="308350"/>
          <a:ext cx="949138" cy="717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7"/>
  <sheetViews>
    <sheetView tabSelected="1" topLeftCell="A88" zoomScale="90" zoomScaleNormal="90" workbookViewId="0">
      <selection activeCell="A119" sqref="A1:O123"/>
    </sheetView>
  </sheetViews>
  <sheetFormatPr defaultRowHeight="14.4" x14ac:dyDescent="0.3"/>
  <cols>
    <col min="2" max="3" width="10.6640625" customWidth="1"/>
    <col min="4" max="4" width="12.109375" customWidth="1"/>
    <col min="5" max="5" width="66.5546875" customWidth="1"/>
    <col min="6" max="6" width="6.44140625" customWidth="1"/>
    <col min="8" max="8" width="23.6640625" style="27" bestFit="1" customWidth="1"/>
    <col min="9" max="9" width="12.44140625" bestFit="1" customWidth="1"/>
    <col min="10" max="10" width="19" bestFit="1" customWidth="1"/>
    <col min="11" max="11" width="18.88671875" bestFit="1" customWidth="1"/>
    <col min="12" max="12" width="29.33203125" bestFit="1" customWidth="1"/>
    <col min="13" max="13" width="18" bestFit="1" customWidth="1"/>
    <col min="14" max="14" width="10.6640625" customWidth="1"/>
    <col min="15" max="15" width="4.6640625" customWidth="1"/>
    <col min="16" max="16" width="12.88671875" customWidth="1"/>
  </cols>
  <sheetData>
    <row r="1" spans="1:15" ht="17.100000000000001" customHeight="1" x14ac:dyDescent="0.3">
      <c r="A1" s="156" t="s">
        <v>0</v>
      </c>
      <c r="B1" s="157"/>
      <c r="C1" s="157"/>
      <c r="D1" s="157"/>
      <c r="E1" s="157"/>
      <c r="F1" s="157"/>
      <c r="G1" s="157"/>
      <c r="H1" s="157"/>
      <c r="I1" s="158"/>
      <c r="J1" s="165" t="s">
        <v>1</v>
      </c>
      <c r="K1" s="165"/>
      <c r="L1" s="165"/>
      <c r="M1" s="165"/>
      <c r="N1" s="165"/>
      <c r="O1" s="166"/>
    </row>
    <row r="2" spans="1:15" ht="17.100000000000001" customHeight="1" x14ac:dyDescent="0.3">
      <c r="A2" s="159"/>
      <c r="B2" s="160"/>
      <c r="C2" s="160"/>
      <c r="D2" s="160"/>
      <c r="E2" s="160"/>
      <c r="F2" s="160"/>
      <c r="G2" s="160"/>
      <c r="H2" s="160"/>
      <c r="I2" s="161"/>
      <c r="J2" s="167" t="s">
        <v>2</v>
      </c>
      <c r="K2" s="167"/>
      <c r="L2" s="167"/>
      <c r="M2" s="167"/>
      <c r="N2" s="167"/>
      <c r="O2" s="168"/>
    </row>
    <row r="3" spans="1:15" ht="17.100000000000001" customHeight="1" x14ac:dyDescent="0.3">
      <c r="A3" s="159"/>
      <c r="B3" s="160"/>
      <c r="C3" s="160"/>
      <c r="D3" s="160"/>
      <c r="E3" s="160"/>
      <c r="F3" s="160"/>
      <c r="G3" s="160"/>
      <c r="H3" s="160"/>
      <c r="I3" s="161"/>
      <c r="J3" s="167" t="s">
        <v>3</v>
      </c>
      <c r="K3" s="167"/>
      <c r="L3" s="167"/>
      <c r="M3" s="167" t="s">
        <v>4</v>
      </c>
      <c r="N3" s="167"/>
      <c r="O3" s="1"/>
    </row>
    <row r="4" spans="1:15" ht="17.100000000000001" customHeight="1" x14ac:dyDescent="0.3">
      <c r="A4" s="159"/>
      <c r="B4" s="160"/>
      <c r="C4" s="160"/>
      <c r="D4" s="160"/>
      <c r="E4" s="160"/>
      <c r="F4" s="160"/>
      <c r="G4" s="160"/>
      <c r="H4" s="160"/>
      <c r="I4" s="161"/>
      <c r="J4" s="167" t="s">
        <v>5</v>
      </c>
      <c r="K4" s="167"/>
      <c r="L4" s="167"/>
      <c r="M4" s="167" t="s">
        <v>6</v>
      </c>
      <c r="N4" s="167"/>
      <c r="O4" s="2"/>
    </row>
    <row r="5" spans="1:15" ht="17.100000000000001" customHeight="1" x14ac:dyDescent="0.3">
      <c r="A5" s="159"/>
      <c r="B5" s="160"/>
      <c r="C5" s="160"/>
      <c r="D5" s="160"/>
      <c r="E5" s="160"/>
      <c r="F5" s="160"/>
      <c r="G5" s="160"/>
      <c r="H5" s="160"/>
      <c r="I5" s="161"/>
      <c r="J5" s="167" t="s">
        <v>7</v>
      </c>
      <c r="K5" s="167"/>
      <c r="L5" s="167"/>
      <c r="M5" s="167" t="s">
        <v>8</v>
      </c>
      <c r="N5" s="167"/>
      <c r="O5" s="1"/>
    </row>
    <row r="6" spans="1:15" ht="17.100000000000001" customHeight="1" x14ac:dyDescent="0.3">
      <c r="A6" s="162"/>
      <c r="B6" s="163"/>
      <c r="C6" s="163"/>
      <c r="D6" s="163"/>
      <c r="E6" s="163"/>
      <c r="F6" s="163"/>
      <c r="G6" s="163"/>
      <c r="H6" s="163"/>
      <c r="I6" s="164"/>
      <c r="J6" s="167" t="s">
        <v>9</v>
      </c>
      <c r="K6" s="167"/>
      <c r="L6" s="167"/>
      <c r="M6" s="167" t="s">
        <v>10</v>
      </c>
      <c r="N6" s="167"/>
      <c r="O6" s="1"/>
    </row>
    <row r="7" spans="1:15" ht="17.100000000000001" customHeight="1" x14ac:dyDescent="0.3">
      <c r="A7" s="169" t="s">
        <v>11</v>
      </c>
      <c r="B7" s="170"/>
      <c r="C7" s="170"/>
      <c r="D7" s="170"/>
      <c r="E7" s="170"/>
      <c r="F7" s="170"/>
      <c r="G7" s="170"/>
      <c r="H7" s="170"/>
      <c r="I7" s="171"/>
      <c r="J7" s="172" t="s">
        <v>51</v>
      </c>
      <c r="K7" s="173"/>
      <c r="L7" s="173"/>
      <c r="M7" s="173"/>
      <c r="N7" s="174"/>
      <c r="O7" s="94" t="s">
        <v>12</v>
      </c>
    </row>
    <row r="8" spans="1:15" ht="17.100000000000001" customHeight="1" x14ac:dyDescent="0.3">
      <c r="A8" s="129" t="s">
        <v>123</v>
      </c>
      <c r="B8" s="106"/>
      <c r="C8" s="106"/>
      <c r="D8" s="106"/>
      <c r="E8" s="106"/>
      <c r="F8" s="106"/>
      <c r="G8" s="106"/>
      <c r="H8" s="106"/>
      <c r="I8" s="107"/>
      <c r="J8" s="172" t="s">
        <v>13</v>
      </c>
      <c r="K8" s="173"/>
      <c r="L8" s="173"/>
      <c r="M8" s="173"/>
      <c r="N8" s="174"/>
      <c r="O8" s="94"/>
    </row>
    <row r="9" spans="1:15" ht="17.100000000000001" customHeight="1" x14ac:dyDescent="0.3">
      <c r="A9" s="108"/>
      <c r="B9" s="105"/>
      <c r="C9" s="105"/>
      <c r="D9" s="105"/>
      <c r="E9" s="105"/>
      <c r="F9" s="105"/>
      <c r="G9" s="105"/>
      <c r="H9" s="105"/>
      <c r="I9" s="109"/>
      <c r="J9" s="172" t="s">
        <v>14</v>
      </c>
      <c r="K9" s="173"/>
      <c r="L9" s="173"/>
      <c r="M9" s="173"/>
      <c r="N9" s="174"/>
      <c r="O9" s="94"/>
    </row>
    <row r="10" spans="1:15" ht="17.100000000000001" customHeight="1" x14ac:dyDescent="0.3">
      <c r="A10" s="108"/>
      <c r="B10" s="105"/>
      <c r="C10" s="105"/>
      <c r="D10" s="105"/>
      <c r="E10" s="105"/>
      <c r="F10" s="105"/>
      <c r="G10" s="105"/>
      <c r="H10" s="105"/>
      <c r="I10" s="109"/>
      <c r="J10" s="172" t="s">
        <v>15</v>
      </c>
      <c r="K10" s="173"/>
      <c r="L10" s="173"/>
      <c r="M10" s="173"/>
      <c r="N10" s="174"/>
      <c r="O10" s="94"/>
    </row>
    <row r="11" spans="1:15" ht="17.100000000000001" customHeight="1" x14ac:dyDescent="0.3">
      <c r="A11" s="108"/>
      <c r="B11" s="105"/>
      <c r="C11" s="105"/>
      <c r="D11" s="105"/>
      <c r="E11" s="105"/>
      <c r="F11" s="105"/>
      <c r="G11" s="105"/>
      <c r="H11" s="105"/>
      <c r="I11" s="109"/>
      <c r="J11" s="172" t="s">
        <v>50</v>
      </c>
      <c r="K11" s="173"/>
      <c r="L11" s="173"/>
      <c r="M11" s="173"/>
      <c r="N11" s="174"/>
      <c r="O11" s="94"/>
    </row>
    <row r="12" spans="1:15" ht="17.100000000000001" customHeight="1" x14ac:dyDescent="0.3">
      <c r="A12" s="108"/>
      <c r="B12" s="105"/>
      <c r="C12" s="105"/>
      <c r="D12" s="105"/>
      <c r="E12" s="105"/>
      <c r="F12" s="105"/>
      <c r="G12" s="105"/>
      <c r="H12" s="105"/>
      <c r="I12" s="109"/>
      <c r="J12" s="172" t="s">
        <v>98</v>
      </c>
      <c r="K12" s="173"/>
      <c r="L12" s="173"/>
      <c r="M12" s="173"/>
      <c r="N12" s="174"/>
      <c r="O12" s="94"/>
    </row>
    <row r="13" spans="1:15" ht="17.100000000000001" customHeight="1" x14ac:dyDescent="0.3">
      <c r="A13" s="110"/>
      <c r="B13" s="111"/>
      <c r="C13" s="111"/>
      <c r="D13" s="111"/>
      <c r="E13" s="111"/>
      <c r="F13" s="111"/>
      <c r="G13" s="111"/>
      <c r="H13" s="111"/>
      <c r="I13" s="112"/>
      <c r="J13" s="172" t="s">
        <v>97</v>
      </c>
      <c r="K13" s="173"/>
      <c r="L13" s="173"/>
      <c r="M13" s="173"/>
      <c r="N13" s="174"/>
      <c r="O13" s="94"/>
    </row>
    <row r="14" spans="1:15" ht="17.100000000000001" customHeight="1" x14ac:dyDescent="0.3">
      <c r="A14" s="86" t="s">
        <v>16</v>
      </c>
      <c r="B14" s="90" t="s">
        <v>17</v>
      </c>
      <c r="C14" s="90" t="s">
        <v>18</v>
      </c>
      <c r="D14" s="90" t="s">
        <v>19</v>
      </c>
      <c r="E14" s="90" t="s">
        <v>20</v>
      </c>
      <c r="F14" s="90" t="s">
        <v>21</v>
      </c>
      <c r="G14" s="90" t="s">
        <v>22</v>
      </c>
      <c r="H14" s="88" t="s">
        <v>23</v>
      </c>
      <c r="I14" s="88"/>
      <c r="J14" s="88"/>
      <c r="K14" s="88"/>
      <c r="L14" s="89"/>
      <c r="M14" s="90" t="s">
        <v>24</v>
      </c>
      <c r="N14" s="90" t="s">
        <v>25</v>
      </c>
      <c r="O14" s="94" t="s">
        <v>26</v>
      </c>
    </row>
    <row r="15" spans="1:15" ht="17.100000000000001" customHeight="1" x14ac:dyDescent="0.3">
      <c r="A15" s="87"/>
      <c r="B15" s="91"/>
      <c r="C15" s="91"/>
      <c r="D15" s="91"/>
      <c r="E15" s="91"/>
      <c r="F15" s="91"/>
      <c r="G15" s="91"/>
      <c r="H15" s="4" t="s">
        <v>27</v>
      </c>
      <c r="I15" s="4" t="s">
        <v>28</v>
      </c>
      <c r="J15" s="3" t="s">
        <v>29</v>
      </c>
      <c r="K15" s="4" t="s">
        <v>52</v>
      </c>
      <c r="L15" s="3" t="s">
        <v>30</v>
      </c>
      <c r="M15" s="91"/>
      <c r="N15" s="91"/>
      <c r="O15" s="94"/>
    </row>
    <row r="16" spans="1:15" ht="17.100000000000001" customHeight="1" x14ac:dyDescent="0.3">
      <c r="A16" s="5">
        <v>1</v>
      </c>
      <c r="B16" s="6"/>
      <c r="C16" s="7"/>
      <c r="D16" s="7"/>
      <c r="E16" s="8" t="s">
        <v>31</v>
      </c>
      <c r="F16" s="9"/>
      <c r="G16" s="9"/>
      <c r="H16" s="56"/>
      <c r="I16" s="9"/>
      <c r="J16" s="9"/>
      <c r="K16" s="9"/>
      <c r="L16" s="9"/>
      <c r="M16" s="21">
        <f>SUM(M17:M30)</f>
        <v>77779.591712222405</v>
      </c>
      <c r="N16" s="10">
        <f>SUM(N17:N30)</f>
        <v>1</v>
      </c>
      <c r="O16" s="94"/>
    </row>
    <row r="17" spans="1:15" ht="26.25" customHeight="1" x14ac:dyDescent="0.3">
      <c r="A17" s="17" t="s">
        <v>32</v>
      </c>
      <c r="B17" s="17" t="s">
        <v>33</v>
      </c>
      <c r="C17" s="11">
        <v>90776</v>
      </c>
      <c r="D17" s="11" t="s">
        <v>34</v>
      </c>
      <c r="E17" s="20" t="s">
        <v>62</v>
      </c>
      <c r="F17" s="13" t="s">
        <v>35</v>
      </c>
      <c r="G17" s="17">
        <v>180</v>
      </c>
      <c r="H17" s="65">
        <v>47.89</v>
      </c>
      <c r="I17" s="14">
        <f>H17*0.2232</f>
        <v>10.689048000000001</v>
      </c>
      <c r="J17" s="14">
        <f>H17+I17</f>
        <v>58.579048</v>
      </c>
      <c r="K17" s="14">
        <f>J17*(0.03%)</f>
        <v>1.7573714399999999E-2</v>
      </c>
      <c r="L17" s="14">
        <f>J17-K17</f>
        <v>58.561474285599999</v>
      </c>
      <c r="M17" s="14">
        <f>L17*G17</f>
        <v>10541.065371408</v>
      </c>
      <c r="N17" s="14">
        <f>M17/M$16</f>
        <v>0.1355248226348244</v>
      </c>
      <c r="O17" s="95"/>
    </row>
    <row r="18" spans="1:15" ht="26.25" customHeight="1" x14ac:dyDescent="0.3">
      <c r="A18" s="17" t="s">
        <v>65</v>
      </c>
      <c r="B18" s="17" t="s">
        <v>33</v>
      </c>
      <c r="C18" s="11">
        <v>88267</v>
      </c>
      <c r="D18" s="11" t="s">
        <v>34</v>
      </c>
      <c r="E18" s="20" t="s">
        <v>55</v>
      </c>
      <c r="F18" s="13" t="s">
        <v>35</v>
      </c>
      <c r="G18" s="17">
        <v>180</v>
      </c>
      <c r="H18" s="65">
        <v>36.11</v>
      </c>
      <c r="I18" s="14">
        <f t="shared" ref="I18:I30" si="0">H18*0.2232</f>
        <v>8.0597519999999996</v>
      </c>
      <c r="J18" s="14">
        <f t="shared" ref="J18:J30" si="1">H18+I18</f>
        <v>44.169752000000003</v>
      </c>
      <c r="K18" s="14">
        <f t="shared" ref="K18:K30" si="2">J18*(0.03%)</f>
        <v>1.32509256E-2</v>
      </c>
      <c r="L18" s="14">
        <f t="shared" ref="L18:L30" si="3">J18-K18</f>
        <v>44.156501074400005</v>
      </c>
      <c r="M18" s="14">
        <f t="shared" ref="M18:M30" si="4">L18*G18</f>
        <v>7948.1701933920012</v>
      </c>
      <c r="N18" s="14">
        <f t="shared" ref="N18:N30" si="5">M18/M$16</f>
        <v>0.10218837639055148</v>
      </c>
      <c r="O18" s="95"/>
    </row>
    <row r="19" spans="1:15" ht="26.25" customHeight="1" x14ac:dyDescent="0.3">
      <c r="A19" s="17" t="s">
        <v>66</v>
      </c>
      <c r="B19" s="17" t="s">
        <v>33</v>
      </c>
      <c r="C19" s="11" t="s">
        <v>54</v>
      </c>
      <c r="D19" s="11" t="s">
        <v>34</v>
      </c>
      <c r="E19" s="20" t="s">
        <v>55</v>
      </c>
      <c r="F19" s="13" t="s">
        <v>35</v>
      </c>
      <c r="G19" s="17">
        <v>180</v>
      </c>
      <c r="H19" s="65">
        <v>36.11</v>
      </c>
      <c r="I19" s="14">
        <f t="shared" si="0"/>
        <v>8.0597519999999996</v>
      </c>
      <c r="J19" s="14">
        <f t="shared" si="1"/>
        <v>44.169752000000003</v>
      </c>
      <c r="K19" s="14">
        <f t="shared" si="2"/>
        <v>1.32509256E-2</v>
      </c>
      <c r="L19" s="14">
        <f t="shared" si="3"/>
        <v>44.156501074400005</v>
      </c>
      <c r="M19" s="14">
        <f t="shared" si="4"/>
        <v>7948.1701933920012</v>
      </c>
      <c r="N19" s="14">
        <f t="shared" si="5"/>
        <v>0.10218837639055148</v>
      </c>
      <c r="O19" s="95"/>
    </row>
    <row r="20" spans="1:15" ht="26.25" customHeight="1" x14ac:dyDescent="0.3">
      <c r="A20" s="17" t="s">
        <v>67</v>
      </c>
      <c r="B20" s="17" t="s">
        <v>33</v>
      </c>
      <c r="C20" s="11">
        <v>88248</v>
      </c>
      <c r="D20" s="11" t="s">
        <v>34</v>
      </c>
      <c r="E20" s="20" t="s">
        <v>57</v>
      </c>
      <c r="F20" s="13" t="s">
        <v>35</v>
      </c>
      <c r="G20" s="17">
        <v>180</v>
      </c>
      <c r="H20" s="65">
        <v>29.77</v>
      </c>
      <c r="I20" s="14">
        <f t="shared" si="0"/>
        <v>6.6446640000000006</v>
      </c>
      <c r="J20" s="14">
        <f t="shared" si="1"/>
        <v>36.414664000000002</v>
      </c>
      <c r="K20" s="14">
        <f t="shared" si="2"/>
        <v>1.0924399199999999E-2</v>
      </c>
      <c r="L20" s="14">
        <f t="shared" si="3"/>
        <v>36.403739600800002</v>
      </c>
      <c r="M20" s="14">
        <f t="shared" si="4"/>
        <v>6552.6731281440007</v>
      </c>
      <c r="N20" s="14">
        <f t="shared" si="5"/>
        <v>8.4246689702207625E-2</v>
      </c>
      <c r="O20" s="95"/>
    </row>
    <row r="21" spans="1:15" ht="26.25" customHeight="1" x14ac:dyDescent="0.3">
      <c r="A21" s="17" t="s">
        <v>68</v>
      </c>
      <c r="B21" s="17" t="s">
        <v>33</v>
      </c>
      <c r="C21" s="11" t="s">
        <v>56</v>
      </c>
      <c r="D21" s="11" t="s">
        <v>34</v>
      </c>
      <c r="E21" s="20" t="s">
        <v>57</v>
      </c>
      <c r="F21" s="13" t="s">
        <v>35</v>
      </c>
      <c r="G21" s="17">
        <v>180</v>
      </c>
      <c r="H21" s="65">
        <v>29.77</v>
      </c>
      <c r="I21" s="14">
        <f t="shared" si="0"/>
        <v>6.6446640000000006</v>
      </c>
      <c r="J21" s="14">
        <f t="shared" si="1"/>
        <v>36.414664000000002</v>
      </c>
      <c r="K21" s="14">
        <f t="shared" si="2"/>
        <v>1.0924399199999999E-2</v>
      </c>
      <c r="L21" s="14">
        <f t="shared" si="3"/>
        <v>36.403739600800002</v>
      </c>
      <c r="M21" s="14">
        <f t="shared" si="4"/>
        <v>6552.6731281440007</v>
      </c>
      <c r="N21" s="14">
        <f t="shared" si="5"/>
        <v>8.4246689702207625E-2</v>
      </c>
      <c r="O21" s="95"/>
    </row>
    <row r="22" spans="1:15" ht="26.25" customHeight="1" x14ac:dyDescent="0.3">
      <c r="A22" s="17" t="s">
        <v>69</v>
      </c>
      <c r="B22" s="17" t="s">
        <v>33</v>
      </c>
      <c r="C22" s="11">
        <v>88309</v>
      </c>
      <c r="D22" s="11" t="s">
        <v>34</v>
      </c>
      <c r="E22" s="20" t="s">
        <v>59</v>
      </c>
      <c r="F22" s="13" t="s">
        <v>35</v>
      </c>
      <c r="G22" s="17">
        <v>180</v>
      </c>
      <c r="H22" s="65">
        <v>32.57</v>
      </c>
      <c r="I22" s="14">
        <f t="shared" si="0"/>
        <v>7.2696240000000003</v>
      </c>
      <c r="J22" s="14">
        <f t="shared" si="1"/>
        <v>39.839624000000001</v>
      </c>
      <c r="K22" s="14">
        <f t="shared" si="2"/>
        <v>1.1951887199999999E-2</v>
      </c>
      <c r="L22" s="14">
        <f t="shared" si="3"/>
        <v>39.827672112800002</v>
      </c>
      <c r="M22" s="14">
        <f t="shared" si="4"/>
        <v>7168.9809803040007</v>
      </c>
      <c r="N22" s="14">
        <f t="shared" si="5"/>
        <v>9.2170463003053482E-2</v>
      </c>
      <c r="O22" s="95"/>
    </row>
    <row r="23" spans="1:15" ht="26.25" customHeight="1" x14ac:dyDescent="0.3">
      <c r="A23" s="17" t="s">
        <v>70</v>
      </c>
      <c r="B23" s="17" t="s">
        <v>33</v>
      </c>
      <c r="C23" s="11" t="s">
        <v>58</v>
      </c>
      <c r="D23" s="11" t="s">
        <v>34</v>
      </c>
      <c r="E23" s="20" t="s">
        <v>59</v>
      </c>
      <c r="F23" s="13" t="s">
        <v>35</v>
      </c>
      <c r="G23" s="17">
        <v>180</v>
      </c>
      <c r="H23" s="65">
        <v>32.57</v>
      </c>
      <c r="I23" s="14">
        <f t="shared" si="0"/>
        <v>7.2696240000000003</v>
      </c>
      <c r="J23" s="14">
        <f t="shared" si="1"/>
        <v>39.839624000000001</v>
      </c>
      <c r="K23" s="14">
        <f t="shared" si="2"/>
        <v>1.1951887199999999E-2</v>
      </c>
      <c r="L23" s="14">
        <f t="shared" si="3"/>
        <v>39.827672112800002</v>
      </c>
      <c r="M23" s="14">
        <f t="shared" si="4"/>
        <v>7168.9809803040007</v>
      </c>
      <c r="N23" s="14">
        <f t="shared" si="5"/>
        <v>9.2170463003053482E-2</v>
      </c>
      <c r="O23" s="95"/>
    </row>
    <row r="24" spans="1:15" ht="26.25" customHeight="1" x14ac:dyDescent="0.3">
      <c r="A24" s="17" t="s">
        <v>71</v>
      </c>
      <c r="B24" s="17" t="s">
        <v>33</v>
      </c>
      <c r="C24" s="11">
        <v>88242</v>
      </c>
      <c r="D24" s="11" t="s">
        <v>34</v>
      </c>
      <c r="E24" s="20" t="s">
        <v>61</v>
      </c>
      <c r="F24" s="13" t="s">
        <v>35</v>
      </c>
      <c r="G24" s="17">
        <v>180</v>
      </c>
      <c r="H24" s="65">
        <v>30.38</v>
      </c>
      <c r="I24" s="14">
        <f t="shared" si="0"/>
        <v>6.7808159999999997</v>
      </c>
      <c r="J24" s="14">
        <f t="shared" si="1"/>
        <v>37.160815999999997</v>
      </c>
      <c r="K24" s="14">
        <f t="shared" si="2"/>
        <v>1.1148244799999998E-2</v>
      </c>
      <c r="L24" s="14">
        <f t="shared" si="3"/>
        <v>37.149667755199999</v>
      </c>
      <c r="M24" s="14">
        <f t="shared" si="4"/>
        <v>6686.9401959360002</v>
      </c>
      <c r="N24" s="14">
        <f t="shared" si="5"/>
        <v>8.5972940314177612E-2</v>
      </c>
      <c r="O24" s="95"/>
    </row>
    <row r="25" spans="1:15" ht="26.25" customHeight="1" x14ac:dyDescent="0.3">
      <c r="A25" s="79" t="s">
        <v>189</v>
      </c>
      <c r="B25" s="80"/>
      <c r="C25" s="80"/>
      <c r="D25" s="81"/>
      <c r="E25" s="76" t="s">
        <v>61</v>
      </c>
      <c r="F25" s="77" t="s">
        <v>35</v>
      </c>
      <c r="G25" s="68">
        <v>-36</v>
      </c>
      <c r="H25" s="66">
        <v>30.38</v>
      </c>
      <c r="I25" s="78">
        <f t="shared" ref="I25" si="6">H25*0.2232</f>
        <v>6.7808159999999997</v>
      </c>
      <c r="J25" s="78">
        <f t="shared" ref="J25" si="7">H25+I25</f>
        <v>37.160815999999997</v>
      </c>
      <c r="K25" s="78">
        <f t="shared" ref="K25" si="8">J25*(0.03%)</f>
        <v>1.1148244799999998E-2</v>
      </c>
      <c r="L25" s="78">
        <f t="shared" ref="L25" si="9">J25-K25</f>
        <v>37.149667755199999</v>
      </c>
      <c r="M25" s="78">
        <f t="shared" ref="M25" si="10">L25*G25</f>
        <v>-1337.3880391871999</v>
      </c>
      <c r="N25" s="78">
        <f t="shared" ref="N25" si="11">M25/M$16</f>
        <v>-1.7194588062835518E-2</v>
      </c>
      <c r="O25" s="95"/>
    </row>
    <row r="26" spans="1:15" ht="26.25" customHeight="1" x14ac:dyDescent="0.3">
      <c r="A26" s="17" t="s">
        <v>72</v>
      </c>
      <c r="B26" s="17" t="s">
        <v>33</v>
      </c>
      <c r="C26" s="11" t="s">
        <v>60</v>
      </c>
      <c r="D26" s="11" t="s">
        <v>34</v>
      </c>
      <c r="E26" s="20" t="s">
        <v>61</v>
      </c>
      <c r="F26" s="13" t="s">
        <v>35</v>
      </c>
      <c r="G26" s="17">
        <v>180</v>
      </c>
      <c r="H26" s="65">
        <v>30.38</v>
      </c>
      <c r="I26" s="14">
        <f t="shared" si="0"/>
        <v>6.7808159999999997</v>
      </c>
      <c r="J26" s="14">
        <f t="shared" si="1"/>
        <v>37.160815999999997</v>
      </c>
      <c r="K26" s="14">
        <f t="shared" si="2"/>
        <v>1.1148244799999998E-2</v>
      </c>
      <c r="L26" s="14">
        <f t="shared" si="3"/>
        <v>37.149667755199999</v>
      </c>
      <c r="M26" s="14">
        <f t="shared" si="4"/>
        <v>6686.9401959360002</v>
      </c>
      <c r="N26" s="14">
        <f t="shared" si="5"/>
        <v>8.5972940314177612E-2</v>
      </c>
      <c r="O26" s="95"/>
    </row>
    <row r="27" spans="1:15" ht="26.25" customHeight="1" x14ac:dyDescent="0.3">
      <c r="A27" s="79" t="s">
        <v>189</v>
      </c>
      <c r="B27" s="80"/>
      <c r="C27" s="80"/>
      <c r="D27" s="81"/>
      <c r="E27" s="76" t="s">
        <v>61</v>
      </c>
      <c r="F27" s="77" t="s">
        <v>35</v>
      </c>
      <c r="G27" s="68">
        <v>-27</v>
      </c>
      <c r="H27" s="66">
        <v>30.38</v>
      </c>
      <c r="I27" s="78">
        <f t="shared" si="0"/>
        <v>6.7808159999999997</v>
      </c>
      <c r="J27" s="78">
        <f t="shared" si="1"/>
        <v>37.160815999999997</v>
      </c>
      <c r="K27" s="78">
        <f t="shared" si="2"/>
        <v>1.1148244799999998E-2</v>
      </c>
      <c r="L27" s="78">
        <f t="shared" si="3"/>
        <v>37.149667755199999</v>
      </c>
      <c r="M27" s="78">
        <f t="shared" si="4"/>
        <v>-1003.0410293904</v>
      </c>
      <c r="N27" s="78">
        <f t="shared" si="5"/>
        <v>-1.289594104712664E-2</v>
      </c>
      <c r="O27" s="95"/>
    </row>
    <row r="28" spans="1:15" ht="26.25" customHeight="1" x14ac:dyDescent="0.3">
      <c r="A28" s="17" t="s">
        <v>73</v>
      </c>
      <c r="B28" s="17" t="s">
        <v>33</v>
      </c>
      <c r="C28" s="11" t="s">
        <v>60</v>
      </c>
      <c r="D28" s="11" t="s">
        <v>34</v>
      </c>
      <c r="E28" s="20" t="s">
        <v>61</v>
      </c>
      <c r="F28" s="13" t="s">
        <v>35</v>
      </c>
      <c r="G28" s="17">
        <v>180</v>
      </c>
      <c r="H28" s="65">
        <v>30.38</v>
      </c>
      <c r="I28" s="14">
        <f t="shared" si="0"/>
        <v>6.7808159999999997</v>
      </c>
      <c r="J28" s="14">
        <f t="shared" si="1"/>
        <v>37.160815999999997</v>
      </c>
      <c r="K28" s="14">
        <f t="shared" si="2"/>
        <v>1.1148244799999998E-2</v>
      </c>
      <c r="L28" s="14">
        <f t="shared" si="3"/>
        <v>37.149667755199999</v>
      </c>
      <c r="M28" s="14">
        <f t="shared" si="4"/>
        <v>6686.9401959360002</v>
      </c>
      <c r="N28" s="14">
        <f t="shared" si="5"/>
        <v>8.5972940314177612E-2</v>
      </c>
      <c r="O28" s="95"/>
    </row>
    <row r="29" spans="1:15" ht="26.25" customHeight="1" x14ac:dyDescent="0.3">
      <c r="A29" s="17" t="s">
        <v>74</v>
      </c>
      <c r="B29" s="17" t="s">
        <v>33</v>
      </c>
      <c r="C29" s="11">
        <v>88241</v>
      </c>
      <c r="D29" s="11" t="s">
        <v>34</v>
      </c>
      <c r="E29" s="12" t="s">
        <v>64</v>
      </c>
      <c r="F29" s="13" t="s">
        <v>35</v>
      </c>
      <c r="G29" s="17">
        <v>180</v>
      </c>
      <c r="H29" s="65">
        <v>28.07</v>
      </c>
      <c r="I29" s="14">
        <f t="shared" si="0"/>
        <v>6.2652239999999999</v>
      </c>
      <c r="J29" s="14">
        <f t="shared" si="1"/>
        <v>34.335223999999997</v>
      </c>
      <c r="K29" s="14">
        <f t="shared" si="2"/>
        <v>1.0300567199999998E-2</v>
      </c>
      <c r="L29" s="14">
        <f t="shared" si="3"/>
        <v>34.324923432799999</v>
      </c>
      <c r="M29" s="14">
        <f t="shared" si="4"/>
        <v>6178.4862179040001</v>
      </c>
      <c r="N29" s="14">
        <f t="shared" si="5"/>
        <v>7.9435827340979773E-2</v>
      </c>
      <c r="O29" s="95"/>
    </row>
    <row r="30" spans="1:15" ht="26.25" customHeight="1" x14ac:dyDescent="0.3">
      <c r="A30" s="17" t="s">
        <v>75</v>
      </c>
      <c r="B30" s="17" t="s">
        <v>33</v>
      </c>
      <c r="C30" s="11" t="s">
        <v>63</v>
      </c>
      <c r="D30" s="11" t="s">
        <v>34</v>
      </c>
      <c r="E30" s="12" t="s">
        <v>64</v>
      </c>
      <c r="F30" s="13" t="s">
        <v>35</v>
      </c>
      <c r="G30" s="17">
        <v>0</v>
      </c>
      <c r="H30" s="65">
        <v>28.07</v>
      </c>
      <c r="I30" s="14">
        <f t="shared" si="0"/>
        <v>6.2652239999999999</v>
      </c>
      <c r="J30" s="14">
        <f t="shared" si="1"/>
        <v>34.335223999999997</v>
      </c>
      <c r="K30" s="14">
        <f t="shared" si="2"/>
        <v>1.0300567199999998E-2</v>
      </c>
      <c r="L30" s="14">
        <f t="shared" si="3"/>
        <v>34.324923432799999</v>
      </c>
      <c r="M30" s="14">
        <f t="shared" si="4"/>
        <v>0</v>
      </c>
      <c r="N30" s="14">
        <f t="shared" si="5"/>
        <v>0</v>
      </c>
      <c r="O30" s="95"/>
    </row>
    <row r="31" spans="1:15" x14ac:dyDescent="0.3">
      <c r="A31" s="86" t="s">
        <v>16</v>
      </c>
      <c r="B31" s="90" t="s">
        <v>17</v>
      </c>
      <c r="C31" s="90" t="s">
        <v>18</v>
      </c>
      <c r="D31" s="90" t="s">
        <v>19</v>
      </c>
      <c r="E31" s="90" t="s">
        <v>20</v>
      </c>
      <c r="F31" s="90" t="s">
        <v>21</v>
      </c>
      <c r="G31" s="90" t="s">
        <v>22</v>
      </c>
      <c r="H31" s="88" t="s">
        <v>23</v>
      </c>
      <c r="I31" s="88"/>
      <c r="J31" s="88"/>
      <c r="K31" s="88"/>
      <c r="L31" s="89"/>
      <c r="M31" s="90" t="s">
        <v>24</v>
      </c>
      <c r="N31" s="90" t="s">
        <v>25</v>
      </c>
      <c r="O31" s="95"/>
    </row>
    <row r="32" spans="1:15" ht="17.100000000000001" customHeight="1" x14ac:dyDescent="0.3">
      <c r="A32" s="87"/>
      <c r="B32" s="91"/>
      <c r="C32" s="91"/>
      <c r="D32" s="91"/>
      <c r="E32" s="91"/>
      <c r="F32" s="91"/>
      <c r="G32" s="91"/>
      <c r="H32" s="4" t="s">
        <v>27</v>
      </c>
      <c r="I32" s="25" t="s">
        <v>36</v>
      </c>
      <c r="J32" s="3" t="s">
        <v>29</v>
      </c>
      <c r="K32" s="4" t="s">
        <v>52</v>
      </c>
      <c r="L32" s="3" t="s">
        <v>30</v>
      </c>
      <c r="M32" s="91"/>
      <c r="N32" s="91"/>
      <c r="O32" s="94"/>
    </row>
    <row r="33" spans="1:15" ht="17.100000000000001" customHeight="1" x14ac:dyDescent="0.3">
      <c r="A33" s="15">
        <v>2</v>
      </c>
      <c r="B33" s="92" t="s">
        <v>37</v>
      </c>
      <c r="C33" s="92"/>
      <c r="D33" s="93"/>
      <c r="E33" s="93"/>
      <c r="F33" s="93"/>
      <c r="G33" s="16"/>
      <c r="H33" s="57"/>
      <c r="I33" s="16"/>
      <c r="J33" s="16"/>
      <c r="K33" s="16"/>
      <c r="L33" s="16"/>
      <c r="M33" s="22">
        <f>SUM(M34:M65)</f>
        <v>22339.521388423207</v>
      </c>
      <c r="N33" s="16"/>
      <c r="O33" s="95"/>
    </row>
    <row r="34" spans="1:15" s="42" customFormat="1" ht="15" customHeight="1" x14ac:dyDescent="0.3">
      <c r="A34" s="18" t="s">
        <v>88</v>
      </c>
      <c r="B34" s="18" t="s">
        <v>81</v>
      </c>
      <c r="C34" s="11">
        <v>779</v>
      </c>
      <c r="D34" s="18" t="s">
        <v>34</v>
      </c>
      <c r="E34" s="43" t="s">
        <v>117</v>
      </c>
      <c r="F34" s="18" t="s">
        <v>21</v>
      </c>
      <c r="G34" s="18">
        <v>20</v>
      </c>
      <c r="H34" s="73">
        <v>7.71</v>
      </c>
      <c r="I34" s="14">
        <f t="shared" ref="I34:I60" si="12">H34*0.1532</f>
        <v>1.1811720000000001</v>
      </c>
      <c r="J34" s="14">
        <f t="shared" ref="J34" si="13">H34+I34</f>
        <v>8.891172000000001</v>
      </c>
      <c r="K34" s="14">
        <f t="shared" ref="K34:K60" si="14">J34*(0.03%)</f>
        <v>2.6673515999999999E-3</v>
      </c>
      <c r="L34" s="14">
        <f t="shared" ref="L34" si="15">J34-K34</f>
        <v>8.8885046484000014</v>
      </c>
      <c r="M34" s="14">
        <f t="shared" ref="M34" si="16">L34*G34</f>
        <v>177.77009296800003</v>
      </c>
      <c r="N34" s="14">
        <f t="shared" ref="N34:N60" si="17">M34/M33</f>
        <v>7.9576500264738927E-3</v>
      </c>
      <c r="O34" s="95"/>
    </row>
    <row r="35" spans="1:15" s="42" customFormat="1" ht="15" customHeight="1" x14ac:dyDescent="0.3">
      <c r="A35" s="18" t="s">
        <v>103</v>
      </c>
      <c r="B35" s="18" t="s">
        <v>81</v>
      </c>
      <c r="C35" s="18">
        <v>4177</v>
      </c>
      <c r="D35" s="18" t="s">
        <v>34</v>
      </c>
      <c r="E35" s="43" t="s">
        <v>119</v>
      </c>
      <c r="F35" s="18" t="s">
        <v>21</v>
      </c>
      <c r="G35" s="18">
        <v>10</v>
      </c>
      <c r="H35" s="65">
        <v>6.3</v>
      </c>
      <c r="I35" s="14">
        <f t="shared" si="12"/>
        <v>0.96516000000000002</v>
      </c>
      <c r="J35" s="14">
        <f t="shared" ref="J35:J60" si="18">H35+I35</f>
        <v>7.2651599999999998</v>
      </c>
      <c r="K35" s="14">
        <f t="shared" si="14"/>
        <v>2.1795479999999999E-3</v>
      </c>
      <c r="L35" s="14">
        <f t="shared" ref="L35:L60" si="19">J35-K35</f>
        <v>7.2629804519999999</v>
      </c>
      <c r="M35" s="14">
        <f t="shared" ref="M35:M60" si="20">L35*G35</f>
        <v>72.629804519999993</v>
      </c>
      <c r="N35" s="14">
        <f t="shared" si="17"/>
        <v>0.40856031128404657</v>
      </c>
      <c r="O35" s="95"/>
    </row>
    <row r="36" spans="1:15" s="42" customFormat="1" ht="15" customHeight="1" x14ac:dyDescent="0.3">
      <c r="A36" s="18" t="s">
        <v>89</v>
      </c>
      <c r="B36" s="18" t="s">
        <v>81</v>
      </c>
      <c r="C36" s="11">
        <v>377</v>
      </c>
      <c r="D36" s="18" t="s">
        <v>34</v>
      </c>
      <c r="E36" s="49" t="s">
        <v>120</v>
      </c>
      <c r="F36" s="18" t="s">
        <v>21</v>
      </c>
      <c r="G36" s="18">
        <v>35</v>
      </c>
      <c r="H36" s="74">
        <v>42.5</v>
      </c>
      <c r="I36" s="14">
        <f t="shared" si="12"/>
        <v>6.5110000000000001</v>
      </c>
      <c r="J36" s="14">
        <f t="shared" si="18"/>
        <v>49.011000000000003</v>
      </c>
      <c r="K36" s="14">
        <f t="shared" si="14"/>
        <v>1.4703299999999999E-2</v>
      </c>
      <c r="L36" s="14">
        <f t="shared" si="19"/>
        <v>48.996296700000002</v>
      </c>
      <c r="M36" s="14">
        <f t="shared" si="20"/>
        <v>1714.8703845</v>
      </c>
      <c r="N36" s="14">
        <f t="shared" si="17"/>
        <v>23.611111111111114</v>
      </c>
      <c r="O36" s="95"/>
    </row>
    <row r="37" spans="1:15" s="19" customFormat="1" ht="15" customHeight="1" x14ac:dyDescent="0.2">
      <c r="A37" s="18" t="s">
        <v>101</v>
      </c>
      <c r="B37" s="18" t="s">
        <v>81</v>
      </c>
      <c r="C37" s="18">
        <v>21112</v>
      </c>
      <c r="D37" s="18" t="s">
        <v>34</v>
      </c>
      <c r="E37" s="24" t="s">
        <v>138</v>
      </c>
      <c r="F37" s="18" t="s">
        <v>21</v>
      </c>
      <c r="G37" s="18">
        <v>10</v>
      </c>
      <c r="H37" s="75">
        <v>270.73</v>
      </c>
      <c r="I37" s="14">
        <f t="shared" si="12"/>
        <v>41.475836000000001</v>
      </c>
      <c r="J37" s="14">
        <f t="shared" si="18"/>
        <v>312.20583600000003</v>
      </c>
      <c r="K37" s="14">
        <f t="shared" si="14"/>
        <v>9.3661750799999999E-2</v>
      </c>
      <c r="L37" s="14">
        <f t="shared" si="19"/>
        <v>312.11217424920005</v>
      </c>
      <c r="M37" s="14">
        <f t="shared" si="20"/>
        <v>3121.1217424920005</v>
      </c>
      <c r="N37" s="14">
        <f t="shared" si="17"/>
        <v>1.8200336134453785</v>
      </c>
      <c r="O37" s="95"/>
    </row>
    <row r="38" spans="1:15" s="42" customFormat="1" ht="15" customHeight="1" x14ac:dyDescent="0.3">
      <c r="A38" s="18" t="s">
        <v>82</v>
      </c>
      <c r="B38" s="18" t="s">
        <v>81</v>
      </c>
      <c r="C38" s="18">
        <v>11772</v>
      </c>
      <c r="D38" s="18" t="s">
        <v>34</v>
      </c>
      <c r="E38" s="49" t="s">
        <v>139</v>
      </c>
      <c r="F38" s="18" t="s">
        <v>21</v>
      </c>
      <c r="G38" s="18">
        <v>9</v>
      </c>
      <c r="H38" s="75">
        <v>109.27</v>
      </c>
      <c r="I38" s="14">
        <f t="shared" si="12"/>
        <v>16.740164</v>
      </c>
      <c r="J38" s="14">
        <f t="shared" si="18"/>
        <v>126.010164</v>
      </c>
      <c r="K38" s="14">
        <f t="shared" si="14"/>
        <v>3.7803049200000001E-2</v>
      </c>
      <c r="L38" s="14">
        <f t="shared" si="19"/>
        <v>125.97236095080001</v>
      </c>
      <c r="M38" s="14">
        <f t="shared" si="20"/>
        <v>1133.7512485572001</v>
      </c>
      <c r="N38" s="14">
        <f t="shared" si="17"/>
        <v>0.36325120969231334</v>
      </c>
      <c r="O38" s="95"/>
    </row>
    <row r="39" spans="1:15" s="42" customFormat="1" ht="15" customHeight="1" x14ac:dyDescent="0.3">
      <c r="A39" s="18" t="s">
        <v>100</v>
      </c>
      <c r="B39" s="18" t="s">
        <v>81</v>
      </c>
      <c r="C39" s="18">
        <v>36791</v>
      </c>
      <c r="D39" s="18" t="s">
        <v>34</v>
      </c>
      <c r="E39" s="43" t="s">
        <v>140</v>
      </c>
      <c r="F39" s="18" t="s">
        <v>21</v>
      </c>
      <c r="G39" s="18">
        <v>20</v>
      </c>
      <c r="H39" s="75">
        <v>122.95</v>
      </c>
      <c r="I39" s="14">
        <f t="shared" si="12"/>
        <v>18.835940000000001</v>
      </c>
      <c r="J39" s="14">
        <f t="shared" si="18"/>
        <v>141.78594000000001</v>
      </c>
      <c r="K39" s="14">
        <f t="shared" si="14"/>
        <v>4.2535782000000001E-2</v>
      </c>
      <c r="L39" s="14">
        <f t="shared" si="19"/>
        <v>141.74340421800002</v>
      </c>
      <c r="M39" s="14">
        <f t="shared" si="20"/>
        <v>2834.8680843600005</v>
      </c>
      <c r="N39" s="14">
        <f t="shared" si="17"/>
        <v>2.5004321609062159</v>
      </c>
      <c r="O39" s="95"/>
    </row>
    <row r="40" spans="1:15" s="42" customFormat="1" ht="15" customHeight="1" x14ac:dyDescent="0.3">
      <c r="A40" s="18" t="s">
        <v>90</v>
      </c>
      <c r="B40" s="18" t="s">
        <v>81</v>
      </c>
      <c r="C40" s="18">
        <v>11684</v>
      </c>
      <c r="D40" s="18" t="s">
        <v>34</v>
      </c>
      <c r="E40" s="43" t="s">
        <v>141</v>
      </c>
      <c r="F40" s="18" t="s">
        <v>21</v>
      </c>
      <c r="G40" s="18">
        <v>10</v>
      </c>
      <c r="H40" s="75">
        <v>45.54</v>
      </c>
      <c r="I40" s="14">
        <f t="shared" si="12"/>
        <v>6.9767279999999996</v>
      </c>
      <c r="J40" s="14">
        <f t="shared" si="18"/>
        <v>52.516728000000001</v>
      </c>
      <c r="K40" s="14">
        <f t="shared" si="14"/>
        <v>1.5755018399999998E-2</v>
      </c>
      <c r="L40" s="14">
        <f t="shared" si="19"/>
        <v>52.5009729816</v>
      </c>
      <c r="M40" s="14">
        <f t="shared" si="20"/>
        <v>525.009729816</v>
      </c>
      <c r="N40" s="14">
        <f t="shared" si="17"/>
        <v>0.18519723464823096</v>
      </c>
      <c r="O40" s="95"/>
    </row>
    <row r="41" spans="1:15" s="42" customFormat="1" ht="17.25" customHeight="1" x14ac:dyDescent="0.3">
      <c r="A41" s="18" t="s">
        <v>104</v>
      </c>
      <c r="B41" s="18" t="s">
        <v>81</v>
      </c>
      <c r="C41" s="18">
        <v>11684</v>
      </c>
      <c r="D41" s="18" t="s">
        <v>34</v>
      </c>
      <c r="E41" s="43" t="s">
        <v>148</v>
      </c>
      <c r="F41" s="18" t="s">
        <v>21</v>
      </c>
      <c r="G41" s="18">
        <v>20</v>
      </c>
      <c r="H41" s="75">
        <v>45.54</v>
      </c>
      <c r="I41" s="14">
        <f t="shared" si="12"/>
        <v>6.9767279999999996</v>
      </c>
      <c r="J41" s="14">
        <f t="shared" si="18"/>
        <v>52.516728000000001</v>
      </c>
      <c r="K41" s="14">
        <f t="shared" si="14"/>
        <v>1.5755018399999998E-2</v>
      </c>
      <c r="L41" s="14">
        <f t="shared" si="19"/>
        <v>52.5009729816</v>
      </c>
      <c r="M41" s="14">
        <f t="shared" si="20"/>
        <v>1050.019459632</v>
      </c>
      <c r="N41" s="14">
        <f t="shared" si="17"/>
        <v>2</v>
      </c>
      <c r="O41" s="95"/>
    </row>
    <row r="42" spans="1:15" s="19" customFormat="1" ht="15" customHeight="1" x14ac:dyDescent="0.2">
      <c r="A42" s="18" t="s">
        <v>91</v>
      </c>
      <c r="B42" s="18" t="s">
        <v>81</v>
      </c>
      <c r="C42" s="18">
        <v>11762</v>
      </c>
      <c r="D42" s="18" t="s">
        <v>34</v>
      </c>
      <c r="E42" s="43" t="s">
        <v>121</v>
      </c>
      <c r="F42" s="18" t="s">
        <v>21</v>
      </c>
      <c r="G42" s="18">
        <v>15</v>
      </c>
      <c r="H42" s="71">
        <v>51.67</v>
      </c>
      <c r="I42" s="14">
        <f t="shared" si="12"/>
        <v>7.9158440000000008</v>
      </c>
      <c r="J42" s="14">
        <f t="shared" si="18"/>
        <v>59.585844000000002</v>
      </c>
      <c r="K42" s="14">
        <f t="shared" si="14"/>
        <v>1.78757532E-2</v>
      </c>
      <c r="L42" s="14">
        <f t="shared" si="19"/>
        <v>59.5679682468</v>
      </c>
      <c r="M42" s="14">
        <f t="shared" si="20"/>
        <v>893.51952370200001</v>
      </c>
      <c r="N42" s="14">
        <f t="shared" si="17"/>
        <v>0.85095520421607374</v>
      </c>
      <c r="O42" s="95"/>
    </row>
    <row r="43" spans="1:15" s="42" customFormat="1" ht="17.25" customHeight="1" x14ac:dyDescent="0.3">
      <c r="A43" s="18" t="s">
        <v>87</v>
      </c>
      <c r="B43" s="18" t="s">
        <v>81</v>
      </c>
      <c r="C43" s="50">
        <v>44945</v>
      </c>
      <c r="D43" s="50" t="s">
        <v>34</v>
      </c>
      <c r="E43" s="51" t="s">
        <v>118</v>
      </c>
      <c r="F43" s="18" t="s">
        <v>21</v>
      </c>
      <c r="G43" s="50">
        <v>20</v>
      </c>
      <c r="H43" s="72">
        <v>10.93</v>
      </c>
      <c r="I43" s="14">
        <f t="shared" si="12"/>
        <v>1.6744760000000001</v>
      </c>
      <c r="J43" s="14">
        <f t="shared" si="18"/>
        <v>12.604476</v>
      </c>
      <c r="K43" s="14">
        <f t="shared" si="14"/>
        <v>3.7813427999999999E-3</v>
      </c>
      <c r="L43" s="14">
        <f t="shared" si="19"/>
        <v>12.6006946572</v>
      </c>
      <c r="M43" s="14">
        <f t="shared" si="20"/>
        <v>252.01389314400001</v>
      </c>
      <c r="N43" s="14">
        <f t="shared" si="17"/>
        <v>0.28204631959228438</v>
      </c>
      <c r="O43" s="95"/>
    </row>
    <row r="44" spans="1:15" s="42" customFormat="1" ht="15" customHeight="1" x14ac:dyDescent="0.3">
      <c r="A44" s="18" t="s">
        <v>84</v>
      </c>
      <c r="B44" s="18" t="s">
        <v>81</v>
      </c>
      <c r="C44" s="18" t="s">
        <v>142</v>
      </c>
      <c r="D44" s="18" t="s">
        <v>143</v>
      </c>
      <c r="E44" s="43" t="s">
        <v>144</v>
      </c>
      <c r="F44" s="18" t="s">
        <v>21</v>
      </c>
      <c r="G44" s="18">
        <v>8</v>
      </c>
      <c r="H44" s="75">
        <v>110.8</v>
      </c>
      <c r="I44" s="14">
        <f t="shared" si="12"/>
        <v>16.97456</v>
      </c>
      <c r="J44" s="14">
        <f t="shared" si="18"/>
        <v>127.77455999999999</v>
      </c>
      <c r="K44" s="14">
        <f t="shared" si="14"/>
        <v>3.8332367999999992E-2</v>
      </c>
      <c r="L44" s="14">
        <f t="shared" si="19"/>
        <v>127.73622763199999</v>
      </c>
      <c r="M44" s="14">
        <f t="shared" si="20"/>
        <v>1021.889821056</v>
      </c>
      <c r="N44" s="14">
        <f t="shared" si="17"/>
        <v>4.0548947849954251</v>
      </c>
      <c r="O44" s="95"/>
    </row>
    <row r="45" spans="1:15" s="42" customFormat="1" ht="15" customHeight="1" x14ac:dyDescent="0.3">
      <c r="A45" s="18" t="s">
        <v>92</v>
      </c>
      <c r="B45" s="18" t="s">
        <v>81</v>
      </c>
      <c r="C45" s="60" t="s">
        <v>145</v>
      </c>
      <c r="D45" s="60" t="s">
        <v>143</v>
      </c>
      <c r="E45" s="43" t="s">
        <v>146</v>
      </c>
      <c r="F45" s="18" t="s">
        <v>21</v>
      </c>
      <c r="G45" s="18">
        <v>10</v>
      </c>
      <c r="H45" s="66">
        <v>93.37</v>
      </c>
      <c r="I45" s="14">
        <f t="shared" si="12"/>
        <v>14.304284000000001</v>
      </c>
      <c r="J45" s="14">
        <f t="shared" si="18"/>
        <v>107.674284</v>
      </c>
      <c r="K45" s="14">
        <f t="shared" si="14"/>
        <v>3.2302285199999996E-2</v>
      </c>
      <c r="L45" s="14">
        <f t="shared" si="19"/>
        <v>107.6419817148</v>
      </c>
      <c r="M45" s="14">
        <f t="shared" si="20"/>
        <v>1076.419817148</v>
      </c>
      <c r="N45" s="14">
        <f t="shared" si="17"/>
        <v>1.0533619133574008</v>
      </c>
      <c r="O45" s="95"/>
    </row>
    <row r="46" spans="1:15" s="45" customFormat="1" ht="14.25" customHeight="1" x14ac:dyDescent="0.3">
      <c r="A46" s="18" t="s">
        <v>105</v>
      </c>
      <c r="B46" s="18" t="s">
        <v>81</v>
      </c>
      <c r="C46" s="18">
        <v>329</v>
      </c>
      <c r="D46" s="18" t="s">
        <v>34</v>
      </c>
      <c r="E46" s="43" t="s">
        <v>147</v>
      </c>
      <c r="F46" s="18" t="s">
        <v>21</v>
      </c>
      <c r="G46" s="18">
        <v>10</v>
      </c>
      <c r="H46" s="75">
        <v>5.6</v>
      </c>
      <c r="I46" s="14">
        <f t="shared" si="12"/>
        <v>0.85792000000000002</v>
      </c>
      <c r="J46" s="14">
        <f t="shared" si="18"/>
        <v>6.4579199999999997</v>
      </c>
      <c r="K46" s="14">
        <f t="shared" si="14"/>
        <v>1.9373759999999998E-3</v>
      </c>
      <c r="L46" s="14">
        <f t="shared" si="19"/>
        <v>6.4559826239999998</v>
      </c>
      <c r="M46" s="14">
        <f t="shared" si="20"/>
        <v>64.559826239999992</v>
      </c>
      <c r="N46" s="14">
        <f t="shared" si="17"/>
        <v>5.9976437827996137E-2</v>
      </c>
      <c r="O46" s="95"/>
    </row>
    <row r="47" spans="1:15" s="42" customFormat="1" ht="17.100000000000001" customHeight="1" x14ac:dyDescent="0.3">
      <c r="A47" s="18" t="s">
        <v>106</v>
      </c>
      <c r="B47" s="18" t="s">
        <v>81</v>
      </c>
      <c r="C47" s="18">
        <v>42408</v>
      </c>
      <c r="D47" s="18" t="s">
        <v>34</v>
      </c>
      <c r="E47" s="59" t="s">
        <v>132</v>
      </c>
      <c r="F47" s="18" t="s">
        <v>133</v>
      </c>
      <c r="G47" s="18">
        <v>200</v>
      </c>
      <c r="H47" s="75">
        <v>1.1299999999999999</v>
      </c>
      <c r="I47" s="14">
        <f t="shared" si="12"/>
        <v>0.17311599999999999</v>
      </c>
      <c r="J47" s="14">
        <f t="shared" si="18"/>
        <v>1.3031159999999999</v>
      </c>
      <c r="K47" s="14">
        <f t="shared" si="14"/>
        <v>3.9093479999999996E-4</v>
      </c>
      <c r="L47" s="14">
        <f t="shared" si="19"/>
        <v>1.3027250652</v>
      </c>
      <c r="M47" s="14">
        <f t="shared" si="20"/>
        <v>260.54501304000001</v>
      </c>
      <c r="N47" s="14">
        <f t="shared" si="17"/>
        <v>4.0357142857142865</v>
      </c>
      <c r="O47" s="95"/>
    </row>
    <row r="48" spans="1:15" ht="15" customHeight="1" x14ac:dyDescent="0.3">
      <c r="A48" s="18" t="s">
        <v>85</v>
      </c>
      <c r="B48" s="18" t="s">
        <v>81</v>
      </c>
      <c r="C48" s="18">
        <v>35692</v>
      </c>
      <c r="D48" s="18" t="s">
        <v>34</v>
      </c>
      <c r="E48" s="49" t="s">
        <v>115</v>
      </c>
      <c r="F48" s="18" t="s">
        <v>99</v>
      </c>
      <c r="G48" s="18">
        <f>2*18</f>
        <v>36</v>
      </c>
      <c r="H48" s="73">
        <v>20.12</v>
      </c>
      <c r="I48" s="14">
        <f t="shared" si="12"/>
        <v>3.0823840000000002</v>
      </c>
      <c r="J48" s="14">
        <f t="shared" si="18"/>
        <v>23.202384000000002</v>
      </c>
      <c r="K48" s="14">
        <f t="shared" si="14"/>
        <v>6.9607152000000002E-3</v>
      </c>
      <c r="L48" s="14">
        <f t="shared" si="19"/>
        <v>23.1954232848</v>
      </c>
      <c r="M48" s="14">
        <f t="shared" si="20"/>
        <v>835.03523825280001</v>
      </c>
      <c r="N48" s="14">
        <f t="shared" si="17"/>
        <v>3.2049557522123893</v>
      </c>
      <c r="O48" s="95"/>
    </row>
    <row r="49" spans="1:15" s="48" customFormat="1" ht="15" customHeight="1" x14ac:dyDescent="0.3">
      <c r="A49" s="18" t="s">
        <v>107</v>
      </c>
      <c r="B49" s="18" t="s">
        <v>81</v>
      </c>
      <c r="C49" s="18">
        <v>35692</v>
      </c>
      <c r="D49" s="18" t="s">
        <v>34</v>
      </c>
      <c r="E49" s="49" t="s">
        <v>136</v>
      </c>
      <c r="F49" s="18" t="s">
        <v>99</v>
      </c>
      <c r="G49" s="18">
        <v>36</v>
      </c>
      <c r="H49" s="73">
        <v>20.12</v>
      </c>
      <c r="I49" s="14">
        <f t="shared" si="12"/>
        <v>3.0823840000000002</v>
      </c>
      <c r="J49" s="14">
        <f t="shared" si="18"/>
        <v>23.202384000000002</v>
      </c>
      <c r="K49" s="14">
        <f t="shared" si="14"/>
        <v>6.9607152000000002E-3</v>
      </c>
      <c r="L49" s="14">
        <f t="shared" si="19"/>
        <v>23.1954232848</v>
      </c>
      <c r="M49" s="14">
        <f t="shared" si="20"/>
        <v>835.03523825280001</v>
      </c>
      <c r="N49" s="14">
        <f t="shared" si="17"/>
        <v>1</v>
      </c>
      <c r="O49" s="95"/>
    </row>
    <row r="50" spans="1:15" s="48" customFormat="1" ht="15" customHeight="1" x14ac:dyDescent="0.3">
      <c r="A50" s="18" t="s">
        <v>108</v>
      </c>
      <c r="B50" s="18" t="s">
        <v>81</v>
      </c>
      <c r="C50" s="18">
        <v>35692</v>
      </c>
      <c r="D50" s="18" t="s">
        <v>34</v>
      </c>
      <c r="E50" s="49" t="s">
        <v>137</v>
      </c>
      <c r="F50" s="18" t="s">
        <v>99</v>
      </c>
      <c r="G50" s="18">
        <v>36</v>
      </c>
      <c r="H50" s="73">
        <v>20.12</v>
      </c>
      <c r="I50" s="14">
        <f t="shared" si="12"/>
        <v>3.0823840000000002</v>
      </c>
      <c r="J50" s="14">
        <f t="shared" si="18"/>
        <v>23.202384000000002</v>
      </c>
      <c r="K50" s="14">
        <f t="shared" si="14"/>
        <v>6.9607152000000002E-3</v>
      </c>
      <c r="L50" s="14">
        <f t="shared" si="19"/>
        <v>23.1954232848</v>
      </c>
      <c r="M50" s="14">
        <f t="shared" si="20"/>
        <v>835.03523825280001</v>
      </c>
      <c r="N50" s="14">
        <f t="shared" si="17"/>
        <v>1</v>
      </c>
      <c r="O50" s="95"/>
    </row>
    <row r="51" spans="1:15" s="19" customFormat="1" ht="15" customHeight="1" x14ac:dyDescent="0.2">
      <c r="A51" s="18" t="s">
        <v>93</v>
      </c>
      <c r="B51" s="18" t="s">
        <v>81</v>
      </c>
      <c r="C51" s="18">
        <v>7348</v>
      </c>
      <c r="D51" s="18" t="s">
        <v>34</v>
      </c>
      <c r="E51" s="49" t="s">
        <v>134</v>
      </c>
      <c r="F51" s="18" t="s">
        <v>99</v>
      </c>
      <c r="G51" s="18">
        <f>3*18</f>
        <v>54</v>
      </c>
      <c r="H51" s="75">
        <v>20.62</v>
      </c>
      <c r="I51" s="14">
        <f t="shared" si="12"/>
        <v>3.1589840000000002</v>
      </c>
      <c r="J51" s="14">
        <f t="shared" si="18"/>
        <v>23.778984000000001</v>
      </c>
      <c r="K51" s="14">
        <f t="shared" si="14"/>
        <v>7.1336951999999999E-3</v>
      </c>
      <c r="L51" s="14">
        <f t="shared" si="19"/>
        <v>23.771850304800001</v>
      </c>
      <c r="M51" s="14">
        <f t="shared" si="20"/>
        <v>1283.6799164592001</v>
      </c>
      <c r="N51" s="14">
        <f t="shared" si="17"/>
        <v>1.5372763419483102</v>
      </c>
      <c r="O51" s="95"/>
    </row>
    <row r="52" spans="1:15" s="19" customFormat="1" ht="15" customHeight="1" x14ac:dyDescent="0.2">
      <c r="A52" s="18" t="s">
        <v>109</v>
      </c>
      <c r="B52" s="18" t="s">
        <v>81</v>
      </c>
      <c r="C52" s="18">
        <v>7348</v>
      </c>
      <c r="D52" s="18" t="s">
        <v>34</v>
      </c>
      <c r="E52" s="49" t="s">
        <v>135</v>
      </c>
      <c r="F52" s="18" t="s">
        <v>99</v>
      </c>
      <c r="G52" s="18">
        <f>3*18</f>
        <v>54</v>
      </c>
      <c r="H52" s="75">
        <v>20.62</v>
      </c>
      <c r="I52" s="14">
        <f t="shared" si="12"/>
        <v>3.1589840000000002</v>
      </c>
      <c r="J52" s="14">
        <f t="shared" si="18"/>
        <v>23.778984000000001</v>
      </c>
      <c r="K52" s="14">
        <f t="shared" si="14"/>
        <v>7.1336951999999999E-3</v>
      </c>
      <c r="L52" s="14">
        <f t="shared" si="19"/>
        <v>23.771850304800001</v>
      </c>
      <c r="M52" s="14">
        <f t="shared" si="20"/>
        <v>1283.6799164592001</v>
      </c>
      <c r="N52" s="14">
        <f t="shared" si="17"/>
        <v>1</v>
      </c>
      <c r="O52" s="95"/>
    </row>
    <row r="53" spans="1:15" s="42" customFormat="1" ht="17.25" customHeight="1" x14ac:dyDescent="0.3">
      <c r="A53" s="18" t="s">
        <v>86</v>
      </c>
      <c r="B53" s="18" t="s">
        <v>81</v>
      </c>
      <c r="C53" s="18">
        <v>1743</v>
      </c>
      <c r="D53" s="18" t="s">
        <v>34</v>
      </c>
      <c r="E53" s="43" t="s">
        <v>124</v>
      </c>
      <c r="F53" s="18" t="s">
        <v>21</v>
      </c>
      <c r="G53" s="18">
        <v>2</v>
      </c>
      <c r="H53" s="75">
        <v>174.38</v>
      </c>
      <c r="I53" s="14">
        <f t="shared" si="12"/>
        <v>26.715015999999999</v>
      </c>
      <c r="J53" s="14">
        <f t="shared" si="18"/>
        <v>201.09501599999999</v>
      </c>
      <c r="K53" s="14">
        <f t="shared" si="14"/>
        <v>6.0328504799999988E-2</v>
      </c>
      <c r="L53" s="14">
        <f t="shared" si="19"/>
        <v>201.03468749519999</v>
      </c>
      <c r="M53" s="14">
        <f t="shared" si="20"/>
        <v>402.06937499039998</v>
      </c>
      <c r="N53" s="14">
        <f t="shared" si="17"/>
        <v>0.31321622301253726</v>
      </c>
      <c r="O53" s="95"/>
    </row>
    <row r="54" spans="1:15" s="42" customFormat="1" ht="15" customHeight="1" x14ac:dyDescent="0.3">
      <c r="A54" s="18" t="s">
        <v>110</v>
      </c>
      <c r="B54" s="18" t="s">
        <v>81</v>
      </c>
      <c r="C54" s="18">
        <v>3080</v>
      </c>
      <c r="D54" s="18" t="s">
        <v>34</v>
      </c>
      <c r="E54" s="49" t="s">
        <v>125</v>
      </c>
      <c r="F54" s="18" t="s">
        <v>21</v>
      </c>
      <c r="G54" s="18">
        <v>10</v>
      </c>
      <c r="H54" s="75">
        <v>95</v>
      </c>
      <c r="I54" s="14">
        <f t="shared" si="12"/>
        <v>14.554</v>
      </c>
      <c r="J54" s="14">
        <f t="shared" si="18"/>
        <v>109.554</v>
      </c>
      <c r="K54" s="14">
        <f t="shared" si="14"/>
        <v>3.2866199999999998E-2</v>
      </c>
      <c r="L54" s="14">
        <f t="shared" si="19"/>
        <v>109.5211338</v>
      </c>
      <c r="M54" s="14">
        <f t="shared" si="20"/>
        <v>1095.2113380000001</v>
      </c>
      <c r="N54" s="14">
        <f t="shared" si="17"/>
        <v>2.7239362312191768</v>
      </c>
      <c r="O54" s="95"/>
    </row>
    <row r="55" spans="1:15" s="42" customFormat="1" ht="15" customHeight="1" x14ac:dyDescent="0.3">
      <c r="A55" s="18" t="s">
        <v>102</v>
      </c>
      <c r="B55" s="18" t="s">
        <v>81</v>
      </c>
      <c r="C55" s="18">
        <v>1381</v>
      </c>
      <c r="D55" s="18" t="s">
        <v>34</v>
      </c>
      <c r="E55" s="43" t="s">
        <v>126</v>
      </c>
      <c r="F55" s="18" t="s">
        <v>113</v>
      </c>
      <c r="G55" s="18">
        <v>300</v>
      </c>
      <c r="H55" s="75">
        <v>0.75</v>
      </c>
      <c r="I55" s="14">
        <f t="shared" si="12"/>
        <v>0.1149</v>
      </c>
      <c r="J55" s="14">
        <f t="shared" si="18"/>
        <v>0.8649</v>
      </c>
      <c r="K55" s="14">
        <f t="shared" si="14"/>
        <v>2.5946999999999998E-4</v>
      </c>
      <c r="L55" s="14">
        <f t="shared" si="19"/>
        <v>0.86464052999999996</v>
      </c>
      <c r="M55" s="14">
        <f t="shared" si="20"/>
        <v>259.39215899999999</v>
      </c>
      <c r="N55" s="14">
        <f t="shared" si="17"/>
        <v>0.23684210526315788</v>
      </c>
      <c r="O55" s="95"/>
    </row>
    <row r="56" spans="1:15" s="42" customFormat="1" ht="15" customHeight="1" x14ac:dyDescent="0.3">
      <c r="A56" s="18" t="s">
        <v>94</v>
      </c>
      <c r="B56" s="18" t="s">
        <v>81</v>
      </c>
      <c r="C56" s="18">
        <v>1379</v>
      </c>
      <c r="D56" s="18" t="s">
        <v>34</v>
      </c>
      <c r="E56" s="43" t="s">
        <v>127</v>
      </c>
      <c r="F56" s="18" t="s">
        <v>21</v>
      </c>
      <c r="G56" s="18">
        <v>1500</v>
      </c>
      <c r="H56" s="75">
        <v>0.6</v>
      </c>
      <c r="I56" s="14">
        <f t="shared" si="12"/>
        <v>9.1920000000000002E-2</v>
      </c>
      <c r="J56" s="14">
        <f t="shared" si="18"/>
        <v>0.69191999999999998</v>
      </c>
      <c r="K56" s="14">
        <f t="shared" si="14"/>
        <v>2.0757599999999998E-4</v>
      </c>
      <c r="L56" s="14">
        <f t="shared" si="19"/>
        <v>0.69171242399999999</v>
      </c>
      <c r="M56" s="14">
        <f t="shared" si="20"/>
        <v>1037.568636</v>
      </c>
      <c r="N56" s="14">
        <f t="shared" si="17"/>
        <v>4</v>
      </c>
      <c r="O56" s="95"/>
    </row>
    <row r="57" spans="1:15" s="42" customFormat="1" ht="15" customHeight="1" x14ac:dyDescent="0.3">
      <c r="A57" s="18" t="s">
        <v>83</v>
      </c>
      <c r="B57" s="18" t="s">
        <v>81</v>
      </c>
      <c r="C57" s="18">
        <v>5066</v>
      </c>
      <c r="D57" s="18" t="s">
        <v>34</v>
      </c>
      <c r="E57" s="43" t="s">
        <v>128</v>
      </c>
      <c r="F57" s="18" t="s">
        <v>113</v>
      </c>
      <c r="G57" s="18">
        <v>3</v>
      </c>
      <c r="H57" s="75">
        <v>19.27</v>
      </c>
      <c r="I57" s="14">
        <f t="shared" si="12"/>
        <v>2.9521639999999998</v>
      </c>
      <c r="J57" s="14">
        <f t="shared" si="18"/>
        <v>22.222163999999999</v>
      </c>
      <c r="K57" s="14">
        <f t="shared" si="14"/>
        <v>6.6666491999999994E-3</v>
      </c>
      <c r="L57" s="14">
        <f t="shared" si="19"/>
        <v>22.2154973508</v>
      </c>
      <c r="M57" s="14">
        <f t="shared" si="20"/>
        <v>66.646492052399992</v>
      </c>
      <c r="N57" s="14">
        <f t="shared" si="17"/>
        <v>6.4233333333333323E-2</v>
      </c>
      <c r="O57" s="95"/>
    </row>
    <row r="58" spans="1:15" s="42" customFormat="1" ht="15" customHeight="1" x14ac:dyDescent="0.3">
      <c r="A58" s="18" t="s">
        <v>95</v>
      </c>
      <c r="B58" s="18" t="s">
        <v>81</v>
      </c>
      <c r="C58" s="18">
        <v>20247</v>
      </c>
      <c r="D58" s="18" t="s">
        <v>34</v>
      </c>
      <c r="E58" s="43" t="s">
        <v>129</v>
      </c>
      <c r="F58" s="18" t="s">
        <v>113</v>
      </c>
      <c r="G58" s="18">
        <v>3</v>
      </c>
      <c r="H58" s="73">
        <v>16.190000000000001</v>
      </c>
      <c r="I58" s="14">
        <f t="shared" si="12"/>
        <v>2.4803080000000004</v>
      </c>
      <c r="J58" s="14">
        <f t="shared" si="18"/>
        <v>18.670308000000002</v>
      </c>
      <c r="K58" s="14">
        <f t="shared" si="14"/>
        <v>5.6010924000000004E-3</v>
      </c>
      <c r="L58" s="14">
        <f t="shared" si="19"/>
        <v>18.664706907600003</v>
      </c>
      <c r="M58" s="14">
        <f t="shared" si="20"/>
        <v>55.994120722800005</v>
      </c>
      <c r="N58" s="14">
        <f t="shared" si="17"/>
        <v>0.84016606123508064</v>
      </c>
      <c r="O58" s="95"/>
    </row>
    <row r="59" spans="1:15" s="42" customFormat="1" ht="17.25" customHeight="1" x14ac:dyDescent="0.3">
      <c r="A59" s="18" t="s">
        <v>111</v>
      </c>
      <c r="B59" s="18" t="s">
        <v>81</v>
      </c>
      <c r="C59" s="18">
        <v>5061</v>
      </c>
      <c r="D59" s="18" t="s">
        <v>34</v>
      </c>
      <c r="E59" s="43" t="s">
        <v>130</v>
      </c>
      <c r="F59" s="18" t="s">
        <v>113</v>
      </c>
      <c r="G59" s="18">
        <v>3</v>
      </c>
      <c r="H59" s="75">
        <v>14.38</v>
      </c>
      <c r="I59" s="14">
        <f t="shared" si="12"/>
        <v>2.2030160000000003</v>
      </c>
      <c r="J59" s="14">
        <f t="shared" si="18"/>
        <v>16.583016000000001</v>
      </c>
      <c r="K59" s="14">
        <f t="shared" si="14"/>
        <v>4.9749047999999999E-3</v>
      </c>
      <c r="L59" s="14">
        <f t="shared" si="19"/>
        <v>16.5780410952</v>
      </c>
      <c r="M59" s="14">
        <f t="shared" si="20"/>
        <v>49.734123285599999</v>
      </c>
      <c r="N59" s="14">
        <f t="shared" si="17"/>
        <v>0.88820259419394676</v>
      </c>
      <c r="O59" s="95"/>
    </row>
    <row r="60" spans="1:15" s="42" customFormat="1" ht="15" customHeight="1" x14ac:dyDescent="0.3">
      <c r="A60" s="18" t="s">
        <v>112</v>
      </c>
      <c r="B60" s="18" t="s">
        <v>81</v>
      </c>
      <c r="C60" s="18">
        <v>34357</v>
      </c>
      <c r="D60" s="18" t="s">
        <v>34</v>
      </c>
      <c r="E60" s="49" t="s">
        <v>131</v>
      </c>
      <c r="F60" s="18" t="s">
        <v>113</v>
      </c>
      <c r="G60" s="18">
        <v>20</v>
      </c>
      <c r="H60" s="75">
        <v>4.4000000000000004</v>
      </c>
      <c r="I60" s="14">
        <f t="shared" si="12"/>
        <v>0.67408000000000001</v>
      </c>
      <c r="J60" s="14">
        <f t="shared" si="18"/>
        <v>5.0740800000000004</v>
      </c>
      <c r="K60" s="14">
        <f t="shared" si="14"/>
        <v>1.522224E-3</v>
      </c>
      <c r="L60" s="14">
        <f t="shared" si="19"/>
        <v>5.072557776</v>
      </c>
      <c r="M60" s="14">
        <f t="shared" si="20"/>
        <v>101.45115552</v>
      </c>
      <c r="N60" s="14">
        <f t="shared" si="17"/>
        <v>2.0398701900788132</v>
      </c>
      <c r="O60" s="95"/>
    </row>
    <row r="61" spans="1:15" s="42" customFormat="1" ht="17.25" customHeight="1" x14ac:dyDescent="0.3">
      <c r="A61" s="18"/>
      <c r="B61" s="18"/>
      <c r="C61" s="18"/>
      <c r="D61" s="18"/>
      <c r="E61" s="44"/>
      <c r="F61" s="18"/>
      <c r="G61" s="18"/>
      <c r="H61" s="41"/>
      <c r="I61" s="14"/>
      <c r="J61" s="14"/>
      <c r="K61" s="14"/>
      <c r="L61" s="14"/>
      <c r="M61" s="14"/>
      <c r="N61" s="14"/>
      <c r="O61" s="95"/>
    </row>
    <row r="62" spans="1:15" s="42" customFormat="1" ht="17.25" customHeight="1" x14ac:dyDescent="0.3">
      <c r="A62" s="18"/>
      <c r="B62" s="18"/>
      <c r="C62" s="18"/>
      <c r="D62" s="18"/>
      <c r="E62" s="44"/>
      <c r="F62" s="18"/>
      <c r="G62" s="18"/>
      <c r="H62" s="41"/>
      <c r="I62" s="14"/>
      <c r="J62" s="14"/>
      <c r="K62" s="14"/>
      <c r="L62" s="14"/>
      <c r="M62" s="14"/>
      <c r="N62" s="14"/>
      <c r="O62" s="95"/>
    </row>
    <row r="63" spans="1:15" s="42" customFormat="1" ht="17.25" customHeight="1" x14ac:dyDescent="0.3">
      <c r="A63" s="18"/>
      <c r="B63" s="18"/>
      <c r="C63" s="18"/>
      <c r="D63" s="18"/>
      <c r="E63" s="44"/>
      <c r="F63" s="18"/>
      <c r="G63" s="18"/>
      <c r="H63" s="41"/>
      <c r="I63" s="14"/>
      <c r="J63" s="14"/>
      <c r="K63" s="14"/>
      <c r="L63" s="14"/>
      <c r="M63" s="14"/>
      <c r="N63" s="14"/>
      <c r="O63" s="95"/>
    </row>
    <row r="64" spans="1:15" s="42" customFormat="1" ht="17.25" customHeight="1" x14ac:dyDescent="0.3">
      <c r="A64" s="18"/>
      <c r="B64" s="18"/>
      <c r="C64" s="18"/>
      <c r="D64" s="18"/>
      <c r="E64" s="44"/>
      <c r="F64" s="18"/>
      <c r="G64" s="18"/>
      <c r="H64" s="41"/>
      <c r="I64" s="14"/>
      <c r="J64" s="14"/>
      <c r="K64" s="14"/>
      <c r="L64" s="14"/>
      <c r="M64" s="14"/>
      <c r="N64" s="14"/>
      <c r="O64" s="95"/>
    </row>
    <row r="65" spans="1:16" s="19" customFormat="1" ht="17.25" customHeight="1" x14ac:dyDescent="0.2">
      <c r="A65" s="18"/>
      <c r="B65" s="18"/>
      <c r="C65" s="23"/>
      <c r="D65" s="18"/>
      <c r="E65" s="24"/>
      <c r="F65" s="18"/>
      <c r="G65" s="18"/>
      <c r="H65" s="26"/>
      <c r="I65" s="14"/>
      <c r="J65" s="14"/>
      <c r="K65" s="14"/>
      <c r="L65" s="14"/>
      <c r="M65" s="14"/>
      <c r="N65" s="14"/>
      <c r="O65" s="95"/>
    </row>
    <row r="66" spans="1:16" s="27" customFormat="1" ht="17.100000000000001" customHeight="1" x14ac:dyDescent="0.3">
      <c r="A66" s="152" t="s">
        <v>16</v>
      </c>
      <c r="B66" s="113" t="s">
        <v>17</v>
      </c>
      <c r="C66" s="113" t="s">
        <v>18</v>
      </c>
      <c r="D66" s="113" t="s">
        <v>19</v>
      </c>
      <c r="E66" s="113" t="s">
        <v>20</v>
      </c>
      <c r="F66" s="113" t="s">
        <v>21</v>
      </c>
      <c r="G66" s="113" t="s">
        <v>22</v>
      </c>
      <c r="H66" s="154" t="s">
        <v>23</v>
      </c>
      <c r="I66" s="154"/>
      <c r="J66" s="154"/>
      <c r="K66" s="154"/>
      <c r="L66" s="155"/>
      <c r="M66" s="113" t="s">
        <v>24</v>
      </c>
      <c r="N66" s="113" t="s">
        <v>25</v>
      </c>
      <c r="O66" s="94"/>
    </row>
    <row r="67" spans="1:16" s="27" customFormat="1" ht="17.100000000000001" customHeight="1" x14ac:dyDescent="0.3">
      <c r="A67" s="153"/>
      <c r="B67" s="114"/>
      <c r="C67" s="114"/>
      <c r="D67" s="114"/>
      <c r="E67" s="114"/>
      <c r="F67" s="114"/>
      <c r="G67" s="114"/>
      <c r="H67" s="4" t="s">
        <v>27</v>
      </c>
      <c r="I67" s="4" t="s">
        <v>28</v>
      </c>
      <c r="J67" s="4" t="s">
        <v>29</v>
      </c>
      <c r="K67" s="4" t="s">
        <v>53</v>
      </c>
      <c r="L67" s="4" t="s">
        <v>30</v>
      </c>
      <c r="M67" s="114"/>
      <c r="N67" s="114"/>
      <c r="O67" s="94"/>
    </row>
    <row r="68" spans="1:16" s="28" customFormat="1" ht="17.100000000000001" customHeight="1" x14ac:dyDescent="0.2">
      <c r="A68" s="29">
        <v>3</v>
      </c>
      <c r="B68" s="96" t="s">
        <v>38</v>
      </c>
      <c r="C68" s="97"/>
      <c r="D68" s="97"/>
      <c r="E68" s="97"/>
      <c r="F68" s="98"/>
      <c r="G68" s="30"/>
      <c r="H68" s="30"/>
      <c r="I68" s="30"/>
      <c r="J68" s="30"/>
      <c r="K68" s="30"/>
      <c r="L68" s="30"/>
      <c r="M68" s="31">
        <f>SUM(M69:M96)</f>
        <v>62091.626966786556</v>
      </c>
      <c r="N68" s="30"/>
      <c r="O68" s="94"/>
    </row>
    <row r="69" spans="1:16" s="28" customFormat="1" ht="26.25" customHeight="1" x14ac:dyDescent="0.2">
      <c r="A69" s="32" t="s">
        <v>76</v>
      </c>
      <c r="B69" s="32" t="s">
        <v>33</v>
      </c>
      <c r="C69" s="32" t="s">
        <v>58</v>
      </c>
      <c r="D69" s="32" t="s">
        <v>34</v>
      </c>
      <c r="E69" s="33" t="s">
        <v>59</v>
      </c>
      <c r="F69" s="34" t="s">
        <v>35</v>
      </c>
      <c r="G69" s="32">
        <v>180</v>
      </c>
      <c r="H69" s="65">
        <v>32.57</v>
      </c>
      <c r="I69" s="35">
        <f>H69*0.2232</f>
        <v>7.2696240000000003</v>
      </c>
      <c r="J69" s="35">
        <f>H69+I69</f>
        <v>39.839624000000001</v>
      </c>
      <c r="K69" s="35">
        <f>J69*(0.03%)</f>
        <v>1.1951887199999999E-2</v>
      </c>
      <c r="L69" s="35">
        <f>J69-K69</f>
        <v>39.827672112800002</v>
      </c>
      <c r="M69" s="35">
        <f>L69*G69</f>
        <v>7168.9809803040007</v>
      </c>
      <c r="N69" s="35">
        <f>M69/M$16</f>
        <v>9.2170463003053482E-2</v>
      </c>
      <c r="O69" s="95"/>
    </row>
    <row r="70" spans="1:16" s="28" customFormat="1" ht="23.25" customHeight="1" x14ac:dyDescent="0.2">
      <c r="A70" s="32" t="s">
        <v>78</v>
      </c>
      <c r="B70" s="32" t="s">
        <v>33</v>
      </c>
      <c r="C70" s="32" t="s">
        <v>60</v>
      </c>
      <c r="D70" s="32" t="s">
        <v>34</v>
      </c>
      <c r="E70" s="33" t="s">
        <v>61</v>
      </c>
      <c r="F70" s="34" t="s">
        <v>35</v>
      </c>
      <c r="G70" s="32">
        <v>180</v>
      </c>
      <c r="H70" s="65">
        <v>30.38</v>
      </c>
      <c r="I70" s="35">
        <f>H70*0.2232</f>
        <v>6.7808159999999997</v>
      </c>
      <c r="J70" s="35">
        <f>H70+I70</f>
        <v>37.160815999999997</v>
      </c>
      <c r="K70" s="35">
        <f>J70*(0.03%)</f>
        <v>1.1148244799999998E-2</v>
      </c>
      <c r="L70" s="35">
        <f>J70-K70</f>
        <v>37.149667755199999</v>
      </c>
      <c r="M70" s="35">
        <f>L70*G70</f>
        <v>6686.9401959360002</v>
      </c>
      <c r="N70" s="35">
        <f>M70/M$16</f>
        <v>8.5972940314177612E-2</v>
      </c>
      <c r="O70" s="95"/>
    </row>
    <row r="71" spans="1:16" s="28" customFormat="1" ht="23.25" customHeight="1" x14ac:dyDescent="0.2">
      <c r="A71" s="11" t="s">
        <v>77</v>
      </c>
      <c r="B71" s="11" t="s">
        <v>33</v>
      </c>
      <c r="C71" s="11">
        <v>88310</v>
      </c>
      <c r="D71" s="11" t="s">
        <v>34</v>
      </c>
      <c r="E71" s="20" t="s">
        <v>79</v>
      </c>
      <c r="F71" s="13" t="s">
        <v>35</v>
      </c>
      <c r="G71" s="11">
        <v>180</v>
      </c>
      <c r="H71" s="65">
        <v>35.880000000000003</v>
      </c>
      <c r="I71" s="14">
        <f>H71*0.2232</f>
        <v>8.0084160000000004</v>
      </c>
      <c r="J71" s="14">
        <f>H71+I71</f>
        <v>43.888416000000007</v>
      </c>
      <c r="K71" s="14">
        <f>J71*(0.03%)</f>
        <v>1.3166524800000001E-2</v>
      </c>
      <c r="L71" s="14">
        <f>J71-K71</f>
        <v>43.875249475200008</v>
      </c>
      <c r="M71" s="14">
        <f>L71*G71</f>
        <v>7897.5449055360014</v>
      </c>
      <c r="N71" s="14">
        <f>M71/M$16</f>
        <v>0.10153749501226771</v>
      </c>
      <c r="O71" s="95"/>
    </row>
    <row r="72" spans="1:16" s="28" customFormat="1" ht="23.25" customHeight="1" x14ac:dyDescent="0.2">
      <c r="A72" s="82" t="s">
        <v>149</v>
      </c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95"/>
      <c r="P72" s="46"/>
    </row>
    <row r="73" spans="1:16" s="28" customFormat="1" ht="23.25" customHeight="1" x14ac:dyDescent="0.2">
      <c r="A73" s="11" t="s">
        <v>80</v>
      </c>
      <c r="B73" s="11" t="s">
        <v>33</v>
      </c>
      <c r="C73" s="11">
        <v>94231</v>
      </c>
      <c r="D73" s="11" t="s">
        <v>34</v>
      </c>
      <c r="E73" s="20" t="s">
        <v>151</v>
      </c>
      <c r="F73" s="13" t="s">
        <v>114</v>
      </c>
      <c r="G73" s="11">
        <v>15.5</v>
      </c>
      <c r="H73" s="67">
        <v>54.99</v>
      </c>
      <c r="I73" s="14">
        <f t="shared" ref="I73:I75" si="21">H73*0.2232</f>
        <v>12.273768</v>
      </c>
      <c r="J73" s="14">
        <f t="shared" ref="J73:J75" si="22">H73+I73</f>
        <v>67.263767999999999</v>
      </c>
      <c r="K73" s="14">
        <f t="shared" ref="K73:K75" si="23">J73*(0.03%)</f>
        <v>2.0179130399999998E-2</v>
      </c>
      <c r="L73" s="14">
        <f t="shared" ref="L73:L75" si="24">J73-K73</f>
        <v>67.243588869600003</v>
      </c>
      <c r="M73" s="14">
        <f t="shared" ref="M73:M75" si="25">L73*G73</f>
        <v>1042.2756274788001</v>
      </c>
      <c r="N73" s="14">
        <f t="shared" ref="N73:N75" si="26">M73/M$16</f>
        <v>1.3400374115296562E-2</v>
      </c>
      <c r="O73" s="95"/>
    </row>
    <row r="74" spans="1:16" s="28" customFormat="1" ht="23.25" customHeight="1" x14ac:dyDescent="0.2">
      <c r="A74" s="11" t="s">
        <v>116</v>
      </c>
      <c r="B74" s="11" t="s">
        <v>33</v>
      </c>
      <c r="C74" s="11">
        <v>88323</v>
      </c>
      <c r="D74" s="11" t="s">
        <v>34</v>
      </c>
      <c r="E74" s="20" t="s">
        <v>153</v>
      </c>
      <c r="F74" s="13" t="s">
        <v>154</v>
      </c>
      <c r="G74" s="11">
        <v>12</v>
      </c>
      <c r="H74" s="67">
        <v>32.17</v>
      </c>
      <c r="I74" s="14">
        <f t="shared" si="21"/>
        <v>7.1803440000000007</v>
      </c>
      <c r="J74" s="14">
        <f t="shared" si="22"/>
        <v>39.350344</v>
      </c>
      <c r="K74" s="14">
        <f t="shared" si="23"/>
        <v>1.1805103199999998E-2</v>
      </c>
      <c r="L74" s="14">
        <f t="shared" si="24"/>
        <v>39.338538896800003</v>
      </c>
      <c r="M74" s="14">
        <f t="shared" si="25"/>
        <v>472.06246676160004</v>
      </c>
      <c r="N74" s="14">
        <f t="shared" si="26"/>
        <v>6.0692330259097954E-3</v>
      </c>
      <c r="O74" s="95"/>
      <c r="P74" s="46" t="s">
        <v>157</v>
      </c>
    </row>
    <row r="75" spans="1:16" s="28" customFormat="1" ht="23.25" customHeight="1" x14ac:dyDescent="0.2">
      <c r="A75" s="11" t="s">
        <v>160</v>
      </c>
      <c r="B75" s="11" t="s">
        <v>33</v>
      </c>
      <c r="C75" s="11">
        <v>88316</v>
      </c>
      <c r="D75" s="11" t="s">
        <v>34</v>
      </c>
      <c r="E75" s="20" t="s">
        <v>156</v>
      </c>
      <c r="F75" s="13" t="s">
        <v>154</v>
      </c>
      <c r="G75" s="11">
        <v>12</v>
      </c>
      <c r="H75" s="66">
        <v>28.17</v>
      </c>
      <c r="I75" s="14">
        <f t="shared" si="21"/>
        <v>6.2875440000000005</v>
      </c>
      <c r="J75" s="14">
        <f t="shared" si="22"/>
        <v>34.457543999999999</v>
      </c>
      <c r="K75" s="14">
        <f t="shared" si="23"/>
        <v>1.0337263199999999E-2</v>
      </c>
      <c r="L75" s="14">
        <f t="shared" si="24"/>
        <v>34.447206736799998</v>
      </c>
      <c r="M75" s="14">
        <f t="shared" si="25"/>
        <v>413.36648084159998</v>
      </c>
      <c r="N75" s="14">
        <f t="shared" si="26"/>
        <v>5.3145879496387599E-3</v>
      </c>
      <c r="O75" s="95"/>
      <c r="P75" s="46" t="s">
        <v>158</v>
      </c>
    </row>
    <row r="76" spans="1:16" s="28" customFormat="1" ht="23.25" customHeight="1" x14ac:dyDescent="0.2">
      <c r="A76" s="82" t="s">
        <v>159</v>
      </c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95"/>
    </row>
    <row r="77" spans="1:16" s="28" customFormat="1" ht="23.25" customHeight="1" x14ac:dyDescent="0.2">
      <c r="A77" s="11" t="s">
        <v>150</v>
      </c>
      <c r="B77" s="11" t="s">
        <v>33</v>
      </c>
      <c r="C77" s="11">
        <v>104803</v>
      </c>
      <c r="D77" s="11" t="s">
        <v>34</v>
      </c>
      <c r="E77" s="20" t="s">
        <v>161</v>
      </c>
      <c r="F77" s="13" t="s">
        <v>114</v>
      </c>
      <c r="G77" s="11">
        <v>11</v>
      </c>
      <c r="H77" s="65">
        <v>5.78</v>
      </c>
      <c r="I77" s="40">
        <f t="shared" ref="I77:I78" si="27">H77*0.2232</f>
        <v>1.2900960000000001</v>
      </c>
      <c r="J77" s="40">
        <f t="shared" ref="J77:J78" si="28">H77+I77</f>
        <v>7.0700960000000004</v>
      </c>
      <c r="K77" s="40">
        <f t="shared" ref="K77:K78" si="29">J77*(0.03%)</f>
        <v>2.1210287999999999E-3</v>
      </c>
      <c r="L77" s="40">
        <f t="shared" ref="L77:L78" si="30">J77-K77</f>
        <v>7.0679749712</v>
      </c>
      <c r="M77" s="40">
        <f t="shared" ref="M77:M78" si="31">L77*G77</f>
        <v>77.747724683200005</v>
      </c>
      <c r="N77" s="35">
        <f t="shared" ref="N77:N78" si="32">M77/M$16</f>
        <v>9.9959029061067448E-4</v>
      </c>
      <c r="O77" s="95"/>
    </row>
    <row r="78" spans="1:16" s="28" customFormat="1" ht="23.25" customHeight="1" x14ac:dyDescent="0.2">
      <c r="A78" s="11" t="s">
        <v>152</v>
      </c>
      <c r="B78" s="11" t="s">
        <v>33</v>
      </c>
      <c r="C78" s="11">
        <v>94228</v>
      </c>
      <c r="D78" s="11" t="s">
        <v>34</v>
      </c>
      <c r="E78" s="20" t="s">
        <v>162</v>
      </c>
      <c r="F78" s="13" t="s">
        <v>114</v>
      </c>
      <c r="G78" s="11">
        <v>11</v>
      </c>
      <c r="H78" s="66">
        <v>93.42</v>
      </c>
      <c r="I78" s="40">
        <f t="shared" si="27"/>
        <v>20.851344000000001</v>
      </c>
      <c r="J78" s="40">
        <f t="shared" si="28"/>
        <v>114.271344</v>
      </c>
      <c r="K78" s="40">
        <f t="shared" si="29"/>
        <v>3.4281403199999998E-2</v>
      </c>
      <c r="L78" s="40">
        <f t="shared" si="30"/>
        <v>114.2370625968</v>
      </c>
      <c r="M78" s="40">
        <f t="shared" si="31"/>
        <v>1256.6076885647999</v>
      </c>
      <c r="N78" s="35">
        <f t="shared" si="32"/>
        <v>1.615600777661751E-2</v>
      </c>
      <c r="O78" s="95"/>
    </row>
    <row r="79" spans="1:16" s="28" customFormat="1" ht="23.25" customHeight="1" x14ac:dyDescent="0.2">
      <c r="A79" s="11" t="s">
        <v>155</v>
      </c>
      <c r="B79" s="11" t="s">
        <v>33</v>
      </c>
      <c r="C79" s="11">
        <v>88323</v>
      </c>
      <c r="D79" s="11" t="s">
        <v>34</v>
      </c>
      <c r="E79" s="20" t="s">
        <v>153</v>
      </c>
      <c r="F79" s="13" t="s">
        <v>154</v>
      </c>
      <c r="G79" s="11">
        <v>4</v>
      </c>
      <c r="H79" s="65">
        <v>32.17</v>
      </c>
      <c r="I79" s="14">
        <f t="shared" ref="I79:I80" si="33">H79*0.2232</f>
        <v>7.1803440000000007</v>
      </c>
      <c r="J79" s="14">
        <f t="shared" ref="J79:J80" si="34">H79+I79</f>
        <v>39.350344</v>
      </c>
      <c r="K79" s="14">
        <f t="shared" ref="K79:K80" si="35">J79*(0.03%)</f>
        <v>1.1805103199999998E-2</v>
      </c>
      <c r="L79" s="14">
        <f t="shared" ref="L79:L80" si="36">J79-K79</f>
        <v>39.338538896800003</v>
      </c>
      <c r="M79" s="14">
        <f t="shared" ref="M79:M80" si="37">L79*G79</f>
        <v>157.35415558720001</v>
      </c>
      <c r="N79" s="14">
        <f t="shared" ref="N79:N80" si="38">M79/M$16</f>
        <v>2.023077675303265E-3</v>
      </c>
      <c r="O79" s="95"/>
    </row>
    <row r="80" spans="1:16" s="28" customFormat="1" ht="23.25" customHeight="1" x14ac:dyDescent="0.2">
      <c r="A80" s="11" t="s">
        <v>175</v>
      </c>
      <c r="B80" s="11" t="s">
        <v>33</v>
      </c>
      <c r="C80" s="11">
        <v>88316</v>
      </c>
      <c r="D80" s="11" t="s">
        <v>34</v>
      </c>
      <c r="E80" s="20" t="s">
        <v>156</v>
      </c>
      <c r="F80" s="13" t="s">
        <v>154</v>
      </c>
      <c r="G80" s="11">
        <v>4</v>
      </c>
      <c r="H80" s="66">
        <v>28.17</v>
      </c>
      <c r="I80" s="14">
        <f t="shared" si="33"/>
        <v>6.2875440000000005</v>
      </c>
      <c r="J80" s="14">
        <f t="shared" si="34"/>
        <v>34.457543999999999</v>
      </c>
      <c r="K80" s="14">
        <f t="shared" si="35"/>
        <v>1.0337263199999999E-2</v>
      </c>
      <c r="L80" s="14">
        <f t="shared" si="36"/>
        <v>34.447206736799998</v>
      </c>
      <c r="M80" s="14">
        <f t="shared" si="37"/>
        <v>137.78882694719999</v>
      </c>
      <c r="N80" s="14">
        <f t="shared" si="38"/>
        <v>1.7715293165462534E-3</v>
      </c>
      <c r="O80" s="95"/>
    </row>
    <row r="81" spans="1:16" s="28" customFormat="1" ht="23.25" customHeight="1" x14ac:dyDescent="0.2">
      <c r="A81" s="82" t="s">
        <v>169</v>
      </c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95"/>
    </row>
    <row r="82" spans="1:16" s="28" customFormat="1" ht="23.25" customHeight="1" x14ac:dyDescent="0.2">
      <c r="A82" s="11" t="s">
        <v>176</v>
      </c>
      <c r="B82" s="11" t="s">
        <v>33</v>
      </c>
      <c r="C82" s="11">
        <v>104803</v>
      </c>
      <c r="D82" s="11" t="s">
        <v>34</v>
      </c>
      <c r="E82" s="20" t="s">
        <v>161</v>
      </c>
      <c r="F82" s="13" t="s">
        <v>114</v>
      </c>
      <c r="G82" s="11">
        <v>16</v>
      </c>
      <c r="H82" s="65">
        <v>5.78</v>
      </c>
      <c r="I82" s="40">
        <f t="shared" ref="I82:I85" si="39">H82*0.2232</f>
        <v>1.2900960000000001</v>
      </c>
      <c r="J82" s="40">
        <f t="shared" ref="J82:J85" si="40">H82+I82</f>
        <v>7.0700960000000004</v>
      </c>
      <c r="K82" s="40">
        <f t="shared" ref="K82:K85" si="41">J82*(0.03%)</f>
        <v>2.1210287999999999E-3</v>
      </c>
      <c r="L82" s="40">
        <f t="shared" ref="L82:L85" si="42">J82-K82</f>
        <v>7.0679749712</v>
      </c>
      <c r="M82" s="40">
        <f t="shared" ref="M82:M85" si="43">L82*G82</f>
        <v>113.0875995392</v>
      </c>
      <c r="N82" s="35">
        <f t="shared" ref="N82:N85" si="44">M82/M$16</f>
        <v>1.4539495136155264E-3</v>
      </c>
      <c r="O82" s="95"/>
      <c r="P82" s="28" t="s">
        <v>166</v>
      </c>
    </row>
    <row r="83" spans="1:16" s="28" customFormat="1" ht="23.25" customHeight="1" x14ac:dyDescent="0.2">
      <c r="A83" s="11" t="s">
        <v>177</v>
      </c>
      <c r="B83" s="11" t="s">
        <v>33</v>
      </c>
      <c r="C83" s="11">
        <v>94229</v>
      </c>
      <c r="D83" s="11" t="s">
        <v>34</v>
      </c>
      <c r="E83" s="20" t="s">
        <v>168</v>
      </c>
      <c r="F83" s="13" t="s">
        <v>114</v>
      </c>
      <c r="G83" s="11">
        <v>16</v>
      </c>
      <c r="H83" s="65">
        <v>180.27</v>
      </c>
      <c r="I83" s="40">
        <f t="shared" si="39"/>
        <v>40.236264000000006</v>
      </c>
      <c r="J83" s="40">
        <f t="shared" si="40"/>
        <v>220.50626400000002</v>
      </c>
      <c r="K83" s="40">
        <f t="shared" si="41"/>
        <v>6.6151879199999999E-2</v>
      </c>
      <c r="L83" s="40">
        <f t="shared" si="42"/>
        <v>220.44011212080002</v>
      </c>
      <c r="M83" s="40">
        <f t="shared" si="43"/>
        <v>3527.0417939328004</v>
      </c>
      <c r="N83" s="35">
        <f t="shared" si="44"/>
        <v>4.5346622633126471E-2</v>
      </c>
      <c r="O83" s="95"/>
      <c r="P83" s="28" t="s">
        <v>164</v>
      </c>
    </row>
    <row r="84" spans="1:16" s="28" customFormat="1" ht="23.25" customHeight="1" x14ac:dyDescent="0.2">
      <c r="A84" s="11" t="s">
        <v>178</v>
      </c>
      <c r="B84" s="11" t="s">
        <v>33</v>
      </c>
      <c r="C84" s="11">
        <v>88323</v>
      </c>
      <c r="D84" s="11" t="s">
        <v>34</v>
      </c>
      <c r="E84" s="20" t="s">
        <v>153</v>
      </c>
      <c r="F84" s="13" t="s">
        <v>154</v>
      </c>
      <c r="G84" s="11">
        <v>8</v>
      </c>
      <c r="H84" s="65">
        <v>32.17</v>
      </c>
      <c r="I84" s="14">
        <f t="shared" si="39"/>
        <v>7.1803440000000007</v>
      </c>
      <c r="J84" s="14">
        <f t="shared" si="40"/>
        <v>39.350344</v>
      </c>
      <c r="K84" s="14">
        <f t="shared" si="41"/>
        <v>1.1805103199999998E-2</v>
      </c>
      <c r="L84" s="14">
        <f t="shared" si="42"/>
        <v>39.338538896800003</v>
      </c>
      <c r="M84" s="14">
        <f t="shared" si="43"/>
        <v>314.70831117440002</v>
      </c>
      <c r="N84" s="14">
        <f t="shared" si="44"/>
        <v>4.04615535060653E-3</v>
      </c>
      <c r="O84" s="95"/>
      <c r="P84" s="28" t="s">
        <v>165</v>
      </c>
    </row>
    <row r="85" spans="1:16" s="28" customFormat="1" ht="23.25" customHeight="1" x14ac:dyDescent="0.2">
      <c r="A85" s="11" t="s">
        <v>179</v>
      </c>
      <c r="B85" s="11" t="s">
        <v>33</v>
      </c>
      <c r="C85" s="11">
        <v>88316</v>
      </c>
      <c r="D85" s="11" t="s">
        <v>34</v>
      </c>
      <c r="E85" s="20" t="s">
        <v>156</v>
      </c>
      <c r="F85" s="13" t="s">
        <v>154</v>
      </c>
      <c r="G85" s="11">
        <v>8</v>
      </c>
      <c r="H85" s="66">
        <v>28.17</v>
      </c>
      <c r="I85" s="14">
        <f t="shared" si="39"/>
        <v>6.2875440000000005</v>
      </c>
      <c r="J85" s="14">
        <f t="shared" si="40"/>
        <v>34.457543999999999</v>
      </c>
      <c r="K85" s="14">
        <f t="shared" si="41"/>
        <v>1.0337263199999999E-2</v>
      </c>
      <c r="L85" s="14">
        <f t="shared" si="42"/>
        <v>34.447206736799998</v>
      </c>
      <c r="M85" s="14">
        <f t="shared" si="43"/>
        <v>275.57765389439999</v>
      </c>
      <c r="N85" s="14">
        <f t="shared" si="44"/>
        <v>3.5430586330925068E-3</v>
      </c>
      <c r="O85" s="95"/>
    </row>
    <row r="86" spans="1:16" s="28" customFormat="1" ht="23.25" customHeight="1" x14ac:dyDescent="0.2">
      <c r="A86" s="82" t="s">
        <v>163</v>
      </c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95"/>
    </row>
    <row r="87" spans="1:16" s="28" customFormat="1" ht="23.25" customHeight="1" x14ac:dyDescent="0.2">
      <c r="A87" s="11" t="s">
        <v>180</v>
      </c>
      <c r="B87" s="11" t="s">
        <v>33</v>
      </c>
      <c r="C87" s="11">
        <v>94231</v>
      </c>
      <c r="D87" s="11" t="s">
        <v>34</v>
      </c>
      <c r="E87" s="20" t="s">
        <v>151</v>
      </c>
      <c r="F87" s="13" t="s">
        <v>114</v>
      </c>
      <c r="G87" s="11">
        <v>8</v>
      </c>
      <c r="H87" s="65">
        <v>54.99</v>
      </c>
      <c r="I87" s="14">
        <f t="shared" ref="I87" si="45">H87*0.2232</f>
        <v>12.273768</v>
      </c>
      <c r="J87" s="14">
        <f t="shared" ref="J87" si="46">H87+I87</f>
        <v>67.263767999999999</v>
      </c>
      <c r="K87" s="14">
        <f t="shared" ref="K87" si="47">J87*(0.03%)</f>
        <v>2.0179130399999998E-2</v>
      </c>
      <c r="L87" s="14">
        <f t="shared" ref="L87" si="48">J87-K87</f>
        <v>67.243588869600003</v>
      </c>
      <c r="M87" s="14">
        <f t="shared" ref="M87" si="49">L87*G87</f>
        <v>537.94871095680003</v>
      </c>
      <c r="N87" s="14">
        <f t="shared" ref="N87" si="50">M87/M$16</f>
        <v>6.9163221240240314E-3</v>
      </c>
      <c r="O87" s="95"/>
      <c r="P87" s="62" t="s">
        <v>167</v>
      </c>
    </row>
    <row r="88" spans="1:16" s="28" customFormat="1" ht="23.25" customHeight="1" x14ac:dyDescent="0.2">
      <c r="A88" s="11" t="s">
        <v>181</v>
      </c>
      <c r="B88" s="11" t="s">
        <v>33</v>
      </c>
      <c r="C88" s="11">
        <v>88323</v>
      </c>
      <c r="D88" s="11" t="s">
        <v>34</v>
      </c>
      <c r="E88" s="20" t="s">
        <v>153</v>
      </c>
      <c r="F88" s="13" t="s">
        <v>154</v>
      </c>
      <c r="G88" s="11">
        <v>16</v>
      </c>
      <c r="H88" s="65">
        <v>32.17</v>
      </c>
      <c r="I88" s="14">
        <f t="shared" ref="I88:I89" si="51">H88*0.2232</f>
        <v>7.1803440000000007</v>
      </c>
      <c r="J88" s="14">
        <f t="shared" ref="J88:J89" si="52">H88+I88</f>
        <v>39.350344</v>
      </c>
      <c r="K88" s="14">
        <f t="shared" ref="K88:K89" si="53">J88*(0.03%)</f>
        <v>1.1805103199999998E-2</v>
      </c>
      <c r="L88" s="14">
        <f t="shared" ref="L88:L89" si="54">J88-K88</f>
        <v>39.338538896800003</v>
      </c>
      <c r="M88" s="14">
        <f t="shared" ref="M88:M89" si="55">L88*G88</f>
        <v>629.41662234880005</v>
      </c>
      <c r="N88" s="14">
        <f t="shared" ref="N88:N89" si="56">M88/M$16</f>
        <v>8.09231070121306E-3</v>
      </c>
      <c r="O88" s="95"/>
    </row>
    <row r="89" spans="1:16" s="28" customFormat="1" ht="23.25" customHeight="1" x14ac:dyDescent="0.2">
      <c r="A89" s="11" t="s">
        <v>182</v>
      </c>
      <c r="B89" s="11" t="s">
        <v>33</v>
      </c>
      <c r="C89" s="11">
        <v>88316</v>
      </c>
      <c r="D89" s="11" t="s">
        <v>34</v>
      </c>
      <c r="E89" s="20" t="s">
        <v>156</v>
      </c>
      <c r="F89" s="13" t="s">
        <v>154</v>
      </c>
      <c r="G89" s="11">
        <v>16</v>
      </c>
      <c r="H89" s="66">
        <v>28.17</v>
      </c>
      <c r="I89" s="14">
        <f t="shared" si="51"/>
        <v>6.2875440000000005</v>
      </c>
      <c r="J89" s="14">
        <f t="shared" si="52"/>
        <v>34.457543999999999</v>
      </c>
      <c r="K89" s="14">
        <f t="shared" si="53"/>
        <v>1.0337263199999999E-2</v>
      </c>
      <c r="L89" s="14">
        <f t="shared" si="54"/>
        <v>34.447206736799998</v>
      </c>
      <c r="M89" s="14">
        <f t="shared" si="55"/>
        <v>551.15530778879997</v>
      </c>
      <c r="N89" s="14">
        <f t="shared" si="56"/>
        <v>7.0861172661850136E-3</v>
      </c>
      <c r="O89" s="95"/>
      <c r="P89" s="62"/>
    </row>
    <row r="90" spans="1:16" s="28" customFormat="1" ht="23.25" customHeight="1" x14ac:dyDescent="0.2">
      <c r="A90" s="83" t="s">
        <v>170</v>
      </c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5"/>
      <c r="O90" s="95"/>
    </row>
    <row r="91" spans="1:16" s="28" customFormat="1" ht="23.25" customHeight="1" x14ac:dyDescent="0.2">
      <c r="A91" s="61" t="s">
        <v>183</v>
      </c>
      <c r="B91" s="11" t="s">
        <v>33</v>
      </c>
      <c r="C91" s="68">
        <v>100991</v>
      </c>
      <c r="D91" s="11" t="s">
        <v>34</v>
      </c>
      <c r="E91" s="20" t="s">
        <v>171</v>
      </c>
      <c r="F91" s="13" t="s">
        <v>172</v>
      </c>
      <c r="G91" s="11">
        <v>300</v>
      </c>
      <c r="H91" s="65">
        <v>5.83</v>
      </c>
      <c r="I91" s="14">
        <f t="shared" ref="I91" si="57">H91*0.2232</f>
        <v>1.301256</v>
      </c>
      <c r="J91" s="14">
        <f t="shared" ref="J91" si="58">H91+I91</f>
        <v>7.1312560000000005</v>
      </c>
      <c r="K91" s="14">
        <f t="shared" ref="K91" si="59">J91*(0.03%)</f>
        <v>2.1393768E-3</v>
      </c>
      <c r="L91" s="14">
        <f t="shared" ref="L91" si="60">J91-K91</f>
        <v>7.1291166232000007</v>
      </c>
      <c r="M91" s="14">
        <f t="shared" ref="M91" si="61">L91*G91</f>
        <v>2138.7349869600002</v>
      </c>
      <c r="N91" s="14">
        <f t="shared" ref="N91:N92" si="62">M91/M$16</f>
        <v>2.7497379966625823E-2</v>
      </c>
      <c r="O91" s="95"/>
    </row>
    <row r="92" spans="1:16" s="28" customFormat="1" ht="23.25" customHeight="1" x14ac:dyDescent="0.2">
      <c r="A92" s="52" t="s">
        <v>184</v>
      </c>
      <c r="B92" s="11" t="s">
        <v>33</v>
      </c>
      <c r="C92" s="53">
        <v>95879</v>
      </c>
      <c r="D92" s="11" t="s">
        <v>34</v>
      </c>
      <c r="E92" s="54" t="s">
        <v>173</v>
      </c>
      <c r="F92" s="53" t="s">
        <v>174</v>
      </c>
      <c r="G92" s="53">
        <f>18*300</f>
        <v>5400</v>
      </c>
      <c r="H92" s="69">
        <v>1.47</v>
      </c>
      <c r="I92" s="14">
        <f t="shared" ref="I92" si="63">H92*0.2232</f>
        <v>0.32810400000000001</v>
      </c>
      <c r="J92" s="14">
        <f t="shared" ref="J92" si="64">H92+I92</f>
        <v>1.7981039999999999</v>
      </c>
      <c r="K92" s="14">
        <f t="shared" ref="K92" si="65">J92*(0.03%)</f>
        <v>5.394311999999999E-4</v>
      </c>
      <c r="L92" s="14">
        <f t="shared" ref="L92" si="66">J92-K92</f>
        <v>1.7975645687999999</v>
      </c>
      <c r="M92" s="14">
        <f t="shared" ref="M92" si="67">L92*G92</f>
        <v>9706.8486715199997</v>
      </c>
      <c r="N92" s="14">
        <f t="shared" si="62"/>
        <v>0.12479942948832233</v>
      </c>
      <c r="O92" s="95"/>
    </row>
    <row r="93" spans="1:16" s="28" customFormat="1" ht="23.25" customHeight="1" x14ac:dyDescent="0.2">
      <c r="A93" s="84" t="s">
        <v>188</v>
      </c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5"/>
      <c r="N93" s="14"/>
      <c r="O93" s="95"/>
    </row>
    <row r="94" spans="1:16" s="28" customFormat="1" ht="23.25" customHeight="1" x14ac:dyDescent="0.2">
      <c r="A94" s="40" t="s">
        <v>175</v>
      </c>
      <c r="B94" s="32" t="s">
        <v>33</v>
      </c>
      <c r="C94" s="63">
        <v>88488</v>
      </c>
      <c r="D94" s="63" t="s">
        <v>34</v>
      </c>
      <c r="E94" s="64" t="s">
        <v>185</v>
      </c>
      <c r="F94" s="63" t="s">
        <v>122</v>
      </c>
      <c r="G94" s="63">
        <f>15.9+4+32</f>
        <v>51.9</v>
      </c>
      <c r="H94" s="70">
        <v>17.29</v>
      </c>
      <c r="I94" s="40">
        <f t="shared" ref="I94:I95" si="68">H94*0.2232</f>
        <v>3.8591280000000001</v>
      </c>
      <c r="J94" s="40">
        <f t="shared" ref="J94:J95" si="69">H94+I94</f>
        <v>21.149127999999997</v>
      </c>
      <c r="K94" s="40">
        <f t="shared" ref="K94:K95" si="70">J94*(0.03%)</f>
        <v>6.3447383999999983E-3</v>
      </c>
      <c r="L94" s="40">
        <f t="shared" ref="L94:L95" si="71">J94-K94</f>
        <v>21.142783261599998</v>
      </c>
      <c r="M94" s="40">
        <f t="shared" ref="M94:M95" si="72">L94*G94</f>
        <v>1097.3104512770399</v>
      </c>
      <c r="N94" s="14">
        <f>M94/M68</f>
        <v>1.7672438376659102E-2</v>
      </c>
      <c r="O94" s="95"/>
    </row>
    <row r="95" spans="1:16" s="28" customFormat="1" ht="23.25" customHeight="1" x14ac:dyDescent="0.2">
      <c r="A95" s="40" t="s">
        <v>176</v>
      </c>
      <c r="B95" s="32" t="s">
        <v>33</v>
      </c>
      <c r="C95" s="63" t="s">
        <v>186</v>
      </c>
      <c r="D95" s="63" t="s">
        <v>34</v>
      </c>
      <c r="E95" s="64" t="s">
        <v>187</v>
      </c>
      <c r="F95" s="63" t="s">
        <v>122</v>
      </c>
      <c r="G95" s="63">
        <f>1067.82-G94</f>
        <v>1015.92</v>
      </c>
      <c r="H95" s="70">
        <v>14.4</v>
      </c>
      <c r="I95" s="40">
        <f t="shared" si="68"/>
        <v>3.21408</v>
      </c>
      <c r="J95" s="40">
        <f t="shared" si="69"/>
        <v>17.614080000000001</v>
      </c>
      <c r="K95" s="40">
        <f t="shared" si="70"/>
        <v>5.2842239999999997E-3</v>
      </c>
      <c r="L95" s="40">
        <f t="shared" si="71"/>
        <v>17.608795776000001</v>
      </c>
      <c r="M95" s="40">
        <f t="shared" si="72"/>
        <v>17889.12780475392</v>
      </c>
      <c r="N95" s="14"/>
      <c r="O95" s="95"/>
    </row>
    <row r="96" spans="1:16" s="28" customFormat="1" ht="23.25" customHeight="1" x14ac:dyDescent="0.2">
      <c r="A96" s="52"/>
      <c r="B96" s="11"/>
      <c r="C96" s="53"/>
      <c r="D96" s="11"/>
      <c r="E96" s="54"/>
      <c r="F96" s="53"/>
      <c r="G96" s="53"/>
      <c r="H96" s="55"/>
      <c r="I96" s="14"/>
      <c r="J96" s="14"/>
      <c r="K96" s="14"/>
      <c r="L96" s="14"/>
      <c r="M96" s="14"/>
      <c r="N96" s="14"/>
      <c r="O96" s="95"/>
    </row>
    <row r="97" spans="1:16" s="39" customFormat="1" ht="17.100000000000001" customHeight="1" x14ac:dyDescent="0.2">
      <c r="A97" s="36"/>
      <c r="B97" s="36"/>
      <c r="C97" s="36"/>
      <c r="D97" s="36"/>
      <c r="E97" s="36"/>
      <c r="F97" s="36"/>
      <c r="G97" s="36"/>
      <c r="H97" s="58"/>
      <c r="I97" s="36"/>
      <c r="J97" s="36"/>
      <c r="K97" s="36"/>
      <c r="L97" s="36"/>
      <c r="M97" s="36"/>
      <c r="N97" s="36"/>
      <c r="O97" s="95"/>
    </row>
    <row r="98" spans="1:16" s="39" customFormat="1" ht="17.100000000000001" customHeight="1" x14ac:dyDescent="0.2">
      <c r="A98" s="99"/>
      <c r="B98" s="100"/>
      <c r="C98" s="100"/>
      <c r="D98" s="100"/>
      <c r="E98" s="100"/>
      <c r="F98" s="100"/>
      <c r="G98" s="100"/>
      <c r="H98" s="37" t="s">
        <v>39</v>
      </c>
      <c r="I98" s="38"/>
      <c r="J98" s="101">
        <f>M16+M33+M68</f>
        <v>162210.74006743217</v>
      </c>
      <c r="K98" s="102"/>
      <c r="L98" s="102"/>
      <c r="M98" s="102"/>
      <c r="N98" s="103"/>
      <c r="O98" s="94"/>
      <c r="P98" s="47"/>
    </row>
    <row r="99" spans="1:16" ht="17.100000000000001" customHeight="1" x14ac:dyDescent="0.3">
      <c r="A99" s="104" t="s">
        <v>96</v>
      </c>
      <c r="B99" s="105"/>
      <c r="C99" s="105"/>
      <c r="D99" s="105"/>
      <c r="E99" s="105"/>
      <c r="F99" s="105"/>
      <c r="G99" s="105"/>
      <c r="H99" s="106"/>
      <c r="I99" s="106"/>
      <c r="J99" s="106"/>
      <c r="K99" s="106"/>
      <c r="L99" s="106"/>
      <c r="M99" s="106"/>
      <c r="N99" s="107"/>
      <c r="O99" s="94"/>
    </row>
    <row r="100" spans="1:16" ht="17.100000000000001" customHeight="1" x14ac:dyDescent="0.3">
      <c r="A100" s="108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9"/>
      <c r="O100" s="94"/>
    </row>
    <row r="101" spans="1:16" ht="17.100000000000001" customHeight="1" x14ac:dyDescent="0.3">
      <c r="A101" s="108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9"/>
      <c r="O101" s="94"/>
    </row>
    <row r="102" spans="1:16" ht="17.100000000000001" customHeight="1" x14ac:dyDescent="0.3">
      <c r="A102" s="108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9"/>
      <c r="O102" s="94"/>
    </row>
    <row r="103" spans="1:16" ht="17.100000000000001" customHeight="1" x14ac:dyDescent="0.3">
      <c r="A103" s="108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9"/>
      <c r="O103" s="94"/>
    </row>
    <row r="104" spans="1:16" ht="17.100000000000001" customHeight="1" x14ac:dyDescent="0.3">
      <c r="A104" s="108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9"/>
      <c r="O104" s="94"/>
    </row>
    <row r="105" spans="1:16" ht="17.100000000000001" customHeight="1" x14ac:dyDescent="0.3">
      <c r="A105" s="110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2"/>
      <c r="O105" s="94"/>
    </row>
    <row r="106" spans="1:16" ht="17.100000000000001" customHeight="1" x14ac:dyDescent="0.3">
      <c r="A106" s="13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33"/>
    </row>
    <row r="107" spans="1:16" ht="17.100000000000001" customHeight="1" x14ac:dyDescent="0.3">
      <c r="A107" s="134" t="s">
        <v>40</v>
      </c>
      <c r="B107" s="135"/>
      <c r="C107" s="135"/>
      <c r="D107" s="135"/>
      <c r="E107" s="135"/>
      <c r="F107" s="135"/>
      <c r="G107" s="136" t="s">
        <v>41</v>
      </c>
      <c r="H107" s="136"/>
      <c r="I107" s="136"/>
      <c r="J107" s="136"/>
      <c r="K107" s="137"/>
      <c r="L107" s="138"/>
      <c r="M107" s="138"/>
      <c r="N107" s="139"/>
      <c r="O107" s="94" t="s">
        <v>42</v>
      </c>
    </row>
    <row r="108" spans="1:16" ht="17.100000000000001" customHeight="1" x14ac:dyDescent="0.3">
      <c r="A108" s="144" t="s">
        <v>43</v>
      </c>
      <c r="B108" s="145"/>
      <c r="C108" s="145"/>
      <c r="D108" s="145"/>
      <c r="E108" s="145"/>
      <c r="F108" s="146"/>
      <c r="G108" s="150" t="s">
        <v>44</v>
      </c>
      <c r="H108" s="145"/>
      <c r="I108" s="145"/>
      <c r="J108" s="146"/>
      <c r="K108" s="140"/>
      <c r="L108" s="141"/>
      <c r="M108" s="141"/>
      <c r="N108" s="142"/>
      <c r="O108" s="94"/>
    </row>
    <row r="109" spans="1:16" ht="17.100000000000001" customHeight="1" x14ac:dyDescent="0.3">
      <c r="A109" s="147"/>
      <c r="B109" s="148"/>
      <c r="C109" s="148"/>
      <c r="D109" s="148"/>
      <c r="E109" s="148"/>
      <c r="F109" s="149"/>
      <c r="G109" s="151"/>
      <c r="H109" s="148"/>
      <c r="I109" s="148"/>
      <c r="J109" s="149"/>
      <c r="K109" s="140"/>
      <c r="L109" s="141"/>
      <c r="M109" s="141"/>
      <c r="N109" s="142"/>
      <c r="O109" s="94"/>
    </row>
    <row r="110" spans="1:16" ht="17.100000000000001" customHeight="1" x14ac:dyDescent="0.3">
      <c r="A110" s="147"/>
      <c r="B110" s="148"/>
      <c r="C110" s="148"/>
      <c r="D110" s="148"/>
      <c r="E110" s="148"/>
      <c r="F110" s="149"/>
      <c r="G110" s="151"/>
      <c r="H110" s="148"/>
      <c r="I110" s="148"/>
      <c r="J110" s="149"/>
      <c r="K110" s="140"/>
      <c r="L110" s="141"/>
      <c r="M110" s="141"/>
      <c r="N110" s="142"/>
      <c r="O110" s="94"/>
    </row>
    <row r="111" spans="1:16" ht="17.100000000000001" customHeight="1" x14ac:dyDescent="0.3">
      <c r="A111" s="147"/>
      <c r="B111" s="148"/>
      <c r="C111" s="148"/>
      <c r="D111" s="148"/>
      <c r="E111" s="148"/>
      <c r="F111" s="149"/>
      <c r="G111" s="151"/>
      <c r="H111" s="148"/>
      <c r="I111" s="148"/>
      <c r="J111" s="149"/>
      <c r="K111" s="140"/>
      <c r="L111" s="141"/>
      <c r="M111" s="141"/>
      <c r="N111" s="142"/>
      <c r="O111" s="94"/>
    </row>
    <row r="112" spans="1:16" ht="17.100000000000001" customHeight="1" x14ac:dyDescent="0.3">
      <c r="A112" s="147"/>
      <c r="B112" s="148"/>
      <c r="C112" s="148"/>
      <c r="D112" s="148"/>
      <c r="E112" s="148"/>
      <c r="F112" s="149"/>
      <c r="G112" s="151"/>
      <c r="H112" s="148"/>
      <c r="I112" s="148"/>
      <c r="J112" s="149"/>
      <c r="K112" s="140"/>
      <c r="L112" s="141"/>
      <c r="M112" s="141"/>
      <c r="N112" s="142"/>
      <c r="O112" s="94"/>
    </row>
    <row r="113" spans="1:19" ht="17.100000000000001" customHeight="1" x14ac:dyDescent="0.3">
      <c r="A113" s="147"/>
      <c r="B113" s="148"/>
      <c r="C113" s="148"/>
      <c r="D113" s="148"/>
      <c r="E113" s="148"/>
      <c r="F113" s="149"/>
      <c r="G113" s="151"/>
      <c r="H113" s="148"/>
      <c r="I113" s="148"/>
      <c r="J113" s="149"/>
      <c r="K113" s="140"/>
      <c r="L113" s="141"/>
      <c r="M113" s="141"/>
      <c r="N113" s="142"/>
      <c r="O113" s="94"/>
    </row>
    <row r="114" spans="1:19" ht="17.100000000000001" customHeight="1" x14ac:dyDescent="0.3">
      <c r="A114" s="147"/>
      <c r="B114" s="148"/>
      <c r="C114" s="148"/>
      <c r="D114" s="148"/>
      <c r="E114" s="148"/>
      <c r="F114" s="149"/>
      <c r="G114" s="151"/>
      <c r="H114" s="148"/>
      <c r="I114" s="148"/>
      <c r="J114" s="149"/>
      <c r="K114" s="140"/>
      <c r="L114" s="141"/>
      <c r="M114" s="141"/>
      <c r="N114" s="142"/>
      <c r="O114" s="94"/>
    </row>
    <row r="115" spans="1:19" ht="17.100000000000001" customHeight="1" thickBot="1" x14ac:dyDescent="0.35">
      <c r="A115" s="147"/>
      <c r="B115" s="148"/>
      <c r="C115" s="148"/>
      <c r="D115" s="148"/>
      <c r="E115" s="148"/>
      <c r="F115" s="149"/>
      <c r="G115" s="151"/>
      <c r="H115" s="148"/>
      <c r="I115" s="148"/>
      <c r="J115" s="149"/>
      <c r="K115" s="140"/>
      <c r="L115" s="141"/>
      <c r="M115" s="141"/>
      <c r="N115" s="142"/>
      <c r="O115" s="143"/>
    </row>
    <row r="116" spans="1:19" ht="17.100000000000001" customHeight="1" thickBot="1" x14ac:dyDescent="0.35">
      <c r="A116" s="116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8"/>
    </row>
    <row r="117" spans="1:19" ht="17.100000000000001" customHeight="1" x14ac:dyDescent="0.3">
      <c r="A117" s="104" t="s">
        <v>45</v>
      </c>
      <c r="B117" s="105"/>
      <c r="C117" s="105"/>
      <c r="D117" s="109"/>
      <c r="E117" s="119" t="s">
        <v>46</v>
      </c>
      <c r="F117" s="105"/>
      <c r="G117" s="105"/>
      <c r="H117" s="105"/>
      <c r="I117" s="105"/>
      <c r="J117" s="105"/>
      <c r="K117" s="121" t="s">
        <v>47</v>
      </c>
      <c r="L117" s="122"/>
      <c r="M117" s="122"/>
      <c r="N117" s="122"/>
      <c r="O117" s="126" t="s">
        <v>48</v>
      </c>
    </row>
    <row r="118" spans="1:19" ht="17.100000000000001" customHeight="1" x14ac:dyDescent="0.3">
      <c r="A118" s="110"/>
      <c r="B118" s="111"/>
      <c r="C118" s="111"/>
      <c r="D118" s="112"/>
      <c r="E118" s="120"/>
      <c r="F118" s="111"/>
      <c r="G118" s="111"/>
      <c r="H118" s="111"/>
      <c r="I118" s="111"/>
      <c r="J118" s="111"/>
      <c r="K118" s="123"/>
      <c r="L118" s="122"/>
      <c r="M118" s="122"/>
      <c r="N118" s="122"/>
      <c r="O118" s="127"/>
    </row>
    <row r="119" spans="1:19" ht="17.100000000000001" customHeight="1" x14ac:dyDescent="0.3">
      <c r="A119" s="129" t="s">
        <v>49</v>
      </c>
      <c r="B119" s="106"/>
      <c r="C119" s="106"/>
      <c r="D119" s="106"/>
      <c r="E119" s="106"/>
      <c r="F119" s="106"/>
      <c r="G119" s="106"/>
      <c r="H119" s="106"/>
      <c r="I119" s="106"/>
      <c r="J119" s="106"/>
      <c r="K119" s="123"/>
      <c r="L119" s="122"/>
      <c r="M119" s="122"/>
      <c r="N119" s="122"/>
      <c r="O119" s="127"/>
    </row>
    <row r="120" spans="1:19" ht="17.100000000000001" customHeight="1" x14ac:dyDescent="0.3">
      <c r="A120" s="108"/>
      <c r="B120" s="105"/>
      <c r="C120" s="105"/>
      <c r="D120" s="105"/>
      <c r="E120" s="105"/>
      <c r="F120" s="105"/>
      <c r="G120" s="105"/>
      <c r="H120" s="105"/>
      <c r="I120" s="105"/>
      <c r="J120" s="105"/>
      <c r="K120" s="123"/>
      <c r="L120" s="122"/>
      <c r="M120" s="122"/>
      <c r="N120" s="122"/>
      <c r="O120" s="127"/>
    </row>
    <row r="121" spans="1:19" ht="17.100000000000001" customHeight="1" x14ac:dyDescent="0.3">
      <c r="A121" s="108"/>
      <c r="B121" s="105"/>
      <c r="C121" s="105"/>
      <c r="D121" s="105"/>
      <c r="E121" s="105"/>
      <c r="F121" s="105"/>
      <c r="G121" s="105"/>
      <c r="H121" s="105"/>
      <c r="I121" s="105"/>
      <c r="J121" s="105"/>
      <c r="K121" s="123"/>
      <c r="L121" s="122"/>
      <c r="M121" s="122"/>
      <c r="N121" s="122"/>
      <c r="O121" s="127"/>
    </row>
    <row r="122" spans="1:19" ht="17.100000000000001" customHeight="1" x14ac:dyDescent="0.3">
      <c r="A122" s="108"/>
      <c r="B122" s="105"/>
      <c r="C122" s="105"/>
      <c r="D122" s="105"/>
      <c r="E122" s="105"/>
      <c r="F122" s="105"/>
      <c r="G122" s="105"/>
      <c r="H122" s="105"/>
      <c r="I122" s="105"/>
      <c r="J122" s="105"/>
      <c r="K122" s="123"/>
      <c r="L122" s="122"/>
      <c r="M122" s="122"/>
      <c r="N122" s="122"/>
      <c r="O122" s="127"/>
    </row>
    <row r="123" spans="1:19" ht="17.100000000000001" customHeight="1" thickBot="1" x14ac:dyDescent="0.35">
      <c r="A123" s="130"/>
      <c r="B123" s="131"/>
      <c r="C123" s="131"/>
      <c r="D123" s="131"/>
      <c r="E123" s="131"/>
      <c r="F123" s="131"/>
      <c r="G123" s="131"/>
      <c r="H123" s="131"/>
      <c r="I123" s="131"/>
      <c r="J123" s="131"/>
      <c r="K123" s="124"/>
      <c r="L123" s="125"/>
      <c r="M123" s="125"/>
      <c r="N123" s="125"/>
      <c r="O123" s="128"/>
    </row>
    <row r="124" spans="1:19" ht="14.1" customHeight="1" x14ac:dyDescent="0.3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</row>
    <row r="125" spans="1:19" ht="14.1" customHeight="1" x14ac:dyDescent="0.3"/>
    <row r="126" spans="1:19" ht="14.1" customHeight="1" x14ac:dyDescent="0.3"/>
    <row r="127" spans="1:19" ht="14.1" customHeight="1" x14ac:dyDescent="0.3"/>
  </sheetData>
  <sortState xmlns:xlrd2="http://schemas.microsoft.com/office/spreadsheetml/2017/richdata2" ref="A34:N78">
    <sortCondition ref="E34:E78"/>
  </sortState>
  <mergeCells count="80">
    <mergeCell ref="O7:O13"/>
    <mergeCell ref="A8:I13"/>
    <mergeCell ref="J8:N8"/>
    <mergeCell ref="J9:N9"/>
    <mergeCell ref="J10:N10"/>
    <mergeCell ref="J11:N11"/>
    <mergeCell ref="J12:N12"/>
    <mergeCell ref="J13:N13"/>
    <mergeCell ref="B14:B15"/>
    <mergeCell ref="C14:C15"/>
    <mergeCell ref="D14:D15"/>
    <mergeCell ref="A1:I6"/>
    <mergeCell ref="J1:O1"/>
    <mergeCell ref="J2:O2"/>
    <mergeCell ref="J3:L3"/>
    <mergeCell ref="M3:N3"/>
    <mergeCell ref="J4:L4"/>
    <mergeCell ref="M4:N4"/>
    <mergeCell ref="J5:L5"/>
    <mergeCell ref="M5:N5"/>
    <mergeCell ref="J6:L6"/>
    <mergeCell ref="M6:N6"/>
    <mergeCell ref="A7:I7"/>
    <mergeCell ref="J7:N7"/>
    <mergeCell ref="A106:O106"/>
    <mergeCell ref="A107:F107"/>
    <mergeCell ref="G107:J107"/>
    <mergeCell ref="K107:N115"/>
    <mergeCell ref="O107:O115"/>
    <mergeCell ref="A108:F115"/>
    <mergeCell ref="G108:J115"/>
    <mergeCell ref="A124:J124"/>
    <mergeCell ref="K124:S124"/>
    <mergeCell ref="A116:O116"/>
    <mergeCell ref="A117:D118"/>
    <mergeCell ref="E117:J118"/>
    <mergeCell ref="K117:N123"/>
    <mergeCell ref="O117:O123"/>
    <mergeCell ref="A119:J123"/>
    <mergeCell ref="O14:O105"/>
    <mergeCell ref="A31:A32"/>
    <mergeCell ref="B31:B32"/>
    <mergeCell ref="C31:C32"/>
    <mergeCell ref="D31:D32"/>
    <mergeCell ref="E31:E32"/>
    <mergeCell ref="F31:F32"/>
    <mergeCell ref="G31:G32"/>
    <mergeCell ref="B68:F68"/>
    <mergeCell ref="A98:G98"/>
    <mergeCell ref="J98:N98"/>
    <mergeCell ref="A99:N105"/>
    <mergeCell ref="E66:E67"/>
    <mergeCell ref="F66:F67"/>
    <mergeCell ref="G66:G67"/>
    <mergeCell ref="E14:E15"/>
    <mergeCell ref="A93:M93"/>
    <mergeCell ref="A14:A15"/>
    <mergeCell ref="A72:N72"/>
    <mergeCell ref="H31:L31"/>
    <mergeCell ref="M31:M32"/>
    <mergeCell ref="A76:N76"/>
    <mergeCell ref="F14:F15"/>
    <mergeCell ref="G14:G15"/>
    <mergeCell ref="H14:L14"/>
    <mergeCell ref="M14:M15"/>
    <mergeCell ref="N14:N15"/>
    <mergeCell ref="N31:N32"/>
    <mergeCell ref="B33:F33"/>
    <mergeCell ref="A66:A67"/>
    <mergeCell ref="B66:B67"/>
    <mergeCell ref="C66:C67"/>
    <mergeCell ref="A25:D25"/>
    <mergeCell ref="A27:D27"/>
    <mergeCell ref="A81:N81"/>
    <mergeCell ref="A86:N86"/>
    <mergeCell ref="A90:N90"/>
    <mergeCell ref="D66:D67"/>
    <mergeCell ref="N66:N67"/>
    <mergeCell ref="H66:L66"/>
    <mergeCell ref="M66:M67"/>
  </mergeCells>
  <phoneticPr fontId="13" type="noConversion"/>
  <pageMargins left="0.25" right="0.25" top="0.75" bottom="0.75" header="0.3" footer="0.3"/>
  <pageSetup paperSize="9" scale="53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C476279ECFF49B7018EB20C51517F" ma:contentTypeVersion="12" ma:contentTypeDescription="Crie um novo documento." ma:contentTypeScope="" ma:versionID="34a0628b53b29352da2689cb67653714">
  <xsd:schema xmlns:xsd="http://www.w3.org/2001/XMLSchema" xmlns:xs="http://www.w3.org/2001/XMLSchema" xmlns:p="http://schemas.microsoft.com/office/2006/metadata/properties" xmlns:ns1="http://schemas.microsoft.com/sharepoint/v3" xmlns:ns2="0e7c8a86-84e5-4d34-8d3b-2e08d231c207" xmlns:ns3="1d1dcbf2-98b8-40e7-8092-e982a632e348" targetNamespace="http://schemas.microsoft.com/office/2006/metadata/properties" ma:root="true" ma:fieldsID="226731e1c54f699cb1f59e9a6e85886a" ns1:_="" ns2:_="" ns3:_="">
    <xsd:import namespace="http://schemas.microsoft.com/sharepoint/v3"/>
    <xsd:import namespace="0e7c8a86-84e5-4d34-8d3b-2e08d231c207"/>
    <xsd:import namespace="1d1dcbf2-98b8-40e7-8092-e982a632e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c8a86-84e5-4d34-8d3b-2e08d231c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91ea95-0c2d-4cc1-8ba1-2cbd03c80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dcbf2-98b8-40e7-8092-e982a632e3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2901c6-92c3-4448-8229-dbefe5f23788}" ma:internalName="TaxCatchAll" ma:showField="CatchAllData" ma:web="1d1dcbf2-98b8-40e7-8092-e982a632e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7c8a86-84e5-4d34-8d3b-2e08d231c207">
      <Terms xmlns="http://schemas.microsoft.com/office/infopath/2007/PartnerControls"/>
    </lcf76f155ced4ddcb4097134ff3c332f>
    <TaxCatchAll xmlns="1d1dcbf2-98b8-40e7-8092-e982a632e3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871556C-E1AA-4D9E-92D0-1CE2BECD4D83}"/>
</file>

<file path=customXml/itemProps2.xml><?xml version="1.0" encoding="utf-8"?>
<ds:datastoreItem xmlns:ds="http://schemas.openxmlformats.org/officeDocument/2006/customXml" ds:itemID="{3CD0ECA8-6D26-4DE0-8A9E-E9DF77C18694}"/>
</file>

<file path=customXml/itemProps3.xml><?xml version="1.0" encoding="utf-8"?>
<ds:datastoreItem xmlns:ds="http://schemas.openxmlformats.org/officeDocument/2006/customXml" ds:itemID="{9D971B45-ED5A-4C1A-8DE7-76CE1C74E9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São Carlos</vt:lpstr>
      <vt:lpstr>'São Carlos'!Area_de_impressao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Anivaldo Junior</dc:creator>
  <cp:lastModifiedBy>Ivan</cp:lastModifiedBy>
  <cp:lastPrinted>2025-06-27T15:30:20Z</cp:lastPrinted>
  <dcterms:created xsi:type="dcterms:W3CDTF">2022-01-02T19:12:46Z</dcterms:created>
  <dcterms:modified xsi:type="dcterms:W3CDTF">2025-06-27T15:30:33Z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0x0101006F8C476279ECFF49B7018EB20C51517F</vt:lpwstr>
  </property>
</Properties>
</file>