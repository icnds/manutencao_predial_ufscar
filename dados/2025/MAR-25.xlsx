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G:\Meu Drive\0-Gi contrato 2022\Medições\34-Março-25\"/>
    </mc:Choice>
  </mc:AlternateContent>
  <xr:revisionPtr revIDLastSave="0" documentId="13_ncr:1_{72CA2428-ABC0-4008-A12D-B6BFE497E124}" xr6:coauthVersionLast="47" xr6:coauthVersionMax="47" xr10:uidLastSave="{00000000-0000-0000-0000-000000000000}"/>
  <bookViews>
    <workbookView xWindow="-38520" yWindow="-10290" windowWidth="38640" windowHeight="21240" xr2:uid="{00000000-000D-0000-FFFF-FFFF00000000}"/>
  </bookViews>
  <sheets>
    <sheet name="São Carlos" sheetId="1" r:id="rId1"/>
  </sheets>
  <definedNames>
    <definedName name="_xlnm.Print_Area" localSheetId="0">'São Carlos'!$A$1:$O$119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0" i="1" l="1"/>
  <c r="I90" i="1"/>
  <c r="J90" i="1" s="1"/>
  <c r="G88" i="1"/>
  <c r="I88" i="1"/>
  <c r="J88" i="1" s="1"/>
  <c r="K88" i="1" s="1"/>
  <c r="G86" i="1"/>
  <c r="I86" i="1"/>
  <c r="J86" i="1" s="1"/>
  <c r="I32" i="1"/>
  <c r="J32" i="1" s="1"/>
  <c r="K32" i="1" s="1"/>
  <c r="I37" i="1"/>
  <c r="J37" i="1" s="1"/>
  <c r="I38" i="1"/>
  <c r="J38" i="1" s="1"/>
  <c r="I39" i="1"/>
  <c r="J39" i="1" s="1"/>
  <c r="I40" i="1"/>
  <c r="J40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61" i="1"/>
  <c r="J61" i="1" s="1"/>
  <c r="I60" i="1"/>
  <c r="J60" i="1" s="1"/>
  <c r="G59" i="1"/>
  <c r="I59" i="1"/>
  <c r="J59" i="1" s="1"/>
  <c r="G58" i="1"/>
  <c r="I58" i="1"/>
  <c r="J58" i="1" s="1"/>
  <c r="I69" i="1"/>
  <c r="J69" i="1" s="1"/>
  <c r="I65" i="1"/>
  <c r="J65" i="1" s="1"/>
  <c r="K65" i="1" s="1"/>
  <c r="I66" i="1"/>
  <c r="J66" i="1" s="1"/>
  <c r="K66" i="1" s="1"/>
  <c r="I67" i="1"/>
  <c r="J67" i="1" s="1"/>
  <c r="I68" i="1"/>
  <c r="J68" i="1" s="1"/>
  <c r="K68" i="1" s="1"/>
  <c r="G67" i="1"/>
  <c r="G65" i="1"/>
  <c r="I84" i="1"/>
  <c r="J84" i="1" s="1"/>
  <c r="K90" i="1" l="1"/>
  <c r="L90" i="1" s="1"/>
  <c r="M90" i="1" s="1"/>
  <c r="L88" i="1"/>
  <c r="M88" i="1" s="1"/>
  <c r="K86" i="1"/>
  <c r="L86" i="1" s="1"/>
  <c r="M86" i="1" s="1"/>
  <c r="L32" i="1"/>
  <c r="M32" i="1" s="1"/>
  <c r="K37" i="1"/>
  <c r="L37" i="1" s="1"/>
  <c r="M37" i="1" s="1"/>
  <c r="K38" i="1"/>
  <c r="L38" i="1" s="1"/>
  <c r="M38" i="1" s="1"/>
  <c r="N38" i="1" s="1"/>
  <c r="K39" i="1"/>
  <c r="L39" i="1" s="1"/>
  <c r="M39" i="1" s="1"/>
  <c r="N39" i="1" s="1"/>
  <c r="K40" i="1"/>
  <c r="L40" i="1" s="1"/>
  <c r="M40" i="1" s="1"/>
  <c r="K45" i="1"/>
  <c r="L45" i="1" s="1"/>
  <c r="M45" i="1" s="1"/>
  <c r="K46" i="1"/>
  <c r="L46" i="1" s="1"/>
  <c r="M46" i="1" s="1"/>
  <c r="K47" i="1"/>
  <c r="L47" i="1" s="1"/>
  <c r="M47" i="1" s="1"/>
  <c r="K48" i="1"/>
  <c r="L48" i="1" s="1"/>
  <c r="M48" i="1" s="1"/>
  <c r="K49" i="1"/>
  <c r="L49" i="1" s="1"/>
  <c r="M49" i="1" s="1"/>
  <c r="N49" i="1" s="1"/>
  <c r="K50" i="1"/>
  <c r="L50" i="1" s="1"/>
  <c r="M50" i="1" s="1"/>
  <c r="K51" i="1"/>
  <c r="L51" i="1" s="1"/>
  <c r="M51" i="1" s="1"/>
  <c r="K52" i="1"/>
  <c r="L52" i="1" s="1"/>
  <c r="M52" i="1" s="1"/>
  <c r="K53" i="1"/>
  <c r="L53" i="1" s="1"/>
  <c r="M53" i="1" s="1"/>
  <c r="N53" i="1" s="1"/>
  <c r="K54" i="1"/>
  <c r="L54" i="1" s="1"/>
  <c r="M54" i="1" s="1"/>
  <c r="K55" i="1"/>
  <c r="L55" i="1" s="1"/>
  <c r="M55" i="1" s="1"/>
  <c r="K56" i="1"/>
  <c r="L56" i="1" s="1"/>
  <c r="M56" i="1" s="1"/>
  <c r="K67" i="1"/>
  <c r="L67" i="1" s="1"/>
  <c r="M67" i="1" s="1"/>
  <c r="L65" i="1"/>
  <c r="M65" i="1" s="1"/>
  <c r="K61" i="1"/>
  <c r="L61" i="1" s="1"/>
  <c r="M61" i="1" s="1"/>
  <c r="K60" i="1"/>
  <c r="L60" i="1" s="1"/>
  <c r="M60" i="1" s="1"/>
  <c r="K59" i="1"/>
  <c r="L59" i="1" s="1"/>
  <c r="M59" i="1" s="1"/>
  <c r="K58" i="1"/>
  <c r="L58" i="1" s="1"/>
  <c r="M58" i="1" s="1"/>
  <c r="K69" i="1"/>
  <c r="L69" i="1" s="1"/>
  <c r="M69" i="1" s="1"/>
  <c r="L68" i="1"/>
  <c r="M68" i="1" s="1"/>
  <c r="L66" i="1"/>
  <c r="M66" i="1" s="1"/>
  <c r="K84" i="1"/>
  <c r="L84" i="1" s="1"/>
  <c r="M84" i="1" s="1"/>
  <c r="N56" i="1" l="1"/>
  <c r="N52" i="1"/>
  <c r="N48" i="1"/>
  <c r="N66" i="1"/>
  <c r="N59" i="1"/>
  <c r="N55" i="1"/>
  <c r="N51" i="1"/>
  <c r="N47" i="1"/>
  <c r="N67" i="1"/>
  <c r="N68" i="1"/>
  <c r="N60" i="1"/>
  <c r="N40" i="1"/>
  <c r="N69" i="1"/>
  <c r="N61" i="1"/>
  <c r="N54" i="1"/>
  <c r="N50" i="1"/>
  <c r="N46" i="1"/>
  <c r="I83" i="1" l="1"/>
  <c r="J83" i="1" s="1"/>
  <c r="I64" i="1"/>
  <c r="J64" i="1" s="1"/>
  <c r="I63" i="1"/>
  <c r="J63" i="1" s="1"/>
  <c r="I62" i="1"/>
  <c r="J62" i="1" s="1"/>
  <c r="I57" i="1"/>
  <c r="J57" i="1" s="1"/>
  <c r="I44" i="1"/>
  <c r="J44" i="1" s="1"/>
  <c r="I43" i="1"/>
  <c r="J43" i="1" s="1"/>
  <c r="I42" i="1"/>
  <c r="J42" i="1" s="1"/>
  <c r="I41" i="1"/>
  <c r="J41" i="1" s="1"/>
  <c r="I36" i="1"/>
  <c r="J36" i="1" s="1"/>
  <c r="K36" i="1" s="1"/>
  <c r="I35" i="1"/>
  <c r="J35" i="1" s="1"/>
  <c r="I34" i="1"/>
  <c r="J34" i="1" s="1"/>
  <c r="I33" i="1"/>
  <c r="J33" i="1" s="1"/>
  <c r="K83" i="1" l="1"/>
  <c r="L83" i="1" s="1"/>
  <c r="M83" i="1" s="1"/>
  <c r="K64" i="1"/>
  <c r="L64" i="1" s="1"/>
  <c r="M64" i="1" s="1"/>
  <c r="K63" i="1"/>
  <c r="L63" i="1" s="1"/>
  <c r="M63" i="1" s="1"/>
  <c r="K62" i="1"/>
  <c r="L62" i="1" s="1"/>
  <c r="M62" i="1" s="1"/>
  <c r="N62" i="1" s="1"/>
  <c r="K57" i="1"/>
  <c r="L57" i="1" s="1"/>
  <c r="M57" i="1" s="1"/>
  <c r="K44" i="1"/>
  <c r="L44" i="1" s="1"/>
  <c r="M44" i="1" s="1"/>
  <c r="K43" i="1"/>
  <c r="L43" i="1" s="1"/>
  <c r="M43" i="1" s="1"/>
  <c r="K42" i="1"/>
  <c r="L42" i="1" s="1"/>
  <c r="M42" i="1" s="1"/>
  <c r="N42" i="1" s="1"/>
  <c r="K41" i="1"/>
  <c r="L41" i="1" s="1"/>
  <c r="M41" i="1" s="1"/>
  <c r="N41" i="1" s="1"/>
  <c r="L36" i="1"/>
  <c r="M36" i="1" s="1"/>
  <c r="K35" i="1"/>
  <c r="L35" i="1" s="1"/>
  <c r="M35" i="1" s="1"/>
  <c r="K34" i="1"/>
  <c r="L34" i="1" s="1"/>
  <c r="M34" i="1" s="1"/>
  <c r="N34" i="1" s="1"/>
  <c r="K33" i="1"/>
  <c r="L33" i="1" s="1"/>
  <c r="M33" i="1" s="1"/>
  <c r="N33" i="1" s="1"/>
  <c r="N35" i="1" l="1"/>
  <c r="N43" i="1"/>
  <c r="N63" i="1"/>
  <c r="N36" i="1"/>
  <c r="N37" i="1"/>
  <c r="N44" i="1"/>
  <c r="N45" i="1"/>
  <c r="N64" i="1"/>
  <c r="N65" i="1"/>
  <c r="N57" i="1"/>
  <c r="N58" i="1"/>
  <c r="I81" i="1"/>
  <c r="J81" i="1" s="1"/>
  <c r="I79" i="1"/>
  <c r="J79" i="1" s="1"/>
  <c r="I80" i="1"/>
  <c r="J80" i="1" s="1"/>
  <c r="K80" i="1" s="1"/>
  <c r="K81" i="1" l="1"/>
  <c r="L81" i="1" s="1"/>
  <c r="M81" i="1" s="1"/>
  <c r="K79" i="1"/>
  <c r="L79" i="1" s="1"/>
  <c r="M79" i="1" s="1"/>
  <c r="L80" i="1"/>
  <c r="M80" i="1" s="1"/>
  <c r="M78" i="1" l="1"/>
  <c r="M31" i="1"/>
  <c r="N32" i="1" s="1"/>
  <c r="I18" i="1" l="1"/>
  <c r="J18" i="1" s="1"/>
  <c r="K18" i="1" s="1"/>
  <c r="I19" i="1"/>
  <c r="J19" i="1" s="1"/>
  <c r="I20" i="1"/>
  <c r="J20" i="1" s="1"/>
  <c r="K20" i="1" s="1"/>
  <c r="I21" i="1"/>
  <c r="J21" i="1" s="1"/>
  <c r="I22" i="1"/>
  <c r="J22" i="1" s="1"/>
  <c r="K22" i="1" s="1"/>
  <c r="I23" i="1"/>
  <c r="J23" i="1" s="1"/>
  <c r="I24" i="1"/>
  <c r="J24" i="1" s="1"/>
  <c r="K24" i="1" s="1"/>
  <c r="I25" i="1"/>
  <c r="J25" i="1" s="1"/>
  <c r="I26" i="1"/>
  <c r="J26" i="1" s="1"/>
  <c r="K26" i="1" s="1"/>
  <c r="I27" i="1"/>
  <c r="J27" i="1" s="1"/>
  <c r="I28" i="1"/>
  <c r="J28" i="1" s="1"/>
  <c r="K28" i="1" s="1"/>
  <c r="K23" i="1" l="1"/>
  <c r="L23" i="1" s="1"/>
  <c r="M23" i="1" s="1"/>
  <c r="K25" i="1"/>
  <c r="L25" i="1" s="1"/>
  <c r="M25" i="1" s="1"/>
  <c r="K27" i="1"/>
  <c r="L27" i="1" s="1"/>
  <c r="M27" i="1" s="1"/>
  <c r="K19" i="1"/>
  <c r="L19" i="1" s="1"/>
  <c r="M19" i="1" s="1"/>
  <c r="K21" i="1"/>
  <c r="L21" i="1" s="1"/>
  <c r="M21" i="1" s="1"/>
  <c r="L28" i="1"/>
  <c r="M28" i="1" s="1"/>
  <c r="L26" i="1"/>
  <c r="M26" i="1" s="1"/>
  <c r="L24" i="1"/>
  <c r="M24" i="1" s="1"/>
  <c r="L22" i="1"/>
  <c r="M22" i="1" s="1"/>
  <c r="L20" i="1"/>
  <c r="M20" i="1" s="1"/>
  <c r="L18" i="1"/>
  <c r="M18" i="1" s="1"/>
  <c r="I17" i="1"/>
  <c r="J17" i="1" s="1"/>
  <c r="K17" i="1" s="1"/>
  <c r="L17" i="1" l="1"/>
  <c r="M17" i="1" s="1"/>
  <c r="M16" i="1" s="1"/>
  <c r="N84" i="1" l="1"/>
  <c r="N90" i="1"/>
  <c r="N86" i="1"/>
  <c r="N88" i="1"/>
  <c r="N83" i="1"/>
  <c r="N79" i="1"/>
  <c r="N81" i="1"/>
  <c r="N80" i="1"/>
  <c r="N19" i="1"/>
  <c r="N18" i="1"/>
  <c r="N23" i="1"/>
  <c r="N21" i="1"/>
  <c r="N26" i="1"/>
  <c r="N20" i="1"/>
  <c r="N27" i="1"/>
  <c r="N25" i="1"/>
  <c r="N24" i="1"/>
  <c r="N28" i="1"/>
  <c r="N22" i="1"/>
  <c r="N17" i="1"/>
  <c r="J94" i="1"/>
  <c r="N16" i="1" l="1"/>
</calcChain>
</file>

<file path=xl/sharedStrings.xml><?xml version="1.0" encoding="utf-8"?>
<sst xmlns="http://schemas.openxmlformats.org/spreadsheetml/2006/main" count="385" uniqueCount="182">
  <si>
    <t>LOGO</t>
  </si>
  <si>
    <t>Ordem de Serviço</t>
  </si>
  <si>
    <t>Prioridade:</t>
  </si>
  <si>
    <t>URGENTE</t>
  </si>
  <si>
    <t xml:space="preserve">24 horas </t>
  </si>
  <si>
    <t>ALTA</t>
  </si>
  <si>
    <t>3 dias</t>
  </si>
  <si>
    <t>MÉDIA</t>
  </si>
  <si>
    <t>7 dias</t>
  </si>
  <si>
    <t>BAIXA</t>
  </si>
  <si>
    <t xml:space="preserve">15 dias </t>
  </si>
  <si>
    <r>
      <t xml:space="preserve">UNIDADE: </t>
    </r>
    <r>
      <rPr>
        <sz val="8"/>
        <color rgb="FFFF0000"/>
        <rFont val="Arial"/>
        <family val="2"/>
      </rPr>
      <t>UFSCar Campus São Carlos</t>
    </r>
  </si>
  <si>
    <t>SOLICITAÇÃO</t>
  </si>
  <si>
    <r>
      <t xml:space="preserve">Solicitante: </t>
    </r>
    <r>
      <rPr>
        <sz val="8"/>
        <color rgb="FFFF0000"/>
        <rFont val="Arial"/>
        <family val="2"/>
      </rPr>
      <t>Prefeitura Universitária do Campus São Carlos</t>
    </r>
  </si>
  <si>
    <r>
      <t xml:space="preserve">Ambiente: </t>
    </r>
    <r>
      <rPr>
        <sz val="8"/>
        <color rgb="FFFF0000"/>
        <rFont val="Arial"/>
        <family val="2"/>
      </rPr>
      <t>Campus São Carlos</t>
    </r>
  </si>
  <si>
    <r>
      <t xml:space="preserve">Prazo de execução: </t>
    </r>
    <r>
      <rPr>
        <sz val="8"/>
        <color rgb="FFFF0000"/>
        <rFont val="Arial"/>
        <family val="2"/>
      </rPr>
      <t>Continuado</t>
    </r>
  </si>
  <si>
    <t>ITEM</t>
  </si>
  <si>
    <t>TIPO</t>
  </si>
  <si>
    <t>CÓDIGO</t>
  </si>
  <si>
    <t>BANCO</t>
  </si>
  <si>
    <t>DESCRIÇÃO DAS ETAPAS</t>
  </si>
  <si>
    <t>UNID.</t>
  </si>
  <si>
    <t>QUANT.</t>
  </si>
  <si>
    <t>PREÇO</t>
  </si>
  <si>
    <t>TOTAL DA ETAPA</t>
  </si>
  <si>
    <t>%</t>
  </si>
  <si>
    <t>ORÇAMENTO</t>
  </si>
  <si>
    <t>UNITÁRIO SEM BDI</t>
  </si>
  <si>
    <t>BDI (22,32%)</t>
  </si>
  <si>
    <t>UNITÁRIO COM BDI</t>
  </si>
  <si>
    <t>UNITÁRIO C/ BDI e DESCONTO</t>
  </si>
  <si>
    <t>EQUIPE DE PRESTAÇÃO DE SERVIÇOS ROTINEIROS DE MANUTENÇÃO PREDIAL</t>
  </si>
  <si>
    <t>1.1</t>
  </si>
  <si>
    <t xml:space="preserve">Composição </t>
  </si>
  <si>
    <t>SINAPI</t>
  </si>
  <si>
    <t>h</t>
  </si>
  <si>
    <t>BDI (15,32%)</t>
  </si>
  <si>
    <t>MATERIAIS NECESSÁRIOS PARA O DESEMPENHO DAS ROTINAS</t>
  </si>
  <si>
    <t>SERVIÇOS / EQUIPAMENTOS ADICIONAIS NECESSÁRIOS DURANTE AS ROTINAS</t>
  </si>
  <si>
    <t>TOTAL DO SERVIÇO - R$</t>
  </si>
  <si>
    <t>APROVAÇÃO DO ORÇAMENTO</t>
  </si>
  <si>
    <t>Ordem Serviço Eletrônica</t>
  </si>
  <si>
    <t>APROVAÇÃO ORÇAMENTO</t>
  </si>
  <si>
    <t>Conforme Serviços.UFSCar</t>
  </si>
  <si>
    <t xml:space="preserve">
Conforme Servicos.UFSCar
</t>
  </si>
  <si>
    <t xml:space="preserve">Data de início:
Hora de início:
</t>
  </si>
  <si>
    <t xml:space="preserve">Data de conclusão:
Hora de conclusão:
</t>
  </si>
  <si>
    <t xml:space="preserve"> _____________________________________________
Fiscal do Contrato / Assinatura
</t>
  </si>
  <si>
    <t xml:space="preserve">EXECUÇÃO / ATESTE DE
APROVAÇAO DO SERVIÇO
</t>
  </si>
  <si>
    <t xml:space="preserve">Observações do fiscal do contrato: </t>
  </si>
  <si>
    <r>
      <t xml:space="preserve">Prazo de início: </t>
    </r>
    <r>
      <rPr>
        <sz val="8"/>
        <color rgb="FFFF0000"/>
        <rFont val="Arial"/>
        <family val="2"/>
      </rPr>
      <t>13/06/2022</t>
    </r>
  </si>
  <si>
    <r>
      <t xml:space="preserve">CONTRATO: </t>
    </r>
    <r>
      <rPr>
        <sz val="8"/>
        <color rgb="FFFF0000"/>
        <rFont val="Arial"/>
        <family val="2"/>
      </rPr>
      <t xml:space="preserve"> 023/2022</t>
    </r>
  </si>
  <si>
    <t>DESCONTO (0,03%)</t>
  </si>
  <si>
    <t>ESCONTO (0,03%)</t>
  </si>
  <si>
    <t xml:space="preserve"> 88267 </t>
  </si>
  <si>
    <t>ENCANADOR OU BOMBEIRO HIDRÁULICO COM ENCARGOS COMPLEMENTARES</t>
  </si>
  <si>
    <t xml:space="preserve"> 88248 </t>
  </si>
  <si>
    <t>AUXILIAR DE ENCANADOR OU BOMBEIRO HIDRÁULICO COM ENCARGOS COMPLEMENTARES</t>
  </si>
  <si>
    <t xml:space="preserve"> 88309 </t>
  </si>
  <si>
    <t>PEDREIRO COM ENCARGOS COMPLEMENTARES</t>
  </si>
  <si>
    <t xml:space="preserve"> 88242 </t>
  </si>
  <si>
    <t>AJUDANTE DE PEDREIRO COM ENCARGOS COMPLEMENTARES</t>
  </si>
  <si>
    <t>ENCARREGADO GERAL COM ENCARGOS COMPLEMENTARES</t>
  </si>
  <si>
    <t xml:space="preserve"> 88241 </t>
  </si>
  <si>
    <t>AJUDANTE DE OPERAÇÃO EM GERAL COM ENCARGOS COMPLEMENTARES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</si>
  <si>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</si>
  <si>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</si>
  <si>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</si>
  <si>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</si>
  <si>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</si>
  <si>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</si>
  <si>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</si>
  <si>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</si>
  <si>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</si>
  <si>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</si>
  <si>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</si>
  <si>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3.1</t>
  </si>
  <si>
    <t>3.3</t>
  </si>
  <si>
    <t>3.2</t>
  </si>
  <si>
    <t>PINTOR COM ENCARGOS COMPLEMENTARES</t>
  </si>
  <si>
    <t>3.4</t>
  </si>
  <si>
    <t>Insumos</t>
  </si>
  <si>
    <t>2.5</t>
  </si>
  <si>
    <t>2.24</t>
  </si>
  <si>
    <t>2.11</t>
  </si>
  <si>
    <t>2.15</t>
  </si>
  <si>
    <t>2.20</t>
  </si>
  <si>
    <t>2.10</t>
  </si>
  <si>
    <t>2.1</t>
  </si>
  <si>
    <t>2.3</t>
  </si>
  <si>
    <t>2.7</t>
  </si>
  <si>
    <t>2.9</t>
  </si>
  <si>
    <t>2.12</t>
  </si>
  <si>
    <t>2.18</t>
  </si>
  <si>
    <t>2.23</t>
  </si>
  <si>
    <t>2.25</t>
  </si>
  <si>
    <t>2.28</t>
  </si>
  <si>
    <r>
      <t xml:space="preserve">Observações: 
1) As composições de custos apresentadas nesta planilha orçamentária englobam em seu valor toda a mão de obra, materiais, ferramentas, equipamentos e demais itens necessários à sua perfeita e completa execução.
2) Preços das composições e insumos do </t>
    </r>
    <r>
      <rPr>
        <b/>
        <sz val="8"/>
        <color rgb="FFFF0000"/>
        <rFont val="Arial"/>
        <family val="2"/>
      </rPr>
      <t xml:space="preserve">SINAPI São Paulo (mês 05/2024) </t>
    </r>
    <r>
      <rPr>
        <sz val="8"/>
        <color theme="1"/>
        <rFont val="Arial"/>
        <family val="2"/>
      </rPr>
      <t xml:space="preserve">e/ou demais preços do mercado vigentes na mesma data.
3) A identificação de materiais ou equipamentos por determinada marca implica apenas na caracterização de uma analogia ou similaridade, não tendo caráter vinculante e sim, meramente indicativo.
4) O BDI e o desconto adotados são os acordados no respectivo contrato, bem como a modalidade de impostos desonerados ou padrão, considerando o ISS da Prefeitura local do serviço.
</t>
    </r>
  </si>
  <si>
    <r>
      <t xml:space="preserve">Mês de referência: </t>
    </r>
    <r>
      <rPr>
        <sz val="8"/>
        <color rgb="FFFF0000"/>
        <rFont val="Arial"/>
        <family val="2"/>
      </rPr>
      <t>Maio/2024 (data da proposta)</t>
    </r>
  </si>
  <si>
    <r>
      <t xml:space="preserve">Data Orçamento: </t>
    </r>
    <r>
      <rPr>
        <sz val="8"/>
        <color rgb="FFFF0000"/>
        <rFont val="Arial"/>
        <family val="2"/>
      </rPr>
      <t>Jun/22</t>
    </r>
  </si>
  <si>
    <t>ORSE</t>
  </si>
  <si>
    <t>L</t>
  </si>
  <si>
    <t>2.6</t>
  </si>
  <si>
    <t>2.4</t>
  </si>
  <si>
    <t>2.22</t>
  </si>
  <si>
    <t>2.2</t>
  </si>
  <si>
    <t>2.8</t>
  </si>
  <si>
    <t>2.13</t>
  </si>
  <si>
    <t>2.14</t>
  </si>
  <si>
    <t>2.16</t>
  </si>
  <si>
    <t>2.17</t>
  </si>
  <si>
    <t>2.19</t>
  </si>
  <si>
    <t>2.21</t>
  </si>
  <si>
    <t>2.26</t>
  </si>
  <si>
    <t>2.27</t>
  </si>
  <si>
    <t>2.30</t>
  </si>
  <si>
    <t>2.29</t>
  </si>
  <si>
    <t>2.31</t>
  </si>
  <si>
    <t>3.8</t>
  </si>
  <si>
    <t>TINTA ACRILICA PREMIUM PARA PISO</t>
  </si>
  <si>
    <t>KG</t>
  </si>
  <si>
    <t>M</t>
  </si>
  <si>
    <t>RUFO EM CHAPA DE AÇO GALVANIZADO NÚMERO 24, CORTE DE 25 CM, INCLUSO TRANSPORTE VERTICAL. AF_07/2019</t>
  </si>
  <si>
    <t>ADESIVO PLASTICO PARA PVC, FRASCO COM *850* GR</t>
  </si>
  <si>
    <t>2.32</t>
  </si>
  <si>
    <t>2.35</t>
  </si>
  <si>
    <t>CIMENTO PORTLAND COMPOSTO CP II-32</t>
  </si>
  <si>
    <t>MANTA ASFALTICA ELASTOMERICA EM POLIESTER ALUMINIZADA 3 MM, TIPO III, CLASSE B (NBR 9952)</t>
  </si>
  <si>
    <t>M2</t>
  </si>
  <si>
    <t>TINTA LATEX ACRILICA STANDARD, COR BRANCA</t>
  </si>
  <si>
    <t>2.33</t>
  </si>
  <si>
    <t>2.34</t>
  </si>
  <si>
    <t>2.36</t>
  </si>
  <si>
    <r>
      <t xml:space="preserve">Descrição serviço: </t>
    </r>
    <r>
      <rPr>
        <b/>
        <sz val="8"/>
        <color theme="1"/>
        <rFont val="Arial"/>
        <family val="2"/>
      </rPr>
      <t xml:space="preserve">ROTINAS DE MANUTENÇÃO PREDIAL NO CAMPUS SÃO CARLOS, REFERENTE AO PERIODO DE </t>
    </r>
    <r>
      <rPr>
        <b/>
        <sz val="8"/>
        <color rgb="FFFF0000"/>
        <rFont val="Arial"/>
        <family val="2"/>
      </rPr>
      <t>MARÇO/2025</t>
    </r>
  </si>
  <si>
    <t>3.5</t>
  </si>
  <si>
    <t>CALHA EM CHAPA DE AÇO GALVANIZADO NÚMERO 24, DESENVOLVIMENTO DE 100 CM, INCLUSO TRANSPORTE VERTICAL. AF_07/2019</t>
  </si>
  <si>
    <t>SERVIÇO DE CALHAS E MANUTENÇÃO TELHADO DEPTO MATEMATICA</t>
  </si>
  <si>
    <t>FUNDO PREPARADOR ACRILICO BASE AGUA</t>
  </si>
  <si>
    <t>Lixa em folha p/ parede nº 150</t>
  </si>
  <si>
    <t>MASSA ACRILICA PARA SUPERFICIES INTERNAS E EXTERNAS</t>
  </si>
  <si>
    <t>MASSA CORRIDA PARA SUPERFICIES DE AMBIENTES INTERNOS</t>
  </si>
  <si>
    <t>Redutor químico tipo 2002 acabamento (Thinner)</t>
  </si>
  <si>
    <t>ACO CA-60, 4,2 MM, OU 5,0 MM, OU 6,0 MM, OU 7,0 MM, VERGALHAO</t>
  </si>
  <si>
    <t>ACO CA-50, 8,0 MM, VERGALHAO</t>
  </si>
  <si>
    <t>LAVATORIO DE LOUCA BRANCA, SUSPENSO (SEM COLUNA), DIMENSOES *40 X 30* CM</t>
  </si>
  <si>
    <t>ARGAMASSA POLIMERICA IMPERMEABILIZANTE SEMIFLEXIVEL, BICOMPONENTE (MEMBRANA IMPERMEABILIZANTE ACRILICA)</t>
  </si>
  <si>
    <t>BUCHA DE REDUCAO DE FERRO GALVANIZADO, COM ROSCA BSP, DE 3/4" X 1/2"</t>
  </si>
  <si>
    <t>CONJUNTO DE LIGACAO AJUSTAVEL, PARA VASO / BACIA SANITARIA, EM PLASTICO BRANCO, COM TUBO, CANOPLA E ESPUD</t>
  </si>
  <si>
    <t>TORNEIRA METALICA CROMADA, DE MESA/BANCADA, PARA COZINHA, BICA MOVEL, COM AREJADOR, 1/2 " OU 3/4 " (REF 1167 / 1168)</t>
  </si>
  <si>
    <t>PARAFUSO NIQUELADO COM ACABAMENTO CROMADO PARA FIXAR PECA SANITARIA, INCLUI PORCA CEGA, ARRUELA E BUCHA DE NYLON TAMANHO S-10</t>
  </si>
  <si>
    <t>ANEL DE VEDACAO, PVC FLEXIVEL, 100 MM, PARA SAIDA DE BACIA / VASO SANITARIO</t>
  </si>
  <si>
    <t>SIFAO / TUBO SINFONADO EXTENSIVEL/SANFONADO, UNIVERSAL/ SIMPLES, ENTRE *50 A 70* CM, DE PLASTICO BRANCO</t>
  </si>
  <si>
    <t xml:space="preserve"> Adesivo para tubo Aquatherm/CPVC</t>
  </si>
  <si>
    <t>VALVULA DE DESCARGA METALICA, BASE 1 1/2" E ACABAMENTO METALICO CROMADO</t>
  </si>
  <si>
    <t>JOELHO, PVC SERIE R, 45 GRAUS, DN 40 MM, PARA ESGOTO PREDIAL</t>
  </si>
  <si>
    <t>JOELHO, PVC SOLDAVEL, 45 GRAUS, 50 MM, COR MARROM, PARA AGUA FRIA PREDIAL</t>
  </si>
  <si>
    <t>LUVA SIMPLES, PVC, SOLDAVEL, DN 40 MM, SERIE NORMAL, PARA ESGOTO PREDIAL</t>
  </si>
  <si>
    <t>TE SANITARIO, PVC, DN 40 X 40 MM, SERIE NORMAL, PARA ESGOTO PREDIAL</t>
  </si>
  <si>
    <t>TUBO DE DESCARGA, TIPO BENGALA, PARA LIGACAO CAIXA DE DESCARGA - EMBUTIR, PVC, 40 MM X 150 CM</t>
  </si>
  <si>
    <t>TUBO PVC SERIE NORMAL, DN 40 MM, PARA ESGOTO PREDIAL (NBR 5688)</t>
  </si>
  <si>
    <t>TUBO PVC SERIE NORMAL, DN 50 MM, PARA ESGOTO PREDIAL (NBR 5688)</t>
  </si>
  <si>
    <t>VALVULA EM METAL CROMADO PARA LAVATORIO, 1" SEM LADRAO</t>
  </si>
  <si>
    <t>6.95.48</t>
  </si>
  <si>
    <t>FDE</t>
  </si>
  <si>
    <t>KIT REPARO CAIXA ACOPLADA</t>
  </si>
  <si>
    <t>ADAPTADOR PVC SOLDAVEL CURTO COM BOLSA E ROSCA, 50 MM X 1 1/4", PARA AGUA FRIA</t>
  </si>
  <si>
    <t>BUCHA DE REDUCAO DE PVC, SOLDAVEL, CURTA, COM 32 X 25 MM, PARA AGUA FRIA PREDIAL</t>
  </si>
  <si>
    <t>JOELHO PVC, SOLDAVEL, COM BUCHA DE LATAO, 90 GRAUS, 25 MM X 1/2", PARA AGUA FRIA PREDIAL</t>
  </si>
  <si>
    <t>JOELHO PVC, SOLDAVEL, COM BUCHA DE LATAO, 90 GRAUS, 25 MM X 3/4", PARA AGUA FRIA PREDIAL</t>
  </si>
  <si>
    <t>TE PVC, SOLDAVEL, COM BUCHA DE LATAO NA BOLSA CENTRAL, 90 GRAUS, 25 MM X 1/2", PARA AGUA FRIA PREDIAL</t>
  </si>
  <si>
    <t>TE PVC, SOLDAVEL, COM BUCHA DE LATAO NA BOLSA CENTRAL, 90 GRAUS, 25 MM X 3/4", PARA AGUA FRIA PREDIAL</t>
  </si>
  <si>
    <t>TUBO PVC, SOLDAVEL, DN 25 MM, AGUA FRIA (NBR-5648)</t>
  </si>
  <si>
    <t>2.37</t>
  </si>
  <si>
    <t>2.38</t>
  </si>
  <si>
    <t>INSTALAÇÃO DE VIDRO TEMPERADO, E = 8 MM, ENCAIXADO EM PERFIL U. AF_01/2021_PS</t>
  </si>
  <si>
    <t>M²</t>
  </si>
  <si>
    <t>3.6</t>
  </si>
  <si>
    <t>3.7</t>
  </si>
  <si>
    <t>FECHAMENTO VIDRO TEMPERADO ENFERMARIA</t>
  </si>
  <si>
    <t>PORTA VIDRO FISIOTERAPIA</t>
  </si>
  <si>
    <t>FECHAMENTO COBOGO GERONTOLOGIA</t>
  </si>
  <si>
    <t>INSTALAÇÃO DE VIDRO LISO INCOLOR, E = 3 MM, EM ESQUADRIA DE ALUMÍNIO OU PVC, FIXADO COM BAGUETE.AF_01/2021_PS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</si>
</sst>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 &quot;* #,##0.00_-;&quot;-R$ &quot;* #,##0.00_-;_-&quot;R$ &quot;* \-??_-;_-@_-"/>
  </numFmts>
  <fonts count="33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color theme="1"/>
      <name val="Arial"/>
      <family val="2"/>
    </font>
    <font>
      <b/>
      <sz val="8"/>
      <color rgb="FF3F3F3F"/>
      <name val="Arial"/>
      <family val="2"/>
    </font>
    <font>
      <sz val="8"/>
      <color rgb="FF3F3F3F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3F3F3F"/>
      <name val="Calibri"/>
      <family val="2"/>
      <charset val="1"/>
    </font>
    <font>
      <i/>
      <sz val="11"/>
      <color rgb="FF7F7F7F"/>
      <name val="Calibri"/>
      <family val="2"/>
      <charset val="1"/>
    </font>
    <font>
      <b/>
      <sz val="8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Arial"/>
      <family val="1"/>
    </font>
    <font>
      <b/>
      <sz val="8"/>
      <name val="Arial"/>
      <family val="1"/>
    </font>
    <font>
      <sz val="8"/>
      <color rgb="FF333333"/>
      <name val="Arial"/>
      <family val="2"/>
    </font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name val="Arial"/>
      <family val="1"/>
    </font>
    <font>
      <sz val="8"/>
      <color rgb="FFFF0000"/>
      <name val="Calibri"/>
      <family val="2"/>
      <scheme val="minor"/>
    </font>
    <font>
      <sz val="8"/>
      <color rgb="FF000000"/>
      <name val="Arial"/>
      <family val="1"/>
    </font>
    <font>
      <b/>
      <sz val="8"/>
      <color rgb="FF000000"/>
      <name val="Arial"/>
      <family val="1"/>
    </font>
    <font>
      <sz val="8"/>
      <name val="Arial"/>
      <family val="2"/>
      <charset val="1"/>
    </font>
    <font>
      <b/>
      <sz val="8"/>
      <color theme="4"/>
      <name val="Arial"/>
      <family val="2"/>
    </font>
    <font>
      <b/>
      <sz val="8"/>
      <color theme="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thin">
        <color rgb="FF3F3F3F"/>
      </top>
      <bottom/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3F3F3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3F3F3F"/>
      </top>
      <bottom style="medium">
        <color indexed="64"/>
      </bottom>
      <diagonal/>
    </border>
    <border>
      <left/>
      <right style="thin">
        <color rgb="FF3F3F3F"/>
      </right>
      <top style="thin">
        <color indexed="64"/>
      </top>
      <bottom/>
      <diagonal/>
    </border>
  </borders>
  <cellStyleXfs count="12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  <xf numFmtId="44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6" fillId="4" borderId="1" applyProtection="0"/>
    <xf numFmtId="0" fontId="17" fillId="0" borderId="0" applyBorder="0" applyProtection="0"/>
    <xf numFmtId="0" fontId="24" fillId="0" borderId="0"/>
    <xf numFmtId="164" fontId="24" fillId="0" borderId="0" applyBorder="0" applyProtection="0"/>
    <xf numFmtId="0" fontId="25" fillId="0" borderId="0" applyBorder="0" applyProtection="0"/>
    <xf numFmtId="0" fontId="16" fillId="4" borderId="1" applyProtection="0"/>
    <xf numFmtId="0" fontId="26" fillId="0" borderId="0"/>
  </cellStyleXfs>
  <cellXfs count="174">
    <xf numFmtId="0" fontId="0" fillId="0" borderId="0" xfId="0"/>
    <xf numFmtId="0" fontId="4" fillId="2" borderId="9" xfId="1" applyFont="1" applyBorder="1" applyAlignment="1"/>
    <xf numFmtId="0" fontId="5" fillId="2" borderId="9" xfId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5" fillId="2" borderId="25" xfId="1" applyFont="1" applyBorder="1" applyAlignment="1">
      <alignment horizontal="center" vertical="center"/>
    </xf>
    <xf numFmtId="0" fontId="4" fillId="2" borderId="26" xfId="1" applyFont="1" applyBorder="1" applyAlignment="1">
      <alignment vertical="center"/>
    </xf>
    <xf numFmtId="0" fontId="4" fillId="2" borderId="18" xfId="1" applyFont="1" applyBorder="1" applyAlignment="1">
      <alignment vertical="center"/>
    </xf>
    <xf numFmtId="0" fontId="4" fillId="2" borderId="26" xfId="1" applyFont="1" applyBorder="1" applyAlignment="1">
      <alignment horizontal="center" vertical="center"/>
    </xf>
    <xf numFmtId="0" fontId="4" fillId="2" borderId="27" xfId="1" applyFont="1" applyBorder="1" applyAlignment="1">
      <alignment horizontal="center" vertical="center"/>
    </xf>
    <xf numFmtId="4" fontId="4" fillId="2" borderId="27" xfId="1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4" xfId="2" applyFont="1" applyBorder="1" applyAlignment="1" applyProtection="1">
      <alignment horizontal="left" vertical="center" wrapText="1"/>
    </xf>
    <xf numFmtId="0" fontId="9" fillId="0" borderId="24" xfId="2" applyFont="1" applyBorder="1" applyAlignment="1" applyProtection="1">
      <alignment horizontal="center" vertical="center"/>
    </xf>
    <xf numFmtId="4" fontId="9" fillId="0" borderId="24" xfId="2" applyNumberFormat="1" applyFont="1" applyBorder="1" applyAlignment="1" applyProtection="1">
      <alignment horizontal="center" vertical="center"/>
    </xf>
    <xf numFmtId="0" fontId="5" fillId="2" borderId="29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9" fillId="0" borderId="24" xfId="1" applyFont="1" applyFill="1" applyBorder="1" applyAlignment="1">
      <alignment horizontal="center" vertical="center"/>
    </xf>
    <xf numFmtId="0" fontId="9" fillId="0" borderId="0" xfId="0" applyFont="1"/>
    <xf numFmtId="0" fontId="9" fillId="0" borderId="24" xfId="2" applyFont="1" applyFill="1" applyBorder="1" applyAlignment="1" applyProtection="1">
      <alignment horizontal="left" vertical="center" wrapText="1"/>
    </xf>
    <xf numFmtId="44" fontId="4" fillId="2" borderId="27" xfId="3" applyFont="1" applyFill="1" applyBorder="1" applyAlignment="1">
      <alignment horizontal="center" vertical="center"/>
    </xf>
    <xf numFmtId="44" fontId="4" fillId="2" borderId="24" xfId="3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4" xfId="0" applyFont="1" applyBorder="1"/>
    <xf numFmtId="0" fontId="8" fillId="3" borderId="24" xfId="0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/>
    </xf>
    <xf numFmtId="0" fontId="14" fillId="0" borderId="0" xfId="0" applyFont="1"/>
    <xf numFmtId="0" fontId="13" fillId="0" borderId="0" xfId="0" applyFont="1"/>
    <xf numFmtId="0" fontId="13" fillId="2" borderId="25" xfId="1" applyFont="1" applyBorder="1" applyAlignment="1">
      <alignment horizontal="center" vertical="center"/>
    </xf>
    <xf numFmtId="0" fontId="18" fillId="2" borderId="27" xfId="1" applyFont="1" applyBorder="1" applyAlignment="1">
      <alignment horizontal="center" vertical="center"/>
    </xf>
    <xf numFmtId="44" fontId="18" fillId="2" borderId="27" xfId="3" applyFont="1" applyFill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4" xfId="2" applyFont="1" applyFill="1" applyBorder="1" applyAlignment="1" applyProtection="1">
      <alignment horizontal="left" vertical="center" wrapText="1"/>
    </xf>
    <xf numFmtId="0" fontId="13" fillId="0" borderId="24" xfId="2" applyFont="1" applyBorder="1" applyAlignment="1" applyProtection="1">
      <alignment horizontal="center" vertical="center"/>
    </xf>
    <xf numFmtId="4" fontId="13" fillId="0" borderId="24" xfId="2" applyNumberFormat="1" applyFont="1" applyBorder="1" applyAlignment="1" applyProtection="1">
      <alignment horizontal="center" vertical="center"/>
    </xf>
    <xf numFmtId="0" fontId="19" fillId="2" borderId="24" xfId="1" applyFont="1" applyBorder="1"/>
    <xf numFmtId="0" fontId="18" fillId="0" borderId="39" xfId="0" applyFont="1" applyBorder="1" applyAlignment="1">
      <alignment vertical="top"/>
    </xf>
    <xf numFmtId="0" fontId="20" fillId="0" borderId="11" xfId="0" applyFont="1" applyBorder="1" applyAlignment="1">
      <alignment vertical="top"/>
    </xf>
    <xf numFmtId="0" fontId="15" fillId="0" borderId="0" xfId="0" applyFont="1"/>
    <xf numFmtId="2" fontId="4" fillId="0" borderId="24" xfId="1" applyNumberFormat="1" applyFont="1" applyFill="1" applyBorder="1" applyAlignment="1">
      <alignment horizontal="center" vertical="center"/>
    </xf>
    <xf numFmtId="4" fontId="9" fillId="0" borderId="24" xfId="2" applyNumberFormat="1" applyFont="1" applyFill="1" applyBorder="1" applyAlignment="1" applyProtection="1">
      <alignment horizontal="center" vertical="center"/>
    </xf>
    <xf numFmtId="4" fontId="13" fillId="0" borderId="24" xfId="2" applyNumberFormat="1" applyFont="1" applyFill="1" applyBorder="1" applyAlignment="1" applyProtection="1">
      <alignment horizontal="center" vertical="center"/>
    </xf>
    <xf numFmtId="0" fontId="9" fillId="0" borderId="0" xfId="0" applyFont="1" applyAlignment="1">
      <alignment vertical="center"/>
    </xf>
    <xf numFmtId="0" fontId="9" fillId="0" borderId="24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1" fillId="0" borderId="24" xfId="0" applyFont="1" applyBorder="1" applyAlignment="1">
      <alignment horizontal="center" vertical="center" wrapText="1"/>
    </xf>
    <xf numFmtId="0" fontId="21" fillId="0" borderId="24" xfId="0" applyFont="1" applyBorder="1" applyAlignment="1">
      <alignment vertical="center" wrapText="1"/>
    </xf>
    <xf numFmtId="0" fontId="13" fillId="0" borderId="24" xfId="1" applyFont="1" applyFill="1" applyBorder="1" applyAlignment="1">
      <alignment horizontal="center" vertical="center"/>
    </xf>
    <xf numFmtId="0" fontId="13" fillId="0" borderId="24" xfId="4" applyFont="1" applyFill="1" applyBorder="1" applyAlignment="1">
      <alignment vertical="center"/>
    </xf>
    <xf numFmtId="4" fontId="22" fillId="5" borderId="24" xfId="0" applyNumberFormat="1" applyFont="1" applyFill="1" applyBorder="1" applyAlignment="1">
      <alignment horizontal="center" vertical="center" wrapText="1"/>
    </xf>
    <xf numFmtId="0" fontId="23" fillId="0" borderId="24" xfId="0" applyFont="1" applyBorder="1" applyAlignment="1">
      <alignment vertical="center"/>
    </xf>
    <xf numFmtId="0" fontId="27" fillId="0" borderId="0" xfId="0" applyFont="1"/>
    <xf numFmtId="43" fontId="15" fillId="0" borderId="0" xfId="0" applyNumberFormat="1" applyFont="1"/>
    <xf numFmtId="0" fontId="28" fillId="0" borderId="24" xfId="0" applyFont="1" applyBorder="1" applyAlignment="1">
      <alignment horizontal="center" vertical="center" wrapText="1"/>
    </xf>
    <xf numFmtId="4" fontId="21" fillId="0" borderId="24" xfId="2" applyNumberFormat="1" applyFont="1" applyFill="1" applyBorder="1" applyAlignment="1" applyProtection="1">
      <alignment horizontal="center" vertical="center"/>
    </xf>
    <xf numFmtId="4" fontId="21" fillId="0" borderId="24" xfId="2" applyNumberFormat="1" applyFont="1" applyBorder="1" applyAlignment="1" applyProtection="1">
      <alignment horizontal="center" vertical="center"/>
    </xf>
    <xf numFmtId="0" fontId="28" fillId="0" borderId="24" xfId="0" applyFont="1" applyBorder="1" applyAlignment="1">
      <alignment horizontal="left" vertical="center" wrapText="1"/>
    </xf>
    <xf numFmtId="4" fontId="29" fillId="5" borderId="24" xfId="0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 vertical="center"/>
    </xf>
    <xf numFmtId="0" fontId="3" fillId="0" borderId="0" xfId="0" applyFont="1"/>
    <xf numFmtId="0" fontId="9" fillId="0" borderId="0" xfId="4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24" xfId="4" applyFont="1" applyFill="1" applyBorder="1"/>
    <xf numFmtId="0" fontId="30" fillId="0" borderId="0" xfId="0" applyFont="1"/>
    <xf numFmtId="0" fontId="9" fillId="0" borderId="24" xfId="4" applyFont="1" applyFill="1" applyBorder="1" applyAlignment="1">
      <alignment vertical="center"/>
    </xf>
    <xf numFmtId="0" fontId="9" fillId="0" borderId="24" xfId="5" applyFont="1" applyFill="1" applyBorder="1" applyAlignment="1" applyProtection="1">
      <alignment horizontal="center" vertical="center"/>
    </xf>
    <xf numFmtId="0" fontId="13" fillId="0" borderId="24" xfId="5" applyFont="1" applyFill="1" applyBorder="1" applyAlignment="1" applyProtection="1">
      <alignment horizontal="center" vertical="center"/>
    </xf>
    <xf numFmtId="0" fontId="13" fillId="0" borderId="24" xfId="0" applyFont="1" applyBorder="1" applyAlignment="1">
      <alignment vertical="center"/>
    </xf>
    <xf numFmtId="2" fontId="9" fillId="0" borderId="24" xfId="0" applyNumberFormat="1" applyFont="1" applyBorder="1" applyAlignment="1">
      <alignment horizontal="center" vertical="center"/>
    </xf>
    <xf numFmtId="4" fontId="31" fillId="0" borderId="24" xfId="2" applyNumberFormat="1" applyFont="1" applyBorder="1" applyAlignment="1" applyProtection="1">
      <alignment horizontal="center" vertical="center"/>
    </xf>
    <xf numFmtId="0" fontId="7" fillId="0" borderId="24" xfId="0" applyFont="1" applyBorder="1" applyAlignment="1">
      <alignment horizontal="center" vertical="center"/>
    </xf>
    <xf numFmtId="2" fontId="31" fillId="0" borderId="24" xfId="1" applyNumberFormat="1" applyFont="1" applyFill="1" applyBorder="1" applyAlignment="1">
      <alignment horizontal="center" vertical="center"/>
    </xf>
    <xf numFmtId="0" fontId="31" fillId="0" borderId="24" xfId="1" applyFont="1" applyFill="1" applyBorder="1" applyAlignment="1">
      <alignment horizontal="center" vertical="center"/>
    </xf>
    <xf numFmtId="4" fontId="32" fillId="0" borderId="24" xfId="2" applyNumberFormat="1" applyFont="1" applyBorder="1" applyAlignment="1" applyProtection="1">
      <alignment horizontal="center" vertical="center"/>
    </xf>
    <xf numFmtId="4" fontId="31" fillId="0" borderId="24" xfId="1" applyNumberFormat="1" applyFont="1" applyFill="1" applyBorder="1" applyAlignment="1">
      <alignment horizontal="center" vertical="center"/>
    </xf>
    <xf numFmtId="0" fontId="32" fillId="0" borderId="24" xfId="1" applyFont="1" applyFill="1" applyBorder="1" applyAlignment="1">
      <alignment horizontal="center" vertical="center"/>
    </xf>
    <xf numFmtId="2" fontId="32" fillId="0" borderId="24" xfId="1" applyNumberFormat="1" applyFont="1" applyFill="1" applyBorder="1" applyAlignment="1">
      <alignment horizontal="center" vertical="center"/>
    </xf>
    <xf numFmtId="4" fontId="18" fillId="0" borderId="16" xfId="2" applyNumberFormat="1" applyFont="1" applyFill="1" applyBorder="1" applyAlignment="1" applyProtection="1">
      <alignment horizontal="left" vertical="center"/>
    </xf>
    <xf numFmtId="4" fontId="18" fillId="0" borderId="14" xfId="2" applyNumberFormat="1" applyFont="1" applyFill="1" applyBorder="1" applyAlignment="1" applyProtection="1">
      <alignment horizontal="left" vertical="center"/>
    </xf>
    <xf numFmtId="4" fontId="18" fillId="0" borderId="15" xfId="2" applyNumberFormat="1" applyFont="1" applyFill="1" applyBorder="1" applyAlignment="1" applyProtection="1">
      <alignment horizontal="left" vertic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27" fillId="0" borderId="7" xfId="0" applyFont="1" applyBorder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/>
    </xf>
    <xf numFmtId="0" fontId="5" fillId="2" borderId="9" xfId="1" applyFont="1" applyBorder="1" applyAlignment="1">
      <alignment horizontal="center" vertical="center" textRotation="90"/>
    </xf>
    <xf numFmtId="0" fontId="5" fillId="2" borderId="28" xfId="1" applyFont="1" applyBorder="1" applyAlignment="1">
      <alignment horizontal="center" vertical="center" textRotation="90"/>
    </xf>
    <xf numFmtId="0" fontId="18" fillId="2" borderId="26" xfId="1" applyFont="1" applyBorder="1" applyAlignment="1">
      <alignment horizontal="center" vertical="center"/>
    </xf>
    <xf numFmtId="0" fontId="18" fillId="2" borderId="18" xfId="1" applyFont="1" applyBorder="1" applyAlignment="1">
      <alignment horizontal="center" vertical="center"/>
    </xf>
    <xf numFmtId="0" fontId="18" fillId="2" borderId="44" xfId="1" applyFont="1" applyBorder="1" applyAlignment="1">
      <alignment horizontal="center" vertical="center"/>
    </xf>
    <xf numFmtId="0" fontId="15" fillId="0" borderId="7" xfId="0" applyFont="1" applyBorder="1" applyAlignment="1">
      <alignment horizontal="center"/>
    </xf>
    <xf numFmtId="0" fontId="15" fillId="0" borderId="0" xfId="0" applyFont="1" applyAlignment="1">
      <alignment horizontal="center"/>
    </xf>
    <xf numFmtId="43" fontId="20" fillId="0" borderId="11" xfId="0" applyNumberFormat="1" applyFont="1" applyBorder="1" applyAlignment="1">
      <alignment horizontal="center" vertical="top"/>
    </xf>
    <xf numFmtId="0" fontId="20" fillId="0" borderId="11" xfId="0" applyFont="1" applyBorder="1" applyAlignment="1">
      <alignment horizontal="center" vertical="top"/>
    </xf>
    <xf numFmtId="0" fontId="20" fillId="0" borderId="12" xfId="0" applyFont="1" applyBorder="1" applyAlignment="1">
      <alignment horizontal="center" vertical="top"/>
    </xf>
    <xf numFmtId="0" fontId="3" fillId="0" borderId="7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0" fillId="0" borderId="0" xfId="0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33" xfId="0" applyFont="1" applyBorder="1" applyAlignment="1">
      <alignment horizontal="left" vertical="top" wrapText="1"/>
    </xf>
    <xf numFmtId="0" fontId="3" fillId="0" borderId="39" xfId="0" applyFont="1" applyBorder="1" applyAlignment="1">
      <alignment horizontal="left" vertical="top"/>
    </xf>
    <xf numFmtId="0" fontId="3" fillId="0" borderId="33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5" fillId="2" borderId="38" xfId="1" applyFont="1" applyBorder="1" applyAlignment="1">
      <alignment horizontal="left" vertical="center" textRotation="90" wrapText="1"/>
    </xf>
    <xf numFmtId="0" fontId="5" fillId="2" borderId="28" xfId="1" applyFont="1" applyBorder="1" applyAlignment="1">
      <alignment horizontal="left" vertical="center" textRotation="90"/>
    </xf>
    <xf numFmtId="0" fontId="5" fillId="2" borderId="43" xfId="1" applyFont="1" applyBorder="1" applyAlignment="1">
      <alignment horizontal="left" vertical="center" textRotation="90"/>
    </xf>
    <xf numFmtId="0" fontId="3" fillId="0" borderId="17" xfId="0" applyFont="1" applyBorder="1" applyAlignment="1">
      <alignment horizontal="left" vertical="top"/>
    </xf>
    <xf numFmtId="0" fontId="3" fillId="0" borderId="40" xfId="0" applyFont="1" applyBorder="1" applyAlignment="1">
      <alignment horizontal="left" vertical="top"/>
    </xf>
    <xf numFmtId="0" fontId="3" fillId="0" borderId="41" xfId="0" applyFont="1" applyBorder="1" applyAlignment="1">
      <alignment horizontal="left" vertical="top"/>
    </xf>
    <xf numFmtId="0" fontId="3" fillId="0" borderId="7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5" fillId="2" borderId="30" xfId="1" applyFont="1" applyBorder="1" applyAlignment="1">
      <alignment horizontal="left" vertical="top"/>
    </xf>
    <xf numFmtId="0" fontId="5" fillId="2" borderId="1" xfId="1" applyFont="1" applyAlignment="1">
      <alignment horizontal="left" vertical="top"/>
    </xf>
    <xf numFmtId="0" fontId="5" fillId="2" borderId="1" xfId="1" applyFont="1" applyAlignment="1">
      <alignment horizontal="center" vertical="center"/>
    </xf>
    <xf numFmtId="0" fontId="3" fillId="0" borderId="32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5" fillId="2" borderId="34" xfId="1" applyFont="1" applyBorder="1" applyAlignment="1">
      <alignment horizontal="center" vertical="center" textRotation="90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4" fillId="2" borderId="21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2" borderId="5" xfId="1" applyFont="1" applyBorder="1" applyAlignment="1">
      <alignment horizontal="center"/>
    </xf>
    <xf numFmtId="0" fontId="4" fillId="2" borderId="6" xfId="1" applyFont="1" applyBorder="1" applyAlignment="1">
      <alignment horizontal="center"/>
    </xf>
    <xf numFmtId="0" fontId="5" fillId="2" borderId="1" xfId="1" applyFont="1" applyAlignment="1">
      <alignment horizontal="center"/>
    </xf>
    <xf numFmtId="0" fontId="5" fillId="2" borderId="9" xfId="1" applyFont="1" applyBorder="1" applyAlignment="1">
      <alignment horizontal="center"/>
    </xf>
    <xf numFmtId="0" fontId="6" fillId="0" borderId="13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</cellXfs>
  <cellStyles count="12">
    <cellStyle name="Excel Built-in Explanatory Text" xfId="6" xr:uid="{00000000-0005-0000-0000-000000000000}"/>
    <cellStyle name="Excel Built-in Output" xfId="5" xr:uid="{00000000-0005-0000-0000-000001000000}"/>
    <cellStyle name="Excel Built-in Output 2" xfId="10" xr:uid="{00000000-0005-0000-0000-000002000000}"/>
    <cellStyle name="Hiperlink" xfId="4" builtinId="8"/>
    <cellStyle name="Hiperlink 2" xfId="9" xr:uid="{00000000-0005-0000-0000-000004000000}"/>
    <cellStyle name="Moeda" xfId="3" builtinId="4"/>
    <cellStyle name="Moeda 2" xfId="8" xr:uid="{00000000-0005-0000-0000-000006000000}"/>
    <cellStyle name="Normal" xfId="0" builtinId="0"/>
    <cellStyle name="Normal 2" xfId="7" xr:uid="{00000000-0005-0000-0000-000008000000}"/>
    <cellStyle name="Normal 3" xfId="11" xr:uid="{00000000-0005-0000-0000-000009000000}"/>
    <cellStyle name="Saída" xfId="1" builtinId="21"/>
    <cellStyle name="Texto Explicativo" xfId="2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2042772</xdr:colOff>
      <xdr:row>1</xdr:row>
      <xdr:rowOff>96683</xdr:rowOff>
    </xdr:from>
    <xdr:to>
      <xdr:col>4</xdr:col>
      <xdr:colOff>2991910</xdr:colOff>
      <xdr:row>4</xdr:row>
      <xdr:rowOff>179114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0855" y="308350"/>
          <a:ext cx="949138" cy="7174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3"/>
  <sheetViews>
    <sheetView tabSelected="1" topLeftCell="A88" zoomScale="90" zoomScaleNormal="90" workbookViewId="0">
      <selection activeCell="O113" sqref="A1:O119"/>
    </sheetView>
  </sheetViews>
  <sheetFormatPr defaultRowHeight="15" x14ac:dyDescent="0.25"/>
  <cols>
    <col min="2" max="3" width="10.7109375" customWidth="1"/>
    <col min="4" max="4" width="12.140625" customWidth="1"/>
    <col min="5" max="5" width="66.5703125" customWidth="1"/>
    <col min="6" max="6" width="6.42578125" customWidth="1"/>
    <col min="8" max="8" width="23.7109375" bestFit="1" customWidth="1"/>
    <col min="9" max="9" width="12.42578125" bestFit="1" customWidth="1"/>
    <col min="10" max="10" width="19" bestFit="1" customWidth="1"/>
    <col min="11" max="11" width="18.85546875" bestFit="1" customWidth="1"/>
    <col min="12" max="12" width="29.28515625" bestFit="1" customWidth="1"/>
    <col min="13" max="13" width="18" bestFit="1" customWidth="1"/>
    <col min="14" max="14" width="10.7109375" customWidth="1"/>
    <col min="15" max="15" width="4.7109375" customWidth="1"/>
    <col min="16" max="16" width="12.85546875" customWidth="1"/>
  </cols>
  <sheetData>
    <row r="1" spans="1:15" ht="17.100000000000001" customHeight="1" x14ac:dyDescent="0.25">
      <c r="A1" s="155" t="s">
        <v>0</v>
      </c>
      <c r="B1" s="156"/>
      <c r="C1" s="156"/>
      <c r="D1" s="156"/>
      <c r="E1" s="156"/>
      <c r="F1" s="156"/>
      <c r="G1" s="156"/>
      <c r="H1" s="156"/>
      <c r="I1" s="157"/>
      <c r="J1" s="164" t="s">
        <v>1</v>
      </c>
      <c r="K1" s="164"/>
      <c r="L1" s="164"/>
      <c r="M1" s="164"/>
      <c r="N1" s="164"/>
      <c r="O1" s="165"/>
    </row>
    <row r="2" spans="1:15" ht="17.100000000000001" customHeight="1" x14ac:dyDescent="0.25">
      <c r="A2" s="158"/>
      <c r="B2" s="159"/>
      <c r="C2" s="159"/>
      <c r="D2" s="159"/>
      <c r="E2" s="159"/>
      <c r="F2" s="159"/>
      <c r="G2" s="159"/>
      <c r="H2" s="159"/>
      <c r="I2" s="160"/>
      <c r="J2" s="166" t="s">
        <v>2</v>
      </c>
      <c r="K2" s="166"/>
      <c r="L2" s="166"/>
      <c r="M2" s="166"/>
      <c r="N2" s="166"/>
      <c r="O2" s="167"/>
    </row>
    <row r="3" spans="1:15" ht="17.100000000000001" customHeight="1" x14ac:dyDescent="0.25">
      <c r="A3" s="158"/>
      <c r="B3" s="159"/>
      <c r="C3" s="159"/>
      <c r="D3" s="159"/>
      <c r="E3" s="159"/>
      <c r="F3" s="159"/>
      <c r="G3" s="159"/>
      <c r="H3" s="159"/>
      <c r="I3" s="160"/>
      <c r="J3" s="166" t="s">
        <v>3</v>
      </c>
      <c r="K3" s="166"/>
      <c r="L3" s="166"/>
      <c r="M3" s="166" t="s">
        <v>4</v>
      </c>
      <c r="N3" s="166"/>
      <c r="O3" s="1"/>
    </row>
    <row r="4" spans="1:15" ht="17.100000000000001" customHeight="1" x14ac:dyDescent="0.25">
      <c r="A4" s="158"/>
      <c r="B4" s="159"/>
      <c r="C4" s="159"/>
      <c r="D4" s="159"/>
      <c r="E4" s="159"/>
      <c r="F4" s="159"/>
      <c r="G4" s="159"/>
      <c r="H4" s="159"/>
      <c r="I4" s="160"/>
      <c r="J4" s="166" t="s">
        <v>5</v>
      </c>
      <c r="K4" s="166"/>
      <c r="L4" s="166"/>
      <c r="M4" s="166" t="s">
        <v>6</v>
      </c>
      <c r="N4" s="166"/>
      <c r="O4" s="2"/>
    </row>
    <row r="5" spans="1:15" ht="17.100000000000001" customHeight="1" x14ac:dyDescent="0.25">
      <c r="A5" s="158"/>
      <c r="B5" s="159"/>
      <c r="C5" s="159"/>
      <c r="D5" s="159"/>
      <c r="E5" s="159"/>
      <c r="F5" s="159"/>
      <c r="G5" s="159"/>
      <c r="H5" s="159"/>
      <c r="I5" s="160"/>
      <c r="J5" s="166" t="s">
        <v>7</v>
      </c>
      <c r="K5" s="166"/>
      <c r="L5" s="166"/>
      <c r="M5" s="166" t="s">
        <v>8</v>
      </c>
      <c r="N5" s="166"/>
      <c r="O5" s="1"/>
    </row>
    <row r="6" spans="1:15" ht="17.100000000000001" customHeight="1" x14ac:dyDescent="0.25">
      <c r="A6" s="161"/>
      <c r="B6" s="162"/>
      <c r="C6" s="162"/>
      <c r="D6" s="162"/>
      <c r="E6" s="162"/>
      <c r="F6" s="162"/>
      <c r="G6" s="162"/>
      <c r="H6" s="162"/>
      <c r="I6" s="163"/>
      <c r="J6" s="166" t="s">
        <v>9</v>
      </c>
      <c r="K6" s="166"/>
      <c r="L6" s="166"/>
      <c r="M6" s="166" t="s">
        <v>10</v>
      </c>
      <c r="N6" s="166"/>
      <c r="O6" s="1"/>
    </row>
    <row r="7" spans="1:15" ht="17.100000000000001" customHeight="1" x14ac:dyDescent="0.25">
      <c r="A7" s="168" t="s">
        <v>11</v>
      </c>
      <c r="B7" s="169"/>
      <c r="C7" s="169"/>
      <c r="D7" s="169"/>
      <c r="E7" s="169"/>
      <c r="F7" s="169"/>
      <c r="G7" s="169"/>
      <c r="H7" s="169"/>
      <c r="I7" s="170"/>
      <c r="J7" s="171" t="s">
        <v>51</v>
      </c>
      <c r="K7" s="172"/>
      <c r="L7" s="172"/>
      <c r="M7" s="172"/>
      <c r="N7" s="173"/>
      <c r="O7" s="95" t="s">
        <v>12</v>
      </c>
    </row>
    <row r="8" spans="1:15" ht="17.100000000000001" customHeight="1" x14ac:dyDescent="0.25">
      <c r="A8" s="128" t="s">
        <v>133</v>
      </c>
      <c r="B8" s="107"/>
      <c r="C8" s="107"/>
      <c r="D8" s="107"/>
      <c r="E8" s="107"/>
      <c r="F8" s="107"/>
      <c r="G8" s="107"/>
      <c r="H8" s="107"/>
      <c r="I8" s="108"/>
      <c r="J8" s="171" t="s">
        <v>13</v>
      </c>
      <c r="K8" s="172"/>
      <c r="L8" s="172"/>
      <c r="M8" s="172"/>
      <c r="N8" s="173"/>
      <c r="O8" s="95"/>
    </row>
    <row r="9" spans="1:15" ht="17.100000000000001" customHeight="1" x14ac:dyDescent="0.25">
      <c r="A9" s="109"/>
      <c r="B9" s="106"/>
      <c r="C9" s="106"/>
      <c r="D9" s="106"/>
      <c r="E9" s="106"/>
      <c r="F9" s="106"/>
      <c r="G9" s="106"/>
      <c r="H9" s="106"/>
      <c r="I9" s="110"/>
      <c r="J9" s="171" t="s">
        <v>14</v>
      </c>
      <c r="K9" s="172"/>
      <c r="L9" s="172"/>
      <c r="M9" s="172"/>
      <c r="N9" s="173"/>
      <c r="O9" s="95"/>
    </row>
    <row r="10" spans="1:15" ht="17.100000000000001" customHeight="1" x14ac:dyDescent="0.25">
      <c r="A10" s="109"/>
      <c r="B10" s="106"/>
      <c r="C10" s="106"/>
      <c r="D10" s="106"/>
      <c r="E10" s="106"/>
      <c r="F10" s="106"/>
      <c r="G10" s="106"/>
      <c r="H10" s="106"/>
      <c r="I10" s="110"/>
      <c r="J10" s="171" t="s">
        <v>15</v>
      </c>
      <c r="K10" s="172"/>
      <c r="L10" s="172"/>
      <c r="M10" s="172"/>
      <c r="N10" s="173"/>
      <c r="O10" s="95"/>
    </row>
    <row r="11" spans="1:15" ht="17.100000000000001" customHeight="1" x14ac:dyDescent="0.25">
      <c r="A11" s="109"/>
      <c r="B11" s="106"/>
      <c r="C11" s="106"/>
      <c r="D11" s="106"/>
      <c r="E11" s="106"/>
      <c r="F11" s="106"/>
      <c r="G11" s="106"/>
      <c r="H11" s="106"/>
      <c r="I11" s="110"/>
      <c r="J11" s="171" t="s">
        <v>50</v>
      </c>
      <c r="K11" s="172"/>
      <c r="L11" s="172"/>
      <c r="M11" s="172"/>
      <c r="N11" s="173"/>
      <c r="O11" s="95"/>
    </row>
    <row r="12" spans="1:15" ht="17.100000000000001" customHeight="1" x14ac:dyDescent="0.25">
      <c r="A12" s="109"/>
      <c r="B12" s="106"/>
      <c r="C12" s="106"/>
      <c r="D12" s="106"/>
      <c r="E12" s="106"/>
      <c r="F12" s="106"/>
      <c r="G12" s="106"/>
      <c r="H12" s="106"/>
      <c r="I12" s="110"/>
      <c r="J12" s="171" t="s">
        <v>99</v>
      </c>
      <c r="K12" s="172"/>
      <c r="L12" s="172"/>
      <c r="M12" s="172"/>
      <c r="N12" s="173"/>
      <c r="O12" s="95"/>
    </row>
    <row r="13" spans="1:15" ht="17.100000000000001" customHeight="1" x14ac:dyDescent="0.25">
      <c r="A13" s="111"/>
      <c r="B13" s="112"/>
      <c r="C13" s="112"/>
      <c r="D13" s="112"/>
      <c r="E13" s="112"/>
      <c r="F13" s="112"/>
      <c r="G13" s="112"/>
      <c r="H13" s="112"/>
      <c r="I13" s="113"/>
      <c r="J13" s="171" t="s">
        <v>98</v>
      </c>
      <c r="K13" s="172"/>
      <c r="L13" s="172"/>
      <c r="M13" s="172"/>
      <c r="N13" s="173"/>
      <c r="O13" s="95"/>
    </row>
    <row r="14" spans="1:15" ht="17.100000000000001" customHeight="1" x14ac:dyDescent="0.25">
      <c r="A14" s="92" t="s">
        <v>16</v>
      </c>
      <c r="B14" s="82" t="s">
        <v>17</v>
      </c>
      <c r="C14" s="82" t="s">
        <v>18</v>
      </c>
      <c r="D14" s="82" t="s">
        <v>19</v>
      </c>
      <c r="E14" s="82" t="s">
        <v>20</v>
      </c>
      <c r="F14" s="82" t="s">
        <v>21</v>
      </c>
      <c r="G14" s="82" t="s">
        <v>22</v>
      </c>
      <c r="H14" s="90" t="s">
        <v>23</v>
      </c>
      <c r="I14" s="90"/>
      <c r="J14" s="90"/>
      <c r="K14" s="90"/>
      <c r="L14" s="91"/>
      <c r="M14" s="82" t="s">
        <v>24</v>
      </c>
      <c r="N14" s="82" t="s">
        <v>25</v>
      </c>
      <c r="O14" s="95" t="s">
        <v>26</v>
      </c>
    </row>
    <row r="15" spans="1:15" ht="17.100000000000001" customHeight="1" x14ac:dyDescent="0.25">
      <c r="A15" s="93"/>
      <c r="B15" s="83"/>
      <c r="C15" s="83"/>
      <c r="D15" s="83"/>
      <c r="E15" s="83"/>
      <c r="F15" s="83"/>
      <c r="G15" s="83"/>
      <c r="H15" s="3" t="s">
        <v>27</v>
      </c>
      <c r="I15" s="4" t="s">
        <v>28</v>
      </c>
      <c r="J15" s="3" t="s">
        <v>29</v>
      </c>
      <c r="K15" s="4" t="s">
        <v>52</v>
      </c>
      <c r="L15" s="3" t="s">
        <v>30</v>
      </c>
      <c r="M15" s="83"/>
      <c r="N15" s="83"/>
      <c r="O15" s="95"/>
    </row>
    <row r="16" spans="1:15" ht="17.100000000000001" customHeight="1" x14ac:dyDescent="0.25">
      <c r="A16" s="5">
        <v>1</v>
      </c>
      <c r="B16" s="6"/>
      <c r="C16" s="7"/>
      <c r="D16" s="7"/>
      <c r="E16" s="8" t="s">
        <v>31</v>
      </c>
      <c r="F16" s="9"/>
      <c r="G16" s="9"/>
      <c r="H16" s="9"/>
      <c r="I16" s="9"/>
      <c r="J16" s="9"/>
      <c r="K16" s="9"/>
      <c r="L16" s="9"/>
      <c r="M16" s="21">
        <f>SUM(M17:M28)</f>
        <v>56515.478956393599</v>
      </c>
      <c r="N16" s="10">
        <f>SUM(N17:N28)</f>
        <v>1</v>
      </c>
      <c r="O16" s="95"/>
    </row>
    <row r="17" spans="1:15" ht="26.25" customHeight="1" x14ac:dyDescent="0.25">
      <c r="A17" s="17" t="s">
        <v>32</v>
      </c>
      <c r="B17" s="17" t="s">
        <v>33</v>
      </c>
      <c r="C17" s="11">
        <v>90776</v>
      </c>
      <c r="D17" s="11" t="s">
        <v>34</v>
      </c>
      <c r="E17" s="20" t="s">
        <v>62</v>
      </c>
      <c r="F17" s="13" t="s">
        <v>35</v>
      </c>
      <c r="G17" s="11">
        <v>0</v>
      </c>
      <c r="H17" s="71">
        <v>47.89</v>
      </c>
      <c r="I17" s="14">
        <f>H17*0.2232</f>
        <v>10.689048000000001</v>
      </c>
      <c r="J17" s="14">
        <f>H17+I17</f>
        <v>58.579048</v>
      </c>
      <c r="K17" s="14">
        <f>J17*(0.03%)</f>
        <v>1.7573714399999999E-2</v>
      </c>
      <c r="L17" s="14">
        <f>J17-K17</f>
        <v>58.561474285599999</v>
      </c>
      <c r="M17" s="14">
        <f>L17*G17</f>
        <v>0</v>
      </c>
      <c r="N17" s="14">
        <f>M17/M$16</f>
        <v>0</v>
      </c>
      <c r="O17" s="96"/>
    </row>
    <row r="18" spans="1:15" ht="26.25" customHeight="1" x14ac:dyDescent="0.25">
      <c r="A18" s="17" t="s">
        <v>65</v>
      </c>
      <c r="B18" s="17" t="s">
        <v>33</v>
      </c>
      <c r="C18" s="11">
        <v>88267</v>
      </c>
      <c r="D18" s="11" t="s">
        <v>34</v>
      </c>
      <c r="E18" s="20" t="s">
        <v>55</v>
      </c>
      <c r="F18" s="13" t="s">
        <v>35</v>
      </c>
      <c r="G18" s="17">
        <v>180</v>
      </c>
      <c r="H18" s="71">
        <v>36.11</v>
      </c>
      <c r="I18" s="14">
        <f t="shared" ref="I18:I28" si="0">H18*0.2232</f>
        <v>8.0597519999999996</v>
      </c>
      <c r="J18" s="14">
        <f t="shared" ref="J18:J28" si="1">H18+I18</f>
        <v>44.169752000000003</v>
      </c>
      <c r="K18" s="14">
        <f t="shared" ref="K18:K28" si="2">J18*(0.03%)</f>
        <v>1.32509256E-2</v>
      </c>
      <c r="L18" s="14">
        <f t="shared" ref="L18:L28" si="3">J18-K18</f>
        <v>44.156501074400005</v>
      </c>
      <c r="M18" s="14">
        <f t="shared" ref="M18:M28" si="4">L18*G18</f>
        <v>7948.1701933920012</v>
      </c>
      <c r="N18" s="14">
        <f t="shared" ref="N18:N28" si="5">M18/M$16</f>
        <v>0.14063704917947659</v>
      </c>
      <c r="O18" s="96"/>
    </row>
    <row r="19" spans="1:15" ht="26.25" customHeight="1" x14ac:dyDescent="0.25">
      <c r="A19" s="17" t="s">
        <v>66</v>
      </c>
      <c r="B19" s="17" t="s">
        <v>33</v>
      </c>
      <c r="C19" s="11" t="s">
        <v>54</v>
      </c>
      <c r="D19" s="11" t="s">
        <v>34</v>
      </c>
      <c r="E19" s="20" t="s">
        <v>55</v>
      </c>
      <c r="F19" s="13" t="s">
        <v>35</v>
      </c>
      <c r="G19" s="17">
        <v>180</v>
      </c>
      <c r="H19" s="71">
        <v>36.11</v>
      </c>
      <c r="I19" s="14">
        <f t="shared" si="0"/>
        <v>8.0597519999999996</v>
      </c>
      <c r="J19" s="14">
        <f t="shared" si="1"/>
        <v>44.169752000000003</v>
      </c>
      <c r="K19" s="14">
        <f t="shared" si="2"/>
        <v>1.32509256E-2</v>
      </c>
      <c r="L19" s="14">
        <f t="shared" si="3"/>
        <v>44.156501074400005</v>
      </c>
      <c r="M19" s="14">
        <f t="shared" si="4"/>
        <v>7948.1701933920012</v>
      </c>
      <c r="N19" s="14">
        <f t="shared" si="5"/>
        <v>0.14063704917947659</v>
      </c>
      <c r="O19" s="96"/>
    </row>
    <row r="20" spans="1:15" ht="26.25" customHeight="1" x14ac:dyDescent="0.25">
      <c r="A20" s="17" t="s">
        <v>67</v>
      </c>
      <c r="B20" s="17" t="s">
        <v>33</v>
      </c>
      <c r="C20" s="11">
        <v>88248</v>
      </c>
      <c r="D20" s="11" t="s">
        <v>34</v>
      </c>
      <c r="E20" s="20" t="s">
        <v>57</v>
      </c>
      <c r="F20" s="13" t="s">
        <v>35</v>
      </c>
      <c r="G20" s="17">
        <v>180</v>
      </c>
      <c r="H20" s="71">
        <v>29.77</v>
      </c>
      <c r="I20" s="14">
        <f t="shared" si="0"/>
        <v>6.6446640000000006</v>
      </c>
      <c r="J20" s="14">
        <f t="shared" si="1"/>
        <v>36.414664000000002</v>
      </c>
      <c r="K20" s="14">
        <f t="shared" si="2"/>
        <v>1.0924399199999999E-2</v>
      </c>
      <c r="L20" s="14">
        <f t="shared" si="3"/>
        <v>36.403739600800002</v>
      </c>
      <c r="M20" s="14">
        <f t="shared" si="4"/>
        <v>6552.6731281440007</v>
      </c>
      <c r="N20" s="14">
        <f t="shared" si="5"/>
        <v>0.11594475087435663</v>
      </c>
      <c r="O20" s="96"/>
    </row>
    <row r="21" spans="1:15" ht="26.25" customHeight="1" x14ac:dyDescent="0.25">
      <c r="A21" s="17" t="s">
        <v>68</v>
      </c>
      <c r="B21" s="17" t="s">
        <v>33</v>
      </c>
      <c r="C21" s="11" t="s">
        <v>56</v>
      </c>
      <c r="D21" s="11" t="s">
        <v>34</v>
      </c>
      <c r="E21" s="20" t="s">
        <v>57</v>
      </c>
      <c r="F21" s="13" t="s">
        <v>35</v>
      </c>
      <c r="G21" s="17">
        <v>180</v>
      </c>
      <c r="H21" s="71">
        <v>29.77</v>
      </c>
      <c r="I21" s="14">
        <f t="shared" si="0"/>
        <v>6.6446640000000006</v>
      </c>
      <c r="J21" s="14">
        <f t="shared" si="1"/>
        <v>36.414664000000002</v>
      </c>
      <c r="K21" s="14">
        <f t="shared" si="2"/>
        <v>1.0924399199999999E-2</v>
      </c>
      <c r="L21" s="14">
        <f t="shared" si="3"/>
        <v>36.403739600800002</v>
      </c>
      <c r="M21" s="14">
        <f t="shared" si="4"/>
        <v>6552.6731281440007</v>
      </c>
      <c r="N21" s="14">
        <f t="shared" si="5"/>
        <v>0.11594475087435663</v>
      </c>
      <c r="O21" s="96"/>
    </row>
    <row r="22" spans="1:15" ht="26.25" customHeight="1" x14ac:dyDescent="0.25">
      <c r="A22" s="17" t="s">
        <v>69</v>
      </c>
      <c r="B22" s="17" t="s">
        <v>33</v>
      </c>
      <c r="C22" s="11">
        <v>88309</v>
      </c>
      <c r="D22" s="11" t="s">
        <v>34</v>
      </c>
      <c r="E22" s="20" t="s">
        <v>59</v>
      </c>
      <c r="F22" s="13" t="s">
        <v>35</v>
      </c>
      <c r="G22" s="17">
        <v>16</v>
      </c>
      <c r="H22" s="71">
        <v>32.57</v>
      </c>
      <c r="I22" s="14">
        <f t="shared" si="0"/>
        <v>7.2696240000000003</v>
      </c>
      <c r="J22" s="14">
        <f t="shared" si="1"/>
        <v>39.839624000000001</v>
      </c>
      <c r="K22" s="14">
        <f t="shared" si="2"/>
        <v>1.1951887199999999E-2</v>
      </c>
      <c r="L22" s="14">
        <f t="shared" si="3"/>
        <v>39.827672112800002</v>
      </c>
      <c r="M22" s="14">
        <f t="shared" si="4"/>
        <v>637.24275380480003</v>
      </c>
      <c r="N22" s="14">
        <f t="shared" si="5"/>
        <v>1.1275543719561961E-2</v>
      </c>
      <c r="O22" s="96"/>
    </row>
    <row r="23" spans="1:15" ht="26.25" customHeight="1" x14ac:dyDescent="0.25">
      <c r="A23" s="17" t="s">
        <v>70</v>
      </c>
      <c r="B23" s="17" t="s">
        <v>33</v>
      </c>
      <c r="C23" s="11" t="s">
        <v>58</v>
      </c>
      <c r="D23" s="11" t="s">
        <v>34</v>
      </c>
      <c r="E23" s="20" t="s">
        <v>59</v>
      </c>
      <c r="F23" s="13" t="s">
        <v>35</v>
      </c>
      <c r="G23" s="17">
        <v>16</v>
      </c>
      <c r="H23" s="71">
        <v>32.57</v>
      </c>
      <c r="I23" s="14">
        <f t="shared" si="0"/>
        <v>7.2696240000000003</v>
      </c>
      <c r="J23" s="14">
        <f t="shared" si="1"/>
        <v>39.839624000000001</v>
      </c>
      <c r="K23" s="14">
        <f t="shared" si="2"/>
        <v>1.1951887199999999E-2</v>
      </c>
      <c r="L23" s="14">
        <f t="shared" si="3"/>
        <v>39.827672112800002</v>
      </c>
      <c r="M23" s="14">
        <f t="shared" si="4"/>
        <v>637.24275380480003</v>
      </c>
      <c r="N23" s="14">
        <f t="shared" si="5"/>
        <v>1.1275543719561961E-2</v>
      </c>
      <c r="O23" s="96"/>
    </row>
    <row r="24" spans="1:15" ht="26.25" customHeight="1" x14ac:dyDescent="0.25">
      <c r="A24" s="17" t="s">
        <v>71</v>
      </c>
      <c r="B24" s="17" t="s">
        <v>33</v>
      </c>
      <c r="C24" s="11">
        <v>88242</v>
      </c>
      <c r="D24" s="11" t="s">
        <v>34</v>
      </c>
      <c r="E24" s="20" t="s">
        <v>61</v>
      </c>
      <c r="F24" s="13" t="s">
        <v>35</v>
      </c>
      <c r="G24" s="17">
        <v>180</v>
      </c>
      <c r="H24" s="71">
        <v>30.38</v>
      </c>
      <c r="I24" s="14">
        <f t="shared" si="0"/>
        <v>6.7808159999999997</v>
      </c>
      <c r="J24" s="14">
        <f t="shared" si="1"/>
        <v>37.160815999999997</v>
      </c>
      <c r="K24" s="14">
        <f t="shared" si="2"/>
        <v>1.1148244799999998E-2</v>
      </c>
      <c r="L24" s="14">
        <f t="shared" si="3"/>
        <v>37.149667755199999</v>
      </c>
      <c r="M24" s="14">
        <f t="shared" si="4"/>
        <v>6686.9401959360002</v>
      </c>
      <c r="N24" s="14">
        <f t="shared" si="5"/>
        <v>0.11832050828226248</v>
      </c>
      <c r="O24" s="96"/>
    </row>
    <row r="25" spans="1:15" ht="26.25" customHeight="1" x14ac:dyDescent="0.25">
      <c r="A25" s="17" t="s">
        <v>72</v>
      </c>
      <c r="B25" s="17" t="s">
        <v>33</v>
      </c>
      <c r="C25" s="11" t="s">
        <v>60</v>
      </c>
      <c r="D25" s="11" t="s">
        <v>34</v>
      </c>
      <c r="E25" s="20" t="s">
        <v>61</v>
      </c>
      <c r="F25" s="13" t="s">
        <v>35</v>
      </c>
      <c r="G25" s="17">
        <v>180</v>
      </c>
      <c r="H25" s="71">
        <v>30.38</v>
      </c>
      <c r="I25" s="14">
        <f t="shared" si="0"/>
        <v>6.7808159999999997</v>
      </c>
      <c r="J25" s="14">
        <f t="shared" si="1"/>
        <v>37.160815999999997</v>
      </c>
      <c r="K25" s="14">
        <f t="shared" si="2"/>
        <v>1.1148244799999998E-2</v>
      </c>
      <c r="L25" s="14">
        <f t="shared" si="3"/>
        <v>37.149667755199999</v>
      </c>
      <c r="M25" s="14">
        <f t="shared" si="4"/>
        <v>6686.9401959360002</v>
      </c>
      <c r="N25" s="14">
        <f t="shared" si="5"/>
        <v>0.11832050828226248</v>
      </c>
      <c r="O25" s="96"/>
    </row>
    <row r="26" spans="1:15" ht="26.25" customHeight="1" x14ac:dyDescent="0.25">
      <c r="A26" s="17" t="s">
        <v>73</v>
      </c>
      <c r="B26" s="17" t="s">
        <v>33</v>
      </c>
      <c r="C26" s="11" t="s">
        <v>60</v>
      </c>
      <c r="D26" s="11" t="s">
        <v>34</v>
      </c>
      <c r="E26" s="20" t="s">
        <v>61</v>
      </c>
      <c r="F26" s="13" t="s">
        <v>35</v>
      </c>
      <c r="G26" s="17">
        <v>180</v>
      </c>
      <c r="H26" s="71">
        <v>30.38</v>
      </c>
      <c r="I26" s="14">
        <f t="shared" si="0"/>
        <v>6.7808159999999997</v>
      </c>
      <c r="J26" s="14">
        <f t="shared" si="1"/>
        <v>37.160815999999997</v>
      </c>
      <c r="K26" s="14">
        <f t="shared" si="2"/>
        <v>1.1148244799999998E-2</v>
      </c>
      <c r="L26" s="14">
        <f t="shared" si="3"/>
        <v>37.149667755199999</v>
      </c>
      <c r="M26" s="14">
        <f t="shared" si="4"/>
        <v>6686.9401959360002</v>
      </c>
      <c r="N26" s="14">
        <f t="shared" si="5"/>
        <v>0.11832050828226248</v>
      </c>
      <c r="O26" s="96"/>
    </row>
    <row r="27" spans="1:15" ht="26.25" customHeight="1" x14ac:dyDescent="0.25">
      <c r="A27" s="17" t="s">
        <v>74</v>
      </c>
      <c r="B27" s="17" t="s">
        <v>33</v>
      </c>
      <c r="C27" s="11">
        <v>88241</v>
      </c>
      <c r="D27" s="11" t="s">
        <v>34</v>
      </c>
      <c r="E27" s="12" t="s">
        <v>64</v>
      </c>
      <c r="F27" s="13" t="s">
        <v>35</v>
      </c>
      <c r="G27" s="17">
        <v>180</v>
      </c>
      <c r="H27" s="71">
        <v>28.07</v>
      </c>
      <c r="I27" s="14">
        <f t="shared" si="0"/>
        <v>6.2652239999999999</v>
      </c>
      <c r="J27" s="14">
        <f t="shared" si="1"/>
        <v>34.335223999999997</v>
      </c>
      <c r="K27" s="14">
        <f t="shared" si="2"/>
        <v>1.0300567199999998E-2</v>
      </c>
      <c r="L27" s="14">
        <f t="shared" si="3"/>
        <v>34.324923432799999</v>
      </c>
      <c r="M27" s="14">
        <f t="shared" si="4"/>
        <v>6178.4862179040001</v>
      </c>
      <c r="N27" s="14">
        <f t="shared" si="5"/>
        <v>0.10932378760642225</v>
      </c>
      <c r="O27" s="96"/>
    </row>
    <row r="28" spans="1:15" ht="26.25" customHeight="1" x14ac:dyDescent="0.25">
      <c r="A28" s="17" t="s">
        <v>75</v>
      </c>
      <c r="B28" s="17" t="s">
        <v>33</v>
      </c>
      <c r="C28" s="11" t="s">
        <v>63</v>
      </c>
      <c r="D28" s="11" t="s">
        <v>34</v>
      </c>
      <c r="E28" s="12" t="s">
        <v>64</v>
      </c>
      <c r="F28" s="13" t="s">
        <v>35</v>
      </c>
      <c r="G28" s="11">
        <v>0</v>
      </c>
      <c r="H28" s="71">
        <v>28.07</v>
      </c>
      <c r="I28" s="14">
        <f t="shared" si="0"/>
        <v>6.2652239999999999</v>
      </c>
      <c r="J28" s="14">
        <f t="shared" si="1"/>
        <v>34.335223999999997</v>
      </c>
      <c r="K28" s="14">
        <f t="shared" si="2"/>
        <v>1.0300567199999998E-2</v>
      </c>
      <c r="L28" s="14">
        <f t="shared" si="3"/>
        <v>34.324923432799999</v>
      </c>
      <c r="M28" s="14">
        <f t="shared" si="4"/>
        <v>0</v>
      </c>
      <c r="N28" s="14">
        <f t="shared" si="5"/>
        <v>0</v>
      </c>
      <c r="O28" s="96"/>
    </row>
    <row r="29" spans="1:15" x14ac:dyDescent="0.25">
      <c r="A29" s="92" t="s">
        <v>16</v>
      </c>
      <c r="B29" s="82" t="s">
        <v>17</v>
      </c>
      <c r="C29" s="82" t="s">
        <v>18</v>
      </c>
      <c r="D29" s="82" t="s">
        <v>19</v>
      </c>
      <c r="E29" s="82" t="s">
        <v>20</v>
      </c>
      <c r="F29" s="82" t="s">
        <v>21</v>
      </c>
      <c r="G29" s="82" t="s">
        <v>22</v>
      </c>
      <c r="H29" s="90" t="s">
        <v>23</v>
      </c>
      <c r="I29" s="90"/>
      <c r="J29" s="90"/>
      <c r="K29" s="90"/>
      <c r="L29" s="91"/>
      <c r="M29" s="82" t="s">
        <v>24</v>
      </c>
      <c r="N29" s="82" t="s">
        <v>25</v>
      </c>
      <c r="O29" s="96"/>
    </row>
    <row r="30" spans="1:15" ht="17.100000000000001" customHeight="1" x14ac:dyDescent="0.25">
      <c r="A30" s="93"/>
      <c r="B30" s="83"/>
      <c r="C30" s="83"/>
      <c r="D30" s="83"/>
      <c r="E30" s="83"/>
      <c r="F30" s="83"/>
      <c r="G30" s="83"/>
      <c r="H30" s="3" t="s">
        <v>27</v>
      </c>
      <c r="I30" s="25" t="s">
        <v>36</v>
      </c>
      <c r="J30" s="3" t="s">
        <v>29</v>
      </c>
      <c r="K30" s="4" t="s">
        <v>52</v>
      </c>
      <c r="L30" s="3" t="s">
        <v>30</v>
      </c>
      <c r="M30" s="83"/>
      <c r="N30" s="83"/>
      <c r="O30" s="95"/>
    </row>
    <row r="31" spans="1:15" ht="17.100000000000001" customHeight="1" x14ac:dyDescent="0.25">
      <c r="A31" s="15">
        <v>2</v>
      </c>
      <c r="B31" s="151" t="s">
        <v>37</v>
      </c>
      <c r="C31" s="151"/>
      <c r="D31" s="152"/>
      <c r="E31" s="152"/>
      <c r="F31" s="152"/>
      <c r="G31" s="16"/>
      <c r="H31" s="16"/>
      <c r="I31" s="16"/>
      <c r="J31" s="16"/>
      <c r="K31" s="16"/>
      <c r="L31" s="16"/>
      <c r="M31" s="22">
        <f>SUM(M32:M75)</f>
        <v>16255.642004351879</v>
      </c>
      <c r="N31" s="16"/>
      <c r="O31" s="96"/>
    </row>
    <row r="32" spans="1:15" s="63" customFormat="1" ht="17.100000000000001" customHeight="1" x14ac:dyDescent="0.25">
      <c r="A32" s="18" t="s">
        <v>88</v>
      </c>
      <c r="B32" s="18" t="s">
        <v>81</v>
      </c>
      <c r="C32" s="18">
        <v>9868</v>
      </c>
      <c r="D32" s="18" t="s">
        <v>34</v>
      </c>
      <c r="E32" s="66" t="s">
        <v>171</v>
      </c>
      <c r="F32" s="18" t="s">
        <v>121</v>
      </c>
      <c r="G32" s="18">
        <v>90</v>
      </c>
      <c r="H32" s="73">
        <v>3.45</v>
      </c>
      <c r="I32" s="14">
        <f t="shared" ref="I32:I47" si="6">H32*0.1532</f>
        <v>0.52854000000000001</v>
      </c>
      <c r="J32" s="14">
        <f t="shared" ref="J32:J47" si="7">H32+I32</f>
        <v>3.9785400000000002</v>
      </c>
      <c r="K32" s="14">
        <f t="shared" ref="K32:K47" si="8">J32*(0.03%)</f>
        <v>1.193562E-3</v>
      </c>
      <c r="L32" s="14">
        <f t="shared" ref="L32:L47" si="9">J32-K32</f>
        <v>3.9773464380000001</v>
      </c>
      <c r="M32" s="14">
        <f t="shared" ref="M32:M47" si="10">L32*G32</f>
        <v>357.96117942000001</v>
      </c>
      <c r="N32" s="14">
        <f>M32/M31</f>
        <v>2.2020734667026282E-2</v>
      </c>
      <c r="O32" s="96"/>
    </row>
    <row r="33" spans="1:15" s="43" customFormat="1" ht="17.100000000000001" customHeight="1" x14ac:dyDescent="0.25">
      <c r="A33" s="18" t="s">
        <v>105</v>
      </c>
      <c r="B33" s="49" t="s">
        <v>81</v>
      </c>
      <c r="C33" s="18">
        <v>7122</v>
      </c>
      <c r="D33" s="18" t="s">
        <v>34</v>
      </c>
      <c r="E33" s="45" t="s">
        <v>170</v>
      </c>
      <c r="F33" s="18" t="s">
        <v>21</v>
      </c>
      <c r="G33" s="18">
        <v>10</v>
      </c>
      <c r="H33" s="73">
        <v>9.15</v>
      </c>
      <c r="I33" s="14">
        <f t="shared" si="6"/>
        <v>1.40178</v>
      </c>
      <c r="J33" s="14">
        <f t="shared" si="7"/>
        <v>10.551780000000001</v>
      </c>
      <c r="K33" s="14">
        <f t="shared" si="8"/>
        <v>3.1655339999999998E-3</v>
      </c>
      <c r="L33" s="14">
        <f t="shared" si="9"/>
        <v>10.548614466</v>
      </c>
      <c r="M33" s="14">
        <f t="shared" si="10"/>
        <v>105.48614466000001</v>
      </c>
      <c r="N33" s="14">
        <f t="shared" ref="N33:N69" si="11">M33/M32</f>
        <v>0.29468599033816428</v>
      </c>
      <c r="O33" s="96"/>
    </row>
    <row r="34" spans="1:15" s="43" customFormat="1" ht="17.25" customHeight="1" x14ac:dyDescent="0.25">
      <c r="A34" s="18" t="s">
        <v>89</v>
      </c>
      <c r="B34" s="18" t="s">
        <v>81</v>
      </c>
      <c r="C34" s="18">
        <v>7137</v>
      </c>
      <c r="D34" s="18" t="s">
        <v>34</v>
      </c>
      <c r="E34" s="45" t="s">
        <v>169</v>
      </c>
      <c r="F34" s="18" t="s">
        <v>21</v>
      </c>
      <c r="G34" s="18">
        <v>10</v>
      </c>
      <c r="H34" s="73">
        <v>8.31</v>
      </c>
      <c r="I34" s="14">
        <f t="shared" si="6"/>
        <v>1.2730920000000001</v>
      </c>
      <c r="J34" s="14">
        <f t="shared" si="7"/>
        <v>9.5830920000000006</v>
      </c>
      <c r="K34" s="14">
        <f t="shared" si="8"/>
        <v>2.8749276E-3</v>
      </c>
      <c r="L34" s="14">
        <f t="shared" si="9"/>
        <v>9.5802170724</v>
      </c>
      <c r="M34" s="14">
        <f t="shared" si="10"/>
        <v>95.802170724000007</v>
      </c>
      <c r="N34" s="14">
        <f t="shared" si="11"/>
        <v>0.90819672131147544</v>
      </c>
      <c r="O34" s="96"/>
    </row>
    <row r="35" spans="1:15" s="43" customFormat="1" ht="17.25" customHeight="1" x14ac:dyDescent="0.25">
      <c r="A35" s="18" t="s">
        <v>103</v>
      </c>
      <c r="B35" s="18" t="s">
        <v>81</v>
      </c>
      <c r="C35" s="18">
        <v>3524</v>
      </c>
      <c r="D35" s="18" t="s">
        <v>34</v>
      </c>
      <c r="E35" s="45" t="s">
        <v>168</v>
      </c>
      <c r="F35" s="18" t="s">
        <v>21</v>
      </c>
      <c r="G35" s="18">
        <v>10</v>
      </c>
      <c r="H35" s="73">
        <v>6.69</v>
      </c>
      <c r="I35" s="14">
        <f t="shared" si="6"/>
        <v>1.0249080000000002</v>
      </c>
      <c r="J35" s="14">
        <f t="shared" si="7"/>
        <v>7.7149080000000003</v>
      </c>
      <c r="K35" s="14">
        <f t="shared" si="8"/>
        <v>2.3144723999999998E-3</v>
      </c>
      <c r="L35" s="14">
        <f t="shared" si="9"/>
        <v>7.7125935276000002</v>
      </c>
      <c r="M35" s="14">
        <f t="shared" si="10"/>
        <v>77.125935276000007</v>
      </c>
      <c r="N35" s="14">
        <f t="shared" si="11"/>
        <v>0.80505415162454874</v>
      </c>
      <c r="O35" s="96"/>
    </row>
    <row r="36" spans="1:15" s="46" customFormat="1" ht="17.25" customHeight="1" x14ac:dyDescent="0.25">
      <c r="A36" s="18" t="s">
        <v>82</v>
      </c>
      <c r="B36" s="18" t="s">
        <v>81</v>
      </c>
      <c r="C36" s="18">
        <v>20147</v>
      </c>
      <c r="D36" s="18" t="s">
        <v>34</v>
      </c>
      <c r="E36" s="45" t="s">
        <v>167</v>
      </c>
      <c r="F36" s="18" t="s">
        <v>21</v>
      </c>
      <c r="G36" s="18">
        <v>10</v>
      </c>
      <c r="H36" s="71">
        <v>4.45</v>
      </c>
      <c r="I36" s="14">
        <f t="shared" si="6"/>
        <v>0.68174000000000001</v>
      </c>
      <c r="J36" s="14">
        <f t="shared" si="7"/>
        <v>5.1317400000000006</v>
      </c>
      <c r="K36" s="14">
        <f t="shared" si="8"/>
        <v>1.539522E-3</v>
      </c>
      <c r="L36" s="14">
        <f t="shared" si="9"/>
        <v>5.1302004780000008</v>
      </c>
      <c r="M36" s="14">
        <f t="shared" si="10"/>
        <v>51.302004780000004</v>
      </c>
      <c r="N36" s="14">
        <f t="shared" si="11"/>
        <v>0.66517189835575485</v>
      </c>
      <c r="O36" s="96"/>
    </row>
    <row r="37" spans="1:15" s="43" customFormat="1" ht="17.25" customHeight="1" x14ac:dyDescent="0.25">
      <c r="A37" s="18" t="s">
        <v>102</v>
      </c>
      <c r="B37" s="18" t="s">
        <v>81</v>
      </c>
      <c r="C37" s="18">
        <v>829</v>
      </c>
      <c r="D37" s="18" t="s">
        <v>34</v>
      </c>
      <c r="E37" s="52" t="s">
        <v>166</v>
      </c>
      <c r="F37" s="18" t="s">
        <v>21</v>
      </c>
      <c r="G37" s="18">
        <v>15</v>
      </c>
      <c r="H37" s="74">
        <v>0.79</v>
      </c>
      <c r="I37" s="41">
        <f>H37*0.1532</f>
        <v>0.12102800000000001</v>
      </c>
      <c r="J37" s="41">
        <f>H37+I37</f>
        <v>0.91102800000000006</v>
      </c>
      <c r="K37" s="41">
        <f>J37*(0.03%)</f>
        <v>2.7330840000000002E-4</v>
      </c>
      <c r="L37" s="41">
        <f>J37-K37</f>
        <v>0.91075469160000011</v>
      </c>
      <c r="M37" s="41">
        <f>L37*G37</f>
        <v>13.661320374000002</v>
      </c>
      <c r="N37" s="14">
        <f t="shared" si="11"/>
        <v>0.26629213483146069</v>
      </c>
      <c r="O37" s="96"/>
    </row>
    <row r="38" spans="1:15" s="43" customFormat="1" ht="17.25" customHeight="1" x14ac:dyDescent="0.25">
      <c r="A38" s="18" t="s">
        <v>90</v>
      </c>
      <c r="B38" s="49" t="s">
        <v>81</v>
      </c>
      <c r="C38" s="18">
        <v>111</v>
      </c>
      <c r="D38" s="18" t="s">
        <v>34</v>
      </c>
      <c r="E38" s="45" t="s">
        <v>165</v>
      </c>
      <c r="F38" s="18" t="s">
        <v>21</v>
      </c>
      <c r="G38" s="18">
        <v>5</v>
      </c>
      <c r="H38" s="73">
        <v>6.99</v>
      </c>
      <c r="I38" s="14">
        <f t="shared" si="6"/>
        <v>1.0708680000000002</v>
      </c>
      <c r="J38" s="14">
        <f t="shared" si="7"/>
        <v>8.060868000000001</v>
      </c>
      <c r="K38" s="14">
        <f t="shared" si="8"/>
        <v>2.4182603999999999E-3</v>
      </c>
      <c r="L38" s="14">
        <f t="shared" si="9"/>
        <v>8.0584497396000003</v>
      </c>
      <c r="M38" s="14">
        <f t="shared" si="10"/>
        <v>40.292248698000002</v>
      </c>
      <c r="N38" s="14">
        <f t="shared" si="11"/>
        <v>2.9493670886075947</v>
      </c>
      <c r="O38" s="96"/>
    </row>
    <row r="39" spans="1:15" s="43" customFormat="1" ht="17.100000000000001" customHeight="1" x14ac:dyDescent="0.25">
      <c r="A39" s="18" t="s">
        <v>106</v>
      </c>
      <c r="B39" s="49" t="s">
        <v>81</v>
      </c>
      <c r="C39" s="18" t="s">
        <v>162</v>
      </c>
      <c r="D39" s="18" t="s">
        <v>163</v>
      </c>
      <c r="E39" s="45" t="s">
        <v>164</v>
      </c>
      <c r="F39" s="18" t="s">
        <v>21</v>
      </c>
      <c r="G39" s="18">
        <v>10</v>
      </c>
      <c r="H39" s="73">
        <v>110.8</v>
      </c>
      <c r="I39" s="14">
        <f t="shared" si="6"/>
        <v>16.97456</v>
      </c>
      <c r="J39" s="14">
        <f t="shared" si="7"/>
        <v>127.77455999999999</v>
      </c>
      <c r="K39" s="14">
        <f t="shared" si="8"/>
        <v>3.8332367999999992E-2</v>
      </c>
      <c r="L39" s="14">
        <f t="shared" si="9"/>
        <v>127.73622763199999</v>
      </c>
      <c r="M39" s="14">
        <f t="shared" si="10"/>
        <v>1277.3622763199999</v>
      </c>
      <c r="N39" s="14">
        <f t="shared" si="11"/>
        <v>31.70243204577968</v>
      </c>
      <c r="O39" s="96"/>
    </row>
    <row r="40" spans="1:15" s="63" customFormat="1" ht="17.100000000000001" customHeight="1" x14ac:dyDescent="0.25">
      <c r="A40" s="18" t="s">
        <v>91</v>
      </c>
      <c r="B40" s="49" t="s">
        <v>81</v>
      </c>
      <c r="C40" s="68">
        <v>38643</v>
      </c>
      <c r="D40" s="49" t="s">
        <v>34</v>
      </c>
      <c r="E40" s="69" t="s">
        <v>161</v>
      </c>
      <c r="F40" s="49" t="s">
        <v>21</v>
      </c>
      <c r="G40" s="49">
        <v>8</v>
      </c>
      <c r="H40" s="75">
        <v>45.36</v>
      </c>
      <c r="I40" s="35">
        <f t="shared" si="6"/>
        <v>6.9491519999999998</v>
      </c>
      <c r="J40" s="35">
        <f t="shared" si="7"/>
        <v>52.309151999999997</v>
      </c>
      <c r="K40" s="35">
        <f t="shared" si="8"/>
        <v>1.5692745599999999E-2</v>
      </c>
      <c r="L40" s="35">
        <f t="shared" si="9"/>
        <v>52.293459254399998</v>
      </c>
      <c r="M40" s="35">
        <f t="shared" si="10"/>
        <v>418.34767403519999</v>
      </c>
      <c r="N40" s="14">
        <f t="shared" si="11"/>
        <v>0.32750902527075815</v>
      </c>
      <c r="O40" s="96"/>
    </row>
    <row r="41" spans="1:15" s="43" customFormat="1" ht="17.25" customHeight="1" x14ac:dyDescent="0.25">
      <c r="A41" s="18" t="s">
        <v>87</v>
      </c>
      <c r="B41" s="18" t="s">
        <v>81</v>
      </c>
      <c r="C41" s="18">
        <v>9838</v>
      </c>
      <c r="D41" s="18" t="s">
        <v>34</v>
      </c>
      <c r="E41" s="45" t="s">
        <v>160</v>
      </c>
      <c r="F41" s="18" t="s">
        <v>121</v>
      </c>
      <c r="G41" s="18">
        <v>90</v>
      </c>
      <c r="H41" s="73">
        <v>9.7200000000000006</v>
      </c>
      <c r="I41" s="14">
        <f t="shared" si="6"/>
        <v>1.4891040000000002</v>
      </c>
      <c r="J41" s="14">
        <f t="shared" si="7"/>
        <v>11.209104</v>
      </c>
      <c r="K41" s="14">
        <f t="shared" si="8"/>
        <v>3.3627311999999995E-3</v>
      </c>
      <c r="L41" s="14">
        <f t="shared" si="9"/>
        <v>11.205741268800001</v>
      </c>
      <c r="M41" s="14">
        <f t="shared" si="10"/>
        <v>1008.5167141920001</v>
      </c>
      <c r="N41" s="14">
        <f t="shared" si="11"/>
        <v>2.410714285714286</v>
      </c>
      <c r="O41" s="96"/>
    </row>
    <row r="42" spans="1:15" s="43" customFormat="1" ht="17.100000000000001" customHeight="1" x14ac:dyDescent="0.25">
      <c r="A42" s="18" t="s">
        <v>84</v>
      </c>
      <c r="B42" s="18" t="s">
        <v>81</v>
      </c>
      <c r="C42" s="18">
        <v>9835</v>
      </c>
      <c r="D42" s="18" t="s">
        <v>34</v>
      </c>
      <c r="E42" s="52" t="s">
        <v>159</v>
      </c>
      <c r="F42" s="18" t="s">
        <v>121</v>
      </c>
      <c r="G42" s="18">
        <v>90</v>
      </c>
      <c r="H42" s="73">
        <v>5.88</v>
      </c>
      <c r="I42" s="41">
        <f t="shared" si="6"/>
        <v>0.90081599999999995</v>
      </c>
      <c r="J42" s="41">
        <f t="shared" si="7"/>
        <v>6.7808159999999997</v>
      </c>
      <c r="K42" s="41">
        <f t="shared" si="8"/>
        <v>2.0342447999999996E-3</v>
      </c>
      <c r="L42" s="41">
        <f t="shared" si="9"/>
        <v>6.7787817551999998</v>
      </c>
      <c r="M42" s="41">
        <f t="shared" si="10"/>
        <v>610.09035796800003</v>
      </c>
      <c r="N42" s="14">
        <f t="shared" si="11"/>
        <v>0.60493827160493829</v>
      </c>
      <c r="O42" s="96"/>
    </row>
    <row r="43" spans="1:15" x14ac:dyDescent="0.25">
      <c r="A43" s="18" t="s">
        <v>92</v>
      </c>
      <c r="B43" s="18" t="s">
        <v>81</v>
      </c>
      <c r="C43" s="23">
        <v>12613</v>
      </c>
      <c r="D43" s="18" t="s">
        <v>34</v>
      </c>
      <c r="E43" s="24" t="s">
        <v>158</v>
      </c>
      <c r="F43" s="18" t="s">
        <v>21</v>
      </c>
      <c r="G43" s="18">
        <v>5</v>
      </c>
      <c r="H43" s="74">
        <v>20.22</v>
      </c>
      <c r="I43" s="14">
        <f t="shared" si="6"/>
        <v>3.0977039999999998</v>
      </c>
      <c r="J43" s="14">
        <f t="shared" si="7"/>
        <v>23.317703999999999</v>
      </c>
      <c r="K43" s="14">
        <f t="shared" si="8"/>
        <v>6.9953111999999989E-3</v>
      </c>
      <c r="L43" s="14">
        <f t="shared" si="9"/>
        <v>23.310708688799998</v>
      </c>
      <c r="M43" s="14">
        <f t="shared" si="10"/>
        <v>116.55354344399998</v>
      </c>
      <c r="N43" s="14">
        <f t="shared" si="11"/>
        <v>0.19104308390022673</v>
      </c>
      <c r="O43" s="96"/>
    </row>
    <row r="44" spans="1:15" s="43" customFormat="1" ht="17.100000000000001" customHeight="1" x14ac:dyDescent="0.25">
      <c r="A44" s="18" t="s">
        <v>107</v>
      </c>
      <c r="B44" s="49" t="s">
        <v>81</v>
      </c>
      <c r="C44" s="11">
        <v>37948</v>
      </c>
      <c r="D44" s="18" t="s">
        <v>34</v>
      </c>
      <c r="E44" s="44" t="s">
        <v>157</v>
      </c>
      <c r="F44" s="18" t="s">
        <v>21</v>
      </c>
      <c r="G44" s="18">
        <v>10</v>
      </c>
      <c r="H44" s="71">
        <v>3.35</v>
      </c>
      <c r="I44" s="14">
        <f t="shared" si="6"/>
        <v>0.51322000000000001</v>
      </c>
      <c r="J44" s="14">
        <f t="shared" si="7"/>
        <v>3.8632200000000001</v>
      </c>
      <c r="K44" s="14">
        <f t="shared" si="8"/>
        <v>1.158966E-3</v>
      </c>
      <c r="L44" s="14">
        <f t="shared" si="9"/>
        <v>3.8620610339999999</v>
      </c>
      <c r="M44" s="14">
        <f t="shared" si="10"/>
        <v>38.620610339999999</v>
      </c>
      <c r="N44" s="14">
        <f t="shared" si="11"/>
        <v>0.33135509396636997</v>
      </c>
      <c r="O44" s="96"/>
    </row>
    <row r="45" spans="1:15" s="43" customFormat="1" ht="17.25" customHeight="1" x14ac:dyDescent="0.25">
      <c r="A45" s="18" t="s">
        <v>108</v>
      </c>
      <c r="B45" s="18" t="s">
        <v>81</v>
      </c>
      <c r="C45" s="18">
        <v>3897</v>
      </c>
      <c r="D45" s="18" t="s">
        <v>34</v>
      </c>
      <c r="E45" s="45" t="s">
        <v>156</v>
      </c>
      <c r="F45" s="18" t="s">
        <v>21</v>
      </c>
      <c r="G45" s="18">
        <v>10</v>
      </c>
      <c r="H45" s="73">
        <v>1.44</v>
      </c>
      <c r="I45" s="14">
        <f t="shared" si="6"/>
        <v>0.220608</v>
      </c>
      <c r="J45" s="14">
        <f t="shared" si="7"/>
        <v>1.6606079999999999</v>
      </c>
      <c r="K45" s="14">
        <f t="shared" si="8"/>
        <v>4.9818239999999993E-4</v>
      </c>
      <c r="L45" s="14">
        <f t="shared" si="9"/>
        <v>1.6601098175999998</v>
      </c>
      <c r="M45" s="14">
        <f t="shared" si="10"/>
        <v>16.601098175999997</v>
      </c>
      <c r="N45" s="14">
        <f t="shared" si="11"/>
        <v>0.42985074626865666</v>
      </c>
      <c r="O45" s="96"/>
    </row>
    <row r="46" spans="1:15" s="43" customFormat="1" ht="17.100000000000001" customHeight="1" x14ac:dyDescent="0.25">
      <c r="A46" s="18" t="s">
        <v>85</v>
      </c>
      <c r="B46" s="18" t="s">
        <v>81</v>
      </c>
      <c r="C46" s="18">
        <v>3503</v>
      </c>
      <c r="D46" s="18" t="s">
        <v>34</v>
      </c>
      <c r="E46" s="45" t="s">
        <v>155</v>
      </c>
      <c r="F46" s="18" t="s">
        <v>21</v>
      </c>
      <c r="G46" s="18">
        <v>10</v>
      </c>
      <c r="H46" s="73">
        <v>6.22</v>
      </c>
      <c r="I46" s="14">
        <f t="shared" si="6"/>
        <v>0.95290399999999997</v>
      </c>
      <c r="J46" s="14">
        <f t="shared" si="7"/>
        <v>7.1729039999999999</v>
      </c>
      <c r="K46" s="14">
        <f t="shared" si="8"/>
        <v>2.1518711999999997E-3</v>
      </c>
      <c r="L46" s="14">
        <f t="shared" si="9"/>
        <v>7.1707521288000002</v>
      </c>
      <c r="M46" s="14">
        <f t="shared" si="10"/>
        <v>71.707521288000009</v>
      </c>
      <c r="N46" s="14">
        <f t="shared" si="11"/>
        <v>4.3194444444444455</v>
      </c>
      <c r="O46" s="96"/>
    </row>
    <row r="47" spans="1:15" s="43" customFormat="1" ht="17.25" customHeight="1" x14ac:dyDescent="0.25">
      <c r="A47" s="18" t="s">
        <v>109</v>
      </c>
      <c r="B47" s="18" t="s">
        <v>81</v>
      </c>
      <c r="C47" s="18">
        <v>20148</v>
      </c>
      <c r="D47" s="18" t="s">
        <v>34</v>
      </c>
      <c r="E47" s="45" t="s">
        <v>154</v>
      </c>
      <c r="F47" s="18" t="s">
        <v>21</v>
      </c>
      <c r="G47" s="18">
        <v>10</v>
      </c>
      <c r="H47" s="73">
        <v>3.63</v>
      </c>
      <c r="I47" s="14">
        <f t="shared" si="6"/>
        <v>0.55611599999999994</v>
      </c>
      <c r="J47" s="14">
        <f t="shared" si="7"/>
        <v>4.1861160000000002</v>
      </c>
      <c r="K47" s="14">
        <f t="shared" si="8"/>
        <v>1.2558348E-3</v>
      </c>
      <c r="L47" s="14">
        <f t="shared" si="9"/>
        <v>4.1848601651999999</v>
      </c>
      <c r="M47" s="14">
        <f t="shared" si="10"/>
        <v>41.848601651999999</v>
      </c>
      <c r="N47" s="14">
        <f t="shared" si="11"/>
        <v>0.58360128617363338</v>
      </c>
      <c r="O47" s="96"/>
    </row>
    <row r="48" spans="1:15" s="43" customFormat="1" ht="17.25" customHeight="1" x14ac:dyDescent="0.25">
      <c r="A48" s="18" t="s">
        <v>110</v>
      </c>
      <c r="B48" s="18" t="s">
        <v>81</v>
      </c>
      <c r="C48" s="67">
        <v>10228</v>
      </c>
      <c r="D48" s="18" t="s">
        <v>34</v>
      </c>
      <c r="E48" s="44" t="s">
        <v>153</v>
      </c>
      <c r="F48" s="18" t="s">
        <v>21</v>
      </c>
      <c r="G48" s="18">
        <v>5</v>
      </c>
      <c r="H48" s="71">
        <v>314.51</v>
      </c>
      <c r="I48" s="14">
        <f>H48*0.1532</f>
        <v>48.182932000000001</v>
      </c>
      <c r="J48" s="14">
        <f>H48+I48</f>
        <v>362.69293199999998</v>
      </c>
      <c r="K48" s="14">
        <f>J48*(0.03%)</f>
        <v>0.10880787959999999</v>
      </c>
      <c r="L48" s="14">
        <f>J48-K48</f>
        <v>362.58412412039996</v>
      </c>
      <c r="M48" s="14">
        <f>L48*G48</f>
        <v>1812.9206206019999</v>
      </c>
      <c r="N48" s="14">
        <f t="shared" si="11"/>
        <v>43.320936639118457</v>
      </c>
      <c r="O48" s="96"/>
    </row>
    <row r="49" spans="1:15" s="46" customFormat="1" ht="15" customHeight="1" x14ac:dyDescent="0.25">
      <c r="A49" s="18" t="s">
        <v>93</v>
      </c>
      <c r="B49" s="18" t="s">
        <v>81</v>
      </c>
      <c r="C49" s="18">
        <v>6754</v>
      </c>
      <c r="D49" s="18" t="s">
        <v>100</v>
      </c>
      <c r="E49" s="66" t="s">
        <v>152</v>
      </c>
      <c r="F49" s="18" t="s">
        <v>120</v>
      </c>
      <c r="G49" s="18">
        <v>1.7</v>
      </c>
      <c r="H49" s="73">
        <v>318.52999999999997</v>
      </c>
      <c r="I49" s="14">
        <f t="shared" ref="I49:I62" si="12">H49*0.1532</f>
        <v>48.798795999999996</v>
      </c>
      <c r="J49" s="14">
        <f t="shared" ref="J49:J62" si="13">H49+I49</f>
        <v>367.32879599999995</v>
      </c>
      <c r="K49" s="14">
        <f t="shared" ref="K49:K62" si="14">J49*(0.03%)</f>
        <v>0.11019863879999997</v>
      </c>
      <c r="L49" s="14">
        <f t="shared" ref="L49:L62" si="15">J49-K49</f>
        <v>367.21859736119995</v>
      </c>
      <c r="M49" s="14">
        <f t="shared" ref="M49:M62" si="16">L49*G49</f>
        <v>624.27161551403992</v>
      </c>
      <c r="N49" s="14">
        <f t="shared" si="11"/>
        <v>0.344345807764459</v>
      </c>
      <c r="O49" s="96"/>
    </row>
    <row r="50" spans="1:15" s="65" customFormat="1" ht="16.5" customHeight="1" x14ac:dyDescent="0.2">
      <c r="A50" s="18" t="s">
        <v>111</v>
      </c>
      <c r="B50" s="18" t="s">
        <v>81</v>
      </c>
      <c r="C50" s="23">
        <v>44945</v>
      </c>
      <c r="D50" s="18" t="s">
        <v>34</v>
      </c>
      <c r="E50" s="24" t="s">
        <v>151</v>
      </c>
      <c r="F50" s="18" t="s">
        <v>21</v>
      </c>
      <c r="G50" s="18">
        <v>15</v>
      </c>
      <c r="H50" s="74">
        <v>10.93</v>
      </c>
      <c r="I50" s="14">
        <f t="shared" si="12"/>
        <v>1.6744760000000001</v>
      </c>
      <c r="J50" s="14">
        <f t="shared" si="13"/>
        <v>12.604476</v>
      </c>
      <c r="K50" s="14">
        <f t="shared" si="14"/>
        <v>3.7813427999999999E-3</v>
      </c>
      <c r="L50" s="14">
        <f t="shared" si="15"/>
        <v>12.6006946572</v>
      </c>
      <c r="M50" s="14">
        <f t="shared" si="16"/>
        <v>189.01041985800001</v>
      </c>
      <c r="N50" s="14">
        <f t="shared" si="11"/>
        <v>0.30276952397133161</v>
      </c>
      <c r="O50" s="96"/>
    </row>
    <row r="51" spans="1:15" s="19" customFormat="1" ht="17.100000000000001" customHeight="1" x14ac:dyDescent="0.2">
      <c r="A51" s="18" t="s">
        <v>86</v>
      </c>
      <c r="B51" s="18" t="s">
        <v>81</v>
      </c>
      <c r="C51" s="18">
        <v>6138</v>
      </c>
      <c r="D51" s="18" t="s">
        <v>34</v>
      </c>
      <c r="E51" s="64" t="s">
        <v>150</v>
      </c>
      <c r="F51" s="18" t="s">
        <v>21</v>
      </c>
      <c r="G51" s="18">
        <v>10</v>
      </c>
      <c r="H51" s="73">
        <v>11.57</v>
      </c>
      <c r="I51" s="14">
        <f>H51*0.1532</f>
        <v>1.772524</v>
      </c>
      <c r="J51" s="14">
        <f t="shared" si="13"/>
        <v>13.342524000000001</v>
      </c>
      <c r="K51" s="14">
        <f t="shared" si="14"/>
        <v>4.0027572000000001E-3</v>
      </c>
      <c r="L51" s="14">
        <f t="shared" si="15"/>
        <v>13.338521242800001</v>
      </c>
      <c r="M51" s="14">
        <f t="shared" si="16"/>
        <v>133.38521242800002</v>
      </c>
      <c r="N51" s="14">
        <f t="shared" si="11"/>
        <v>0.70570295821896922</v>
      </c>
      <c r="O51" s="96"/>
    </row>
    <row r="52" spans="1:15" s="43" customFormat="1" ht="17.25" customHeight="1" x14ac:dyDescent="0.25">
      <c r="A52" s="18" t="s">
        <v>112</v>
      </c>
      <c r="B52" s="18" t="s">
        <v>81</v>
      </c>
      <c r="C52" s="18">
        <v>4384</v>
      </c>
      <c r="D52" s="18" t="s">
        <v>34</v>
      </c>
      <c r="E52" s="45" t="s">
        <v>149</v>
      </c>
      <c r="F52" s="18" t="s">
        <v>21</v>
      </c>
      <c r="G52" s="18">
        <v>15</v>
      </c>
      <c r="H52" s="73">
        <v>24.83</v>
      </c>
      <c r="I52" s="14">
        <f t="shared" si="12"/>
        <v>3.8039559999999999</v>
      </c>
      <c r="J52" s="14">
        <f t="shared" si="13"/>
        <v>28.633955999999998</v>
      </c>
      <c r="K52" s="14">
        <f t="shared" si="14"/>
        <v>8.5901867999999982E-3</v>
      </c>
      <c r="L52" s="14">
        <f t="shared" si="15"/>
        <v>28.625365813199998</v>
      </c>
      <c r="M52" s="14">
        <f t="shared" si="16"/>
        <v>429.38048719799997</v>
      </c>
      <c r="N52" s="14">
        <f t="shared" si="11"/>
        <v>3.2191011235955052</v>
      </c>
      <c r="O52" s="96"/>
    </row>
    <row r="53" spans="1:15" s="63" customFormat="1" ht="17.100000000000001" customHeight="1" x14ac:dyDescent="0.25">
      <c r="A53" s="18" t="s">
        <v>104</v>
      </c>
      <c r="B53" s="18" t="s">
        <v>81</v>
      </c>
      <c r="C53" s="18">
        <v>11772</v>
      </c>
      <c r="D53" s="18" t="s">
        <v>34</v>
      </c>
      <c r="E53" s="62" t="s">
        <v>148</v>
      </c>
      <c r="F53" s="18" t="s">
        <v>21</v>
      </c>
      <c r="G53" s="18">
        <v>10</v>
      </c>
      <c r="H53" s="73">
        <v>109.27</v>
      </c>
      <c r="I53" s="14">
        <f t="shared" si="12"/>
        <v>16.740164</v>
      </c>
      <c r="J53" s="14">
        <f t="shared" si="13"/>
        <v>126.010164</v>
      </c>
      <c r="K53" s="14">
        <f t="shared" si="14"/>
        <v>3.7803049200000001E-2</v>
      </c>
      <c r="L53" s="14">
        <f t="shared" si="15"/>
        <v>125.97236095080001</v>
      </c>
      <c r="M53" s="14">
        <f t="shared" si="16"/>
        <v>1259.7236095080002</v>
      </c>
      <c r="N53" s="14">
        <f t="shared" si="11"/>
        <v>2.9338166196804947</v>
      </c>
      <c r="O53" s="96"/>
    </row>
    <row r="54" spans="1:15" s="43" customFormat="1" ht="17.25" customHeight="1" x14ac:dyDescent="0.25">
      <c r="A54" s="18" t="s">
        <v>94</v>
      </c>
      <c r="B54" s="18" t="s">
        <v>81</v>
      </c>
      <c r="C54" s="18">
        <v>6142</v>
      </c>
      <c r="D54" s="18" t="s">
        <v>34</v>
      </c>
      <c r="E54" s="52" t="s">
        <v>147</v>
      </c>
      <c r="F54" s="18" t="s">
        <v>21</v>
      </c>
      <c r="G54" s="18">
        <v>15</v>
      </c>
      <c r="H54" s="73">
        <v>9.99</v>
      </c>
      <c r="I54" s="14">
        <f t="shared" si="12"/>
        <v>1.5304680000000002</v>
      </c>
      <c r="J54" s="14">
        <f t="shared" si="13"/>
        <v>11.520468000000001</v>
      </c>
      <c r="K54" s="14">
        <f t="shared" si="14"/>
        <v>3.4561404E-3</v>
      </c>
      <c r="L54" s="14">
        <f t="shared" si="15"/>
        <v>11.5170118596</v>
      </c>
      <c r="M54" s="14">
        <f t="shared" si="16"/>
        <v>172.75517789400001</v>
      </c>
      <c r="N54" s="14">
        <f t="shared" si="11"/>
        <v>0.13713736615722522</v>
      </c>
      <c r="O54" s="96"/>
    </row>
    <row r="55" spans="1:15" s="43" customFormat="1" ht="17.100000000000001" customHeight="1" x14ac:dyDescent="0.25">
      <c r="A55" s="18" t="s">
        <v>83</v>
      </c>
      <c r="B55" s="18" t="s">
        <v>81</v>
      </c>
      <c r="C55" s="11">
        <v>779</v>
      </c>
      <c r="D55" s="18" t="s">
        <v>34</v>
      </c>
      <c r="E55" s="44" t="s">
        <v>146</v>
      </c>
      <c r="F55" s="18" t="s">
        <v>21</v>
      </c>
      <c r="G55" s="18">
        <v>15</v>
      </c>
      <c r="H55" s="74">
        <v>7.71</v>
      </c>
      <c r="I55" s="14">
        <f t="shared" si="12"/>
        <v>1.1811720000000001</v>
      </c>
      <c r="J55" s="14">
        <f t="shared" si="13"/>
        <v>8.891172000000001</v>
      </c>
      <c r="K55" s="14">
        <f t="shared" si="14"/>
        <v>2.6673515999999999E-3</v>
      </c>
      <c r="L55" s="14">
        <f t="shared" si="15"/>
        <v>8.8885046484000014</v>
      </c>
      <c r="M55" s="14">
        <f t="shared" si="16"/>
        <v>133.32756972600004</v>
      </c>
      <c r="N55" s="14">
        <f t="shared" si="11"/>
        <v>0.77177177177177192</v>
      </c>
      <c r="O55" s="96"/>
    </row>
    <row r="56" spans="1:15" s="43" customFormat="1" ht="17.25" customHeight="1" x14ac:dyDescent="0.25">
      <c r="A56" s="18" t="s">
        <v>95</v>
      </c>
      <c r="B56" s="49" t="s">
        <v>81</v>
      </c>
      <c r="C56" s="18">
        <v>122</v>
      </c>
      <c r="D56" s="18" t="s">
        <v>34</v>
      </c>
      <c r="E56" s="45" t="s">
        <v>123</v>
      </c>
      <c r="F56" s="18" t="s">
        <v>21</v>
      </c>
      <c r="G56" s="18">
        <v>2</v>
      </c>
      <c r="H56" s="73">
        <v>53.39</v>
      </c>
      <c r="I56" s="14">
        <f t="shared" si="12"/>
        <v>8.179348000000001</v>
      </c>
      <c r="J56" s="14">
        <f t="shared" si="13"/>
        <v>61.569348000000005</v>
      </c>
      <c r="K56" s="14">
        <f t="shared" si="14"/>
        <v>1.8470804399999999E-2</v>
      </c>
      <c r="L56" s="14">
        <f t="shared" si="15"/>
        <v>61.550877195600002</v>
      </c>
      <c r="M56" s="14">
        <f t="shared" si="16"/>
        <v>123.1017543912</v>
      </c>
      <c r="N56" s="14">
        <f t="shared" si="11"/>
        <v>0.92330306960657138</v>
      </c>
      <c r="O56" s="96"/>
    </row>
    <row r="57" spans="1:15" s="43" customFormat="1" ht="17.100000000000001" customHeight="1" x14ac:dyDescent="0.25">
      <c r="A57" s="18" t="s">
        <v>113</v>
      </c>
      <c r="B57" s="18" t="s">
        <v>81</v>
      </c>
      <c r="C57" s="18">
        <v>1379</v>
      </c>
      <c r="D57" s="18" t="s">
        <v>34</v>
      </c>
      <c r="E57" s="45" t="s">
        <v>126</v>
      </c>
      <c r="F57" s="18" t="s">
        <v>21</v>
      </c>
      <c r="G57" s="18">
        <v>800</v>
      </c>
      <c r="H57" s="76">
        <v>0.6</v>
      </c>
      <c r="I57" s="14">
        <f t="shared" si="12"/>
        <v>9.1920000000000002E-2</v>
      </c>
      <c r="J57" s="14">
        <f t="shared" si="13"/>
        <v>0.69191999999999998</v>
      </c>
      <c r="K57" s="14">
        <f t="shared" si="14"/>
        <v>2.0757599999999998E-4</v>
      </c>
      <c r="L57" s="14">
        <f t="shared" si="15"/>
        <v>0.69171242399999999</v>
      </c>
      <c r="M57" s="14">
        <f t="shared" si="16"/>
        <v>553.36993919999998</v>
      </c>
      <c r="N57" s="14">
        <f t="shared" si="11"/>
        <v>4.4952238246862706</v>
      </c>
      <c r="O57" s="96"/>
    </row>
    <row r="58" spans="1:15" s="46" customFormat="1" ht="14.25" customHeight="1" x14ac:dyDescent="0.25">
      <c r="A58" s="18" t="s">
        <v>114</v>
      </c>
      <c r="B58" s="18" t="s">
        <v>81</v>
      </c>
      <c r="C58" s="18">
        <v>43059</v>
      </c>
      <c r="D58" s="18" t="s">
        <v>34</v>
      </c>
      <c r="E58" s="52" t="s">
        <v>142</v>
      </c>
      <c r="F58" s="18" t="s">
        <v>120</v>
      </c>
      <c r="G58" s="18">
        <f>1.32*20</f>
        <v>26.400000000000002</v>
      </c>
      <c r="H58" s="73">
        <v>7.26</v>
      </c>
      <c r="I58" s="14">
        <f t="shared" si="12"/>
        <v>1.1122319999999999</v>
      </c>
      <c r="J58" s="14">
        <f t="shared" si="13"/>
        <v>8.3722320000000003</v>
      </c>
      <c r="K58" s="14">
        <f t="shared" si="14"/>
        <v>2.5116696E-3</v>
      </c>
      <c r="L58" s="14">
        <f t="shared" si="15"/>
        <v>8.3697203303999999</v>
      </c>
      <c r="M58" s="14">
        <f t="shared" si="16"/>
        <v>220.96061672256002</v>
      </c>
      <c r="N58" s="14">
        <f t="shared" si="11"/>
        <v>0.39930000000000004</v>
      </c>
      <c r="O58" s="96"/>
    </row>
    <row r="59" spans="1:15" s="46" customFormat="1" ht="14.25" customHeight="1" x14ac:dyDescent="0.25">
      <c r="A59" s="18" t="s">
        <v>96</v>
      </c>
      <c r="B59" s="18" t="s">
        <v>81</v>
      </c>
      <c r="C59" s="11">
        <v>33</v>
      </c>
      <c r="D59" s="18" t="s">
        <v>34</v>
      </c>
      <c r="E59" s="44" t="s">
        <v>143</v>
      </c>
      <c r="F59" s="18" t="s">
        <v>120</v>
      </c>
      <c r="G59" s="18">
        <f>4.74*20</f>
        <v>94.800000000000011</v>
      </c>
      <c r="H59" s="74">
        <v>8.14</v>
      </c>
      <c r="I59" s="41">
        <f t="shared" si="12"/>
        <v>1.2470480000000002</v>
      </c>
      <c r="J59" s="41">
        <f t="shared" si="13"/>
        <v>9.3870480000000001</v>
      </c>
      <c r="K59" s="41">
        <f t="shared" si="14"/>
        <v>2.8161143999999999E-3</v>
      </c>
      <c r="L59" s="41">
        <f t="shared" si="15"/>
        <v>9.3842318856000002</v>
      </c>
      <c r="M59" s="41">
        <f t="shared" si="16"/>
        <v>889.62518275488014</v>
      </c>
      <c r="N59" s="14">
        <f t="shared" si="11"/>
        <v>4.0261707988980717</v>
      </c>
      <c r="O59" s="96"/>
    </row>
    <row r="60" spans="1:15" s="43" customFormat="1" ht="17.100000000000001" customHeight="1" x14ac:dyDescent="0.25">
      <c r="A60" s="18" t="s">
        <v>116</v>
      </c>
      <c r="B60" s="18" t="s">
        <v>81</v>
      </c>
      <c r="C60" s="18">
        <v>10425</v>
      </c>
      <c r="D60" s="18" t="s">
        <v>34</v>
      </c>
      <c r="E60" s="45" t="s">
        <v>144</v>
      </c>
      <c r="F60" s="18" t="s">
        <v>21</v>
      </c>
      <c r="G60" s="18">
        <v>3</v>
      </c>
      <c r="H60" s="76">
        <v>95.64</v>
      </c>
      <c r="I60" s="14">
        <f t="shared" si="12"/>
        <v>14.652048000000001</v>
      </c>
      <c r="J60" s="14">
        <f t="shared" si="13"/>
        <v>110.29204799999999</v>
      </c>
      <c r="K60" s="14">
        <f t="shared" si="14"/>
        <v>3.3087614399999993E-2</v>
      </c>
      <c r="L60" s="14">
        <f t="shared" si="15"/>
        <v>110.25896038559999</v>
      </c>
      <c r="M60" s="41">
        <f t="shared" ref="M60:M61" si="17">L60*G60</f>
        <v>330.77688115679996</v>
      </c>
      <c r="N60" s="14">
        <f t="shared" si="11"/>
        <v>0.37181600472739701</v>
      </c>
      <c r="O60" s="96"/>
    </row>
    <row r="61" spans="1:15" s="19" customFormat="1" ht="17.100000000000001" customHeight="1" x14ac:dyDescent="0.2">
      <c r="A61" s="18" t="s">
        <v>115</v>
      </c>
      <c r="B61" s="18" t="s">
        <v>81</v>
      </c>
      <c r="C61" s="18">
        <v>135</v>
      </c>
      <c r="D61" s="18" t="s">
        <v>34</v>
      </c>
      <c r="E61" s="61" t="s">
        <v>145</v>
      </c>
      <c r="F61" s="18" t="s">
        <v>120</v>
      </c>
      <c r="G61" s="18">
        <v>180</v>
      </c>
      <c r="H61" s="73">
        <v>3.33</v>
      </c>
      <c r="I61" s="14">
        <f t="shared" si="12"/>
        <v>0.51015600000000005</v>
      </c>
      <c r="J61" s="14">
        <f t="shared" si="13"/>
        <v>3.8401560000000003</v>
      </c>
      <c r="K61" s="14">
        <f t="shared" si="14"/>
        <v>1.1520467999999999E-3</v>
      </c>
      <c r="L61" s="14">
        <f t="shared" si="15"/>
        <v>3.8390039532000002</v>
      </c>
      <c r="M61" s="41">
        <f t="shared" si="17"/>
        <v>691.02071157600005</v>
      </c>
      <c r="N61" s="14">
        <f t="shared" si="11"/>
        <v>2.0890840652446681</v>
      </c>
      <c r="O61" s="96"/>
    </row>
    <row r="62" spans="1:15" s="19" customFormat="1" ht="17.100000000000001" customHeight="1" x14ac:dyDescent="0.2">
      <c r="A62" s="18" t="s">
        <v>117</v>
      </c>
      <c r="B62" s="18" t="s">
        <v>81</v>
      </c>
      <c r="C62" s="18">
        <v>11621</v>
      </c>
      <c r="D62" s="18" t="s">
        <v>34</v>
      </c>
      <c r="E62" s="45" t="s">
        <v>127</v>
      </c>
      <c r="F62" s="18" t="s">
        <v>128</v>
      </c>
      <c r="G62" s="18">
        <v>2</v>
      </c>
      <c r="H62" s="73">
        <v>59.48</v>
      </c>
      <c r="I62" s="14">
        <f t="shared" si="12"/>
        <v>9.1123359999999991</v>
      </c>
      <c r="J62" s="14">
        <f t="shared" si="13"/>
        <v>68.592335999999989</v>
      </c>
      <c r="K62" s="14">
        <f t="shared" si="14"/>
        <v>2.0577700799999994E-2</v>
      </c>
      <c r="L62" s="14">
        <f t="shared" si="15"/>
        <v>68.571758299199985</v>
      </c>
      <c r="M62" s="14">
        <f t="shared" si="16"/>
        <v>137.14351659839997</v>
      </c>
      <c r="N62" s="14">
        <f t="shared" si="11"/>
        <v>0.19846513179846506</v>
      </c>
      <c r="O62" s="96"/>
    </row>
    <row r="63" spans="1:15" s="43" customFormat="1" ht="17.25" customHeight="1" x14ac:dyDescent="0.25">
      <c r="A63" s="18" t="s">
        <v>124</v>
      </c>
      <c r="B63" s="18" t="s">
        <v>81</v>
      </c>
      <c r="C63" s="49">
        <v>35692</v>
      </c>
      <c r="D63" s="49" t="s">
        <v>34</v>
      </c>
      <c r="E63" s="50" t="s">
        <v>129</v>
      </c>
      <c r="F63" s="49" t="s">
        <v>101</v>
      </c>
      <c r="G63" s="49">
        <v>36</v>
      </c>
      <c r="H63" s="77">
        <v>20.12</v>
      </c>
      <c r="I63" s="35">
        <f t="shared" ref="I63:I64" si="18">H63*0.1532</f>
        <v>3.0823840000000002</v>
      </c>
      <c r="J63" s="35">
        <f t="shared" ref="J63:J64" si="19">H63+I63</f>
        <v>23.202384000000002</v>
      </c>
      <c r="K63" s="35">
        <f t="shared" ref="K63:K64" si="20">J63*(0.03%)</f>
        <v>6.9607152000000002E-3</v>
      </c>
      <c r="L63" s="35">
        <f t="shared" ref="L63:L64" si="21">J63-K63</f>
        <v>23.1954232848</v>
      </c>
      <c r="M63" s="35">
        <f t="shared" ref="M63:M64" si="22">L63*G63</f>
        <v>835.03523825280001</v>
      </c>
      <c r="N63" s="14">
        <f t="shared" si="11"/>
        <v>6.0887693342299949</v>
      </c>
      <c r="O63" s="96"/>
    </row>
    <row r="64" spans="1:15" s="43" customFormat="1" ht="17.25" customHeight="1" x14ac:dyDescent="0.25">
      <c r="A64" s="18" t="s">
        <v>130</v>
      </c>
      <c r="B64" s="49" t="s">
        <v>81</v>
      </c>
      <c r="C64" s="49">
        <v>7348</v>
      </c>
      <c r="D64" s="49" t="s">
        <v>34</v>
      </c>
      <c r="E64" s="50" t="s">
        <v>119</v>
      </c>
      <c r="F64" s="49" t="s">
        <v>101</v>
      </c>
      <c r="G64" s="49">
        <v>18</v>
      </c>
      <c r="H64" s="78">
        <v>20.62</v>
      </c>
      <c r="I64" s="35">
        <f t="shared" si="18"/>
        <v>3.1589840000000002</v>
      </c>
      <c r="J64" s="35">
        <f t="shared" si="19"/>
        <v>23.778984000000001</v>
      </c>
      <c r="K64" s="35">
        <f t="shared" si="20"/>
        <v>7.1336951999999999E-3</v>
      </c>
      <c r="L64" s="35">
        <f t="shared" si="21"/>
        <v>23.771850304800001</v>
      </c>
      <c r="M64" s="35">
        <f t="shared" si="22"/>
        <v>427.89330548640004</v>
      </c>
      <c r="N64" s="14">
        <f t="shared" si="11"/>
        <v>0.5124254473161034</v>
      </c>
      <c r="O64" s="96"/>
    </row>
    <row r="65" spans="1:15" s="46" customFormat="1" ht="17.25" customHeight="1" x14ac:dyDescent="0.25">
      <c r="A65" s="18" t="s">
        <v>131</v>
      </c>
      <c r="B65" s="18" t="s">
        <v>81</v>
      </c>
      <c r="C65" s="18">
        <v>38122</v>
      </c>
      <c r="D65" s="49" t="s">
        <v>34</v>
      </c>
      <c r="E65" s="45" t="s">
        <v>137</v>
      </c>
      <c r="F65" s="18" t="s">
        <v>101</v>
      </c>
      <c r="G65" s="18">
        <f>3*18</f>
        <v>54</v>
      </c>
      <c r="H65" s="71">
        <v>20.6</v>
      </c>
      <c r="I65" s="35">
        <f t="shared" ref="I65:I69" si="23">H65*0.1532</f>
        <v>3.1559200000000001</v>
      </c>
      <c r="J65" s="35">
        <f t="shared" ref="J65:J69" si="24">H65+I65</f>
        <v>23.755920000000003</v>
      </c>
      <c r="K65" s="35">
        <f t="shared" ref="K65:K69" si="25">J65*(0.03%)</f>
        <v>7.1267760000000005E-3</v>
      </c>
      <c r="L65" s="35">
        <f t="shared" ref="L65:L69" si="26">J65-K65</f>
        <v>23.748793224000003</v>
      </c>
      <c r="M65" s="35">
        <f t="shared" ref="M65:M69" si="27">L65*G65</f>
        <v>1282.4348340960003</v>
      </c>
      <c r="N65" s="14">
        <f t="shared" si="11"/>
        <v>2.9970902036857425</v>
      </c>
      <c r="O65" s="96"/>
    </row>
    <row r="66" spans="1:15" s="43" customFormat="1" ht="17.25" customHeight="1" x14ac:dyDescent="0.25">
      <c r="A66" s="18" t="s">
        <v>125</v>
      </c>
      <c r="B66" s="49" t="s">
        <v>81</v>
      </c>
      <c r="C66" s="49">
        <v>11414</v>
      </c>
      <c r="D66" s="49" t="s">
        <v>100</v>
      </c>
      <c r="E66" s="50" t="s">
        <v>138</v>
      </c>
      <c r="F66" s="18" t="s">
        <v>21</v>
      </c>
      <c r="G66" s="49">
        <v>50</v>
      </c>
      <c r="H66" s="77">
        <v>0.87</v>
      </c>
      <c r="I66" s="35">
        <f t="shared" si="23"/>
        <v>0.13328400000000001</v>
      </c>
      <c r="J66" s="35">
        <f t="shared" si="24"/>
        <v>1.0032840000000001</v>
      </c>
      <c r="K66" s="35">
        <f t="shared" si="25"/>
        <v>3.0098519999999999E-4</v>
      </c>
      <c r="L66" s="35">
        <f t="shared" si="26"/>
        <v>1.0029830148000001</v>
      </c>
      <c r="M66" s="35">
        <f t="shared" si="27"/>
        <v>50.149150740000003</v>
      </c>
      <c r="N66" s="14">
        <f t="shared" si="11"/>
        <v>3.9104638619201722E-2</v>
      </c>
      <c r="O66" s="96"/>
    </row>
    <row r="67" spans="1:15" s="43" customFormat="1" ht="17.100000000000001" customHeight="1" x14ac:dyDescent="0.25">
      <c r="A67" s="18" t="s">
        <v>132</v>
      </c>
      <c r="B67" s="18" t="s">
        <v>81</v>
      </c>
      <c r="C67" s="11">
        <v>43651</v>
      </c>
      <c r="D67" s="18" t="s">
        <v>34</v>
      </c>
      <c r="E67" s="44" t="s">
        <v>139</v>
      </c>
      <c r="F67" s="18" t="s">
        <v>120</v>
      </c>
      <c r="G67" s="18">
        <f>23*4</f>
        <v>92</v>
      </c>
      <c r="H67" s="74">
        <v>6.62</v>
      </c>
      <c r="I67" s="35">
        <f t="shared" si="23"/>
        <v>1.014184</v>
      </c>
      <c r="J67" s="35">
        <f t="shared" si="24"/>
        <v>7.6341840000000003</v>
      </c>
      <c r="K67" s="35">
        <f t="shared" si="25"/>
        <v>2.2902551999999998E-3</v>
      </c>
      <c r="L67" s="35">
        <f t="shared" si="26"/>
        <v>7.6318937448000002</v>
      </c>
      <c r="M67" s="35">
        <f t="shared" si="27"/>
        <v>702.1342245216</v>
      </c>
      <c r="N67" s="14">
        <f t="shared" si="11"/>
        <v>14.000919540229884</v>
      </c>
      <c r="O67" s="96"/>
    </row>
    <row r="68" spans="1:15" s="43" customFormat="1" ht="17.100000000000001" customHeight="1" x14ac:dyDescent="0.25">
      <c r="A68" s="18" t="s">
        <v>172</v>
      </c>
      <c r="B68" s="18" t="s">
        <v>81</v>
      </c>
      <c r="C68" s="11">
        <v>43626</v>
      </c>
      <c r="D68" s="49" t="s">
        <v>34</v>
      </c>
      <c r="E68" s="44" t="s">
        <v>140</v>
      </c>
      <c r="F68" s="18" t="s">
        <v>120</v>
      </c>
      <c r="G68" s="18">
        <v>92</v>
      </c>
      <c r="H68" s="74">
        <v>3.68</v>
      </c>
      <c r="I68" s="35">
        <f t="shared" si="23"/>
        <v>0.56377600000000005</v>
      </c>
      <c r="J68" s="35">
        <f t="shared" si="24"/>
        <v>4.2437760000000004</v>
      </c>
      <c r="K68" s="35">
        <f t="shared" si="25"/>
        <v>1.2731328E-3</v>
      </c>
      <c r="L68" s="35">
        <f t="shared" si="26"/>
        <v>4.2425028672000007</v>
      </c>
      <c r="M68" s="35">
        <f t="shared" si="27"/>
        <v>390.31026378240006</v>
      </c>
      <c r="N68" s="14">
        <f t="shared" si="11"/>
        <v>0.5558912386706949</v>
      </c>
      <c r="O68" s="96"/>
    </row>
    <row r="69" spans="1:15" s="43" customFormat="1" ht="17.25" customHeight="1" x14ac:dyDescent="0.25">
      <c r="A69" s="18" t="s">
        <v>173</v>
      </c>
      <c r="B69" s="18" t="s">
        <v>81</v>
      </c>
      <c r="C69" s="11">
        <v>3157</v>
      </c>
      <c r="D69" s="18" t="s">
        <v>100</v>
      </c>
      <c r="E69" s="44" t="s">
        <v>141</v>
      </c>
      <c r="F69" s="18" t="s">
        <v>101</v>
      </c>
      <c r="G69" s="18">
        <v>18</v>
      </c>
      <c r="H69" s="74">
        <v>25.33</v>
      </c>
      <c r="I69" s="14">
        <f t="shared" si="23"/>
        <v>3.8805559999999999</v>
      </c>
      <c r="J69" s="14">
        <f t="shared" si="24"/>
        <v>29.210555999999997</v>
      </c>
      <c r="K69" s="14">
        <f t="shared" si="25"/>
        <v>8.7631667999999979E-3</v>
      </c>
      <c r="L69" s="14">
        <f t="shared" si="26"/>
        <v>29.201792833199995</v>
      </c>
      <c r="M69" s="14">
        <f t="shared" si="27"/>
        <v>525.6322709975999</v>
      </c>
      <c r="N69" s="14">
        <f t="shared" si="11"/>
        <v>1.3467036862003776</v>
      </c>
      <c r="O69" s="96"/>
    </row>
    <row r="70" spans="1:15" s="43" customFormat="1" ht="17.100000000000001" customHeight="1" x14ac:dyDescent="0.25">
      <c r="A70" s="18"/>
      <c r="B70" s="18"/>
      <c r="C70" s="11"/>
      <c r="D70" s="18"/>
      <c r="E70" s="44"/>
      <c r="F70" s="18"/>
      <c r="G70" s="18"/>
      <c r="H70" s="26"/>
      <c r="I70" s="14"/>
      <c r="J70" s="14"/>
      <c r="K70" s="14"/>
      <c r="L70" s="14"/>
      <c r="M70" s="14"/>
      <c r="N70" s="14"/>
      <c r="O70" s="96"/>
    </row>
    <row r="71" spans="1:15" s="43" customFormat="1" ht="17.100000000000001" customHeight="1" x14ac:dyDescent="0.25">
      <c r="A71" s="18"/>
      <c r="B71" s="18"/>
      <c r="C71" s="11"/>
      <c r="D71" s="18"/>
      <c r="E71" s="44"/>
      <c r="F71" s="18"/>
      <c r="G71" s="18"/>
      <c r="H71" s="26"/>
      <c r="I71" s="14"/>
      <c r="J71" s="14"/>
      <c r="K71" s="14"/>
      <c r="L71" s="14"/>
      <c r="M71" s="14"/>
      <c r="N71" s="14"/>
      <c r="O71" s="96"/>
    </row>
    <row r="72" spans="1:15" s="43" customFormat="1" ht="17.25" customHeight="1" x14ac:dyDescent="0.25">
      <c r="A72" s="18"/>
      <c r="B72" s="18"/>
      <c r="C72" s="18"/>
      <c r="D72" s="18"/>
      <c r="E72" s="45"/>
      <c r="F72" s="18"/>
      <c r="G72" s="18"/>
      <c r="H72" s="40"/>
      <c r="I72" s="14"/>
      <c r="J72" s="14"/>
      <c r="K72" s="14"/>
      <c r="L72" s="14"/>
      <c r="M72" s="14"/>
      <c r="N72" s="14"/>
      <c r="O72" s="96"/>
    </row>
    <row r="73" spans="1:15" s="43" customFormat="1" ht="17.25" customHeight="1" x14ac:dyDescent="0.25">
      <c r="A73" s="18"/>
      <c r="B73" s="18"/>
      <c r="C73" s="18"/>
      <c r="D73" s="18"/>
      <c r="E73" s="45"/>
      <c r="F73" s="18"/>
      <c r="G73" s="18"/>
      <c r="H73" s="40"/>
      <c r="I73" s="14"/>
      <c r="J73" s="14"/>
      <c r="K73" s="14"/>
      <c r="L73" s="14"/>
      <c r="M73" s="14"/>
      <c r="N73" s="14"/>
      <c r="O73" s="96"/>
    </row>
    <row r="74" spans="1:15" s="43" customFormat="1" ht="17.25" customHeight="1" x14ac:dyDescent="0.25">
      <c r="A74" s="18"/>
      <c r="B74" s="18"/>
      <c r="C74" s="18"/>
      <c r="D74" s="18"/>
      <c r="E74" s="45"/>
      <c r="F74" s="18"/>
      <c r="G74" s="18"/>
      <c r="H74" s="40"/>
      <c r="I74" s="14"/>
      <c r="J74" s="14"/>
      <c r="K74" s="14"/>
      <c r="L74" s="14"/>
      <c r="M74" s="14"/>
      <c r="N74" s="14"/>
      <c r="O74" s="96"/>
    </row>
    <row r="75" spans="1:15" s="19" customFormat="1" ht="17.25" customHeight="1" x14ac:dyDescent="0.2">
      <c r="A75" s="18"/>
      <c r="B75" s="18"/>
      <c r="C75" s="23"/>
      <c r="D75" s="18"/>
      <c r="E75" s="24"/>
      <c r="F75" s="18"/>
      <c r="G75" s="18"/>
      <c r="H75" s="26"/>
      <c r="I75" s="14"/>
      <c r="J75" s="14"/>
      <c r="K75" s="14"/>
      <c r="L75" s="14"/>
      <c r="M75" s="14"/>
      <c r="N75" s="14"/>
      <c r="O75" s="96"/>
    </row>
    <row r="76" spans="1:15" s="27" customFormat="1" ht="17.100000000000001" customHeight="1" x14ac:dyDescent="0.25">
      <c r="A76" s="153" t="s">
        <v>16</v>
      </c>
      <c r="B76" s="88" t="s">
        <v>17</v>
      </c>
      <c r="C76" s="88" t="s">
        <v>18</v>
      </c>
      <c r="D76" s="88" t="s">
        <v>19</v>
      </c>
      <c r="E76" s="88" t="s">
        <v>20</v>
      </c>
      <c r="F76" s="88" t="s">
        <v>21</v>
      </c>
      <c r="G76" s="88" t="s">
        <v>22</v>
      </c>
      <c r="H76" s="86" t="s">
        <v>23</v>
      </c>
      <c r="I76" s="86"/>
      <c r="J76" s="86"/>
      <c r="K76" s="86"/>
      <c r="L76" s="87"/>
      <c r="M76" s="88" t="s">
        <v>24</v>
      </c>
      <c r="N76" s="88" t="s">
        <v>25</v>
      </c>
      <c r="O76" s="95"/>
    </row>
    <row r="77" spans="1:15" s="27" customFormat="1" ht="17.100000000000001" customHeight="1" x14ac:dyDescent="0.25">
      <c r="A77" s="154"/>
      <c r="B77" s="89"/>
      <c r="C77" s="89"/>
      <c r="D77" s="89"/>
      <c r="E77" s="89"/>
      <c r="F77" s="89"/>
      <c r="G77" s="89"/>
      <c r="H77" s="4" t="s">
        <v>27</v>
      </c>
      <c r="I77" s="4" t="s">
        <v>28</v>
      </c>
      <c r="J77" s="4" t="s">
        <v>29</v>
      </c>
      <c r="K77" s="4" t="s">
        <v>53</v>
      </c>
      <c r="L77" s="4" t="s">
        <v>30</v>
      </c>
      <c r="M77" s="89"/>
      <c r="N77" s="89"/>
      <c r="O77" s="95"/>
    </row>
    <row r="78" spans="1:15" s="28" customFormat="1" ht="17.100000000000001" customHeight="1" x14ac:dyDescent="0.2">
      <c r="A78" s="29">
        <v>3</v>
      </c>
      <c r="B78" s="97" t="s">
        <v>38</v>
      </c>
      <c r="C78" s="98"/>
      <c r="D78" s="98"/>
      <c r="E78" s="98"/>
      <c r="F78" s="99"/>
      <c r="G78" s="30"/>
      <c r="H78" s="30"/>
      <c r="I78" s="30"/>
      <c r="J78" s="30"/>
      <c r="K78" s="30"/>
      <c r="L78" s="30"/>
      <c r="M78" s="31">
        <f>SUM(M79:M92)</f>
        <v>44955.898263803843</v>
      </c>
      <c r="N78" s="30"/>
      <c r="O78" s="95"/>
    </row>
    <row r="79" spans="1:15" s="28" customFormat="1" ht="26.25" customHeight="1" x14ac:dyDescent="0.2">
      <c r="A79" s="32" t="s">
        <v>76</v>
      </c>
      <c r="B79" s="32" t="s">
        <v>33</v>
      </c>
      <c r="C79" s="32" t="s">
        <v>58</v>
      </c>
      <c r="D79" s="32" t="s">
        <v>34</v>
      </c>
      <c r="E79" s="33" t="s">
        <v>59</v>
      </c>
      <c r="F79" s="34" t="s">
        <v>35</v>
      </c>
      <c r="G79" s="32">
        <v>180</v>
      </c>
      <c r="H79" s="71">
        <v>32.57</v>
      </c>
      <c r="I79" s="35">
        <f>H79*0.2232</f>
        <v>7.2696240000000003</v>
      </c>
      <c r="J79" s="35">
        <f>H79+I79</f>
        <v>39.839624000000001</v>
      </c>
      <c r="K79" s="35">
        <f>J79*(0.03%)</f>
        <v>1.1951887199999999E-2</v>
      </c>
      <c r="L79" s="35">
        <f>J79-K79</f>
        <v>39.827672112800002</v>
      </c>
      <c r="M79" s="35">
        <f>L79*G79</f>
        <v>7168.9809803040007</v>
      </c>
      <c r="N79" s="35">
        <f>M79/M$16</f>
        <v>0.12684986684507207</v>
      </c>
      <c r="O79" s="96"/>
    </row>
    <row r="80" spans="1:15" s="28" customFormat="1" ht="23.25" customHeight="1" x14ac:dyDescent="0.2">
      <c r="A80" s="32" t="s">
        <v>78</v>
      </c>
      <c r="B80" s="32" t="s">
        <v>33</v>
      </c>
      <c r="C80" s="32" t="s">
        <v>60</v>
      </c>
      <c r="D80" s="32" t="s">
        <v>34</v>
      </c>
      <c r="E80" s="33" t="s">
        <v>61</v>
      </c>
      <c r="F80" s="34" t="s">
        <v>35</v>
      </c>
      <c r="G80" s="32">
        <v>180</v>
      </c>
      <c r="H80" s="71">
        <v>30.38</v>
      </c>
      <c r="I80" s="35">
        <f>H80*0.2232</f>
        <v>6.7808159999999997</v>
      </c>
      <c r="J80" s="35">
        <f>H80+I80</f>
        <v>37.160815999999997</v>
      </c>
      <c r="K80" s="35">
        <f>J80*(0.03%)</f>
        <v>1.1148244799999998E-2</v>
      </c>
      <c r="L80" s="35">
        <f>J80-K80</f>
        <v>37.149667755199999</v>
      </c>
      <c r="M80" s="35">
        <f>L80*G80</f>
        <v>6686.9401959360002</v>
      </c>
      <c r="N80" s="35">
        <f>M80/M$16</f>
        <v>0.11832050828226248</v>
      </c>
      <c r="O80" s="96"/>
    </row>
    <row r="81" spans="1:26" s="28" customFormat="1" ht="23.25" customHeight="1" x14ac:dyDescent="0.2">
      <c r="A81" s="11" t="s">
        <v>77</v>
      </c>
      <c r="B81" s="11" t="s">
        <v>33</v>
      </c>
      <c r="C81" s="11">
        <v>88310</v>
      </c>
      <c r="D81" s="11" t="s">
        <v>34</v>
      </c>
      <c r="E81" s="20" t="s">
        <v>79</v>
      </c>
      <c r="F81" s="13" t="s">
        <v>35</v>
      </c>
      <c r="G81" s="11">
        <v>180</v>
      </c>
      <c r="H81" s="71">
        <v>35.880000000000003</v>
      </c>
      <c r="I81" s="14">
        <f>H81*0.2232</f>
        <v>8.0084160000000004</v>
      </c>
      <c r="J81" s="14">
        <f>H81+I81</f>
        <v>43.888416000000007</v>
      </c>
      <c r="K81" s="14">
        <f>J81*(0.03%)</f>
        <v>1.3166524800000001E-2</v>
      </c>
      <c r="L81" s="14">
        <f>J81-K81</f>
        <v>43.875249475200008</v>
      </c>
      <c r="M81" s="14">
        <f>L81*G81</f>
        <v>7897.5449055360014</v>
      </c>
      <c r="N81" s="14">
        <f>M81/M$16</f>
        <v>0.13974127179616783</v>
      </c>
      <c r="O81" s="96"/>
    </row>
    <row r="82" spans="1:26" s="28" customFormat="1" ht="23.25" customHeight="1" x14ac:dyDescent="0.2">
      <c r="A82" s="94" t="s">
        <v>136</v>
      </c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6"/>
      <c r="P82" s="53"/>
    </row>
    <row r="83" spans="1:26" s="28" customFormat="1" ht="23.25" customHeight="1" x14ac:dyDescent="0.2">
      <c r="A83" s="11" t="s">
        <v>80</v>
      </c>
      <c r="B83" s="11" t="s">
        <v>33</v>
      </c>
      <c r="C83" s="11">
        <v>94231</v>
      </c>
      <c r="D83" s="11" t="s">
        <v>34</v>
      </c>
      <c r="E83" s="20" t="s">
        <v>122</v>
      </c>
      <c r="F83" s="13" t="s">
        <v>121</v>
      </c>
      <c r="G83" s="11">
        <v>130</v>
      </c>
      <c r="H83" s="71">
        <v>54.99</v>
      </c>
      <c r="I83" s="14">
        <f>H83*0.2232</f>
        <v>12.273768</v>
      </c>
      <c r="J83" s="14">
        <f>H83+I83</f>
        <v>67.263767999999999</v>
      </c>
      <c r="K83" s="14">
        <f>J83*(0.03%)</f>
        <v>2.0179130399999998E-2</v>
      </c>
      <c r="L83" s="14">
        <f>J83-K83</f>
        <v>67.243588869600003</v>
      </c>
      <c r="M83" s="14">
        <f>L83*G83</f>
        <v>8741.6665530480004</v>
      </c>
      <c r="N83" s="14">
        <f>M83/M$16</f>
        <v>0.15467738599177269</v>
      </c>
      <c r="O83" s="96"/>
      <c r="P83" s="84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spans="1:26" s="28" customFormat="1" ht="23.25" customHeight="1" x14ac:dyDescent="0.2">
      <c r="A84" s="11" t="s">
        <v>134</v>
      </c>
      <c r="B84" s="11" t="s">
        <v>33</v>
      </c>
      <c r="C84" s="11">
        <v>94229</v>
      </c>
      <c r="D84" s="11" t="s">
        <v>34</v>
      </c>
      <c r="E84" s="20" t="s">
        <v>135</v>
      </c>
      <c r="F84" s="13" t="s">
        <v>121</v>
      </c>
      <c r="G84" s="11">
        <v>28</v>
      </c>
      <c r="H84" s="71">
        <v>180.27</v>
      </c>
      <c r="I84" s="42">
        <f t="shared" ref="I84:I90" si="28">H84*0.2232</f>
        <v>40.236264000000006</v>
      </c>
      <c r="J84" s="42">
        <f t="shared" ref="J84" si="29">H84+I84</f>
        <v>220.50626400000002</v>
      </c>
      <c r="K84" s="42">
        <f t="shared" ref="K84:K90" si="30">J84*(0.03%)</f>
        <v>6.6151879199999999E-2</v>
      </c>
      <c r="L84" s="42">
        <f t="shared" ref="L84" si="31">J84-K84</f>
        <v>220.44011212080002</v>
      </c>
      <c r="M84" s="42">
        <f t="shared" ref="M84" si="32">L84*G84</f>
        <v>6172.3231393824008</v>
      </c>
      <c r="N84" s="35">
        <f t="shared" ref="N84:N90" si="33">M84/M$16</f>
        <v>0.1092147364467151</v>
      </c>
      <c r="O84" s="96"/>
      <c r="P84" s="84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spans="1:26" s="28" customFormat="1" ht="23.25" customHeight="1" x14ac:dyDescent="0.2">
      <c r="A85" s="79" t="s">
        <v>179</v>
      </c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1"/>
      <c r="O85" s="96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s="28" customFormat="1" ht="23.25" customHeight="1" x14ac:dyDescent="0.2">
      <c r="A86" s="11" t="s">
        <v>176</v>
      </c>
      <c r="B86" s="11" t="s">
        <v>33</v>
      </c>
      <c r="C86" s="11">
        <v>102180</v>
      </c>
      <c r="D86" s="11" t="s">
        <v>34</v>
      </c>
      <c r="E86" s="20" t="s">
        <v>174</v>
      </c>
      <c r="F86" s="13" t="s">
        <v>175</v>
      </c>
      <c r="G86" s="70">
        <f>2.17*1.22</f>
        <v>2.6473999999999998</v>
      </c>
      <c r="H86" s="71">
        <v>490.65</v>
      </c>
      <c r="I86" s="42">
        <f t="shared" si="28"/>
        <v>109.51308</v>
      </c>
      <c r="J86" s="42">
        <f t="shared" ref="J86" si="34">H86+I86</f>
        <v>600.16308000000004</v>
      </c>
      <c r="K86" s="42">
        <f t="shared" si="30"/>
        <v>0.180048924</v>
      </c>
      <c r="L86" s="42">
        <f t="shared" ref="L86" si="35">J86-K86</f>
        <v>599.98303107600009</v>
      </c>
      <c r="M86" s="42">
        <f t="shared" ref="M86" si="36">L86*G86</f>
        <v>1588.3950764706026</v>
      </c>
      <c r="N86" s="35">
        <f t="shared" si="33"/>
        <v>2.810548730722395E-2</v>
      </c>
      <c r="O86" s="96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s="28" customFormat="1" ht="23.25" customHeight="1" x14ac:dyDescent="0.2">
      <c r="A87" s="79" t="s">
        <v>178</v>
      </c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1"/>
      <c r="O87" s="96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s="28" customFormat="1" ht="23.25" customHeight="1" x14ac:dyDescent="0.2">
      <c r="A88" s="11" t="s">
        <v>177</v>
      </c>
      <c r="B88" s="11" t="s">
        <v>33</v>
      </c>
      <c r="C88" s="11">
        <v>102180</v>
      </c>
      <c r="D88" s="11" t="s">
        <v>34</v>
      </c>
      <c r="E88" s="20" t="s">
        <v>174</v>
      </c>
      <c r="F88" s="13" t="s">
        <v>175</v>
      </c>
      <c r="G88" s="70">
        <f>3.13*3.3</f>
        <v>10.328999999999999</v>
      </c>
      <c r="H88" s="71">
        <v>490.65</v>
      </c>
      <c r="I88" s="42">
        <f t="shared" si="28"/>
        <v>109.51308</v>
      </c>
      <c r="J88" s="42">
        <f t="shared" ref="J88" si="37">H88+I88</f>
        <v>600.16308000000004</v>
      </c>
      <c r="K88" s="42">
        <f t="shared" si="30"/>
        <v>0.180048924</v>
      </c>
      <c r="L88" s="42">
        <f t="shared" ref="L88" si="38">J88-K88</f>
        <v>599.98303107600009</v>
      </c>
      <c r="M88" s="42">
        <f t="shared" ref="M88" si="39">L88*G88</f>
        <v>6197.2247279840039</v>
      </c>
      <c r="N88" s="35">
        <f t="shared" si="33"/>
        <v>0.10965535181548544</v>
      </c>
      <c r="O88" s="96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s="28" customFormat="1" ht="23.25" customHeight="1" x14ac:dyDescent="0.2">
      <c r="A89" s="79" t="s">
        <v>180</v>
      </c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1"/>
      <c r="O89" s="96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s="28" customFormat="1" ht="23.25" customHeight="1" x14ac:dyDescent="0.2">
      <c r="A90" s="11" t="s">
        <v>118</v>
      </c>
      <c r="B90" s="11" t="s">
        <v>33</v>
      </c>
      <c r="C90" s="72">
        <v>102161</v>
      </c>
      <c r="D90" s="11" t="s">
        <v>34</v>
      </c>
      <c r="E90" s="20" t="s">
        <v>181</v>
      </c>
      <c r="F90" s="13" t="s">
        <v>175</v>
      </c>
      <c r="G90" s="70">
        <f>24*0.24*0.24</f>
        <v>1.3823999999999999</v>
      </c>
      <c r="H90" s="71">
        <v>297.45</v>
      </c>
      <c r="I90" s="42">
        <f t="shared" si="28"/>
        <v>66.390839999999997</v>
      </c>
      <c r="J90" s="42">
        <f t="shared" ref="J90" si="40">H90+I90</f>
        <v>363.84083999999996</v>
      </c>
      <c r="K90" s="42">
        <f t="shared" si="30"/>
        <v>0.10915225199999998</v>
      </c>
      <c r="L90" s="42">
        <f t="shared" ref="L90" si="41">J90-K90</f>
        <v>363.73168774799996</v>
      </c>
      <c r="M90" s="42">
        <f t="shared" ref="M90" si="42">L90*G90</f>
        <v>502.8226851428351</v>
      </c>
      <c r="N90" s="35">
        <f t="shared" si="33"/>
        <v>8.8970790733420967E-3</v>
      </c>
      <c r="O90" s="96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s="28" customFormat="1" ht="23.25" customHeight="1" x14ac:dyDescent="0.2">
      <c r="A91" s="42"/>
      <c r="B91" s="11"/>
      <c r="C91" s="55"/>
      <c r="D91" s="55"/>
      <c r="E91" s="58"/>
      <c r="F91" s="55"/>
      <c r="G91" s="55"/>
      <c r="H91" s="59"/>
      <c r="I91" s="56"/>
      <c r="J91" s="56"/>
      <c r="K91" s="57"/>
      <c r="L91" s="56"/>
      <c r="M91" s="56"/>
      <c r="N91" s="35"/>
      <c r="O91" s="96"/>
    </row>
    <row r="92" spans="1:26" s="28" customFormat="1" ht="23.25" customHeight="1" x14ac:dyDescent="0.2">
      <c r="A92" s="42"/>
      <c r="B92" s="32"/>
      <c r="C92" s="47"/>
      <c r="D92" s="47"/>
      <c r="E92" s="48"/>
      <c r="F92" s="47"/>
      <c r="G92" s="47"/>
      <c r="H92" s="51"/>
      <c r="I92" s="42"/>
      <c r="J92" s="42"/>
      <c r="K92" s="42"/>
      <c r="L92" s="42"/>
      <c r="M92" s="42"/>
      <c r="N92" s="35"/>
      <c r="O92" s="96"/>
    </row>
    <row r="93" spans="1:26" s="39" customFormat="1" ht="17.100000000000001" customHeight="1" x14ac:dyDescent="0.2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96"/>
    </row>
    <row r="94" spans="1:26" s="39" customFormat="1" ht="17.100000000000001" customHeight="1" x14ac:dyDescent="0.2">
      <c r="A94" s="100"/>
      <c r="B94" s="101"/>
      <c r="C94" s="101"/>
      <c r="D94" s="101"/>
      <c r="E94" s="101"/>
      <c r="F94" s="101"/>
      <c r="G94" s="101"/>
      <c r="H94" s="37" t="s">
        <v>39</v>
      </c>
      <c r="I94" s="38"/>
      <c r="J94" s="102">
        <f>M16+M31+M78</f>
        <v>117727.01922454932</v>
      </c>
      <c r="K94" s="103"/>
      <c r="L94" s="103"/>
      <c r="M94" s="103"/>
      <c r="N94" s="104"/>
      <c r="O94" s="95"/>
      <c r="P94" s="54"/>
    </row>
    <row r="95" spans="1:26" ht="17.100000000000001" customHeight="1" x14ac:dyDescent="0.25">
      <c r="A95" s="105" t="s">
        <v>97</v>
      </c>
      <c r="B95" s="106"/>
      <c r="C95" s="106"/>
      <c r="D95" s="106"/>
      <c r="E95" s="106"/>
      <c r="F95" s="106"/>
      <c r="G95" s="106"/>
      <c r="H95" s="107"/>
      <c r="I95" s="107"/>
      <c r="J95" s="107"/>
      <c r="K95" s="107"/>
      <c r="L95" s="107"/>
      <c r="M95" s="107"/>
      <c r="N95" s="108"/>
      <c r="O95" s="95"/>
    </row>
    <row r="96" spans="1:26" ht="17.100000000000001" customHeight="1" x14ac:dyDescent="0.25">
      <c r="A96" s="109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10"/>
      <c r="O96" s="95"/>
    </row>
    <row r="97" spans="1:15" ht="17.100000000000001" customHeight="1" x14ac:dyDescent="0.25">
      <c r="A97" s="109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10"/>
      <c r="O97" s="95"/>
    </row>
    <row r="98" spans="1:15" ht="17.100000000000001" customHeight="1" x14ac:dyDescent="0.25">
      <c r="A98" s="109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10"/>
      <c r="O98" s="95"/>
    </row>
    <row r="99" spans="1:15" ht="17.100000000000001" customHeight="1" x14ac:dyDescent="0.25">
      <c r="A99" s="109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10"/>
      <c r="O99" s="95"/>
    </row>
    <row r="100" spans="1:15" ht="17.100000000000001" customHeight="1" x14ac:dyDescent="0.25">
      <c r="A100" s="109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10"/>
      <c r="O100" s="95"/>
    </row>
    <row r="101" spans="1:15" ht="17.100000000000001" customHeight="1" x14ac:dyDescent="0.25">
      <c r="A101" s="111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12"/>
      <c r="M101" s="112"/>
      <c r="N101" s="113"/>
      <c r="O101" s="95"/>
    </row>
    <row r="102" spans="1:15" ht="17.100000000000001" customHeight="1" x14ac:dyDescent="0.25">
      <c r="A102" s="131"/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32"/>
    </row>
    <row r="103" spans="1:15" ht="17.100000000000001" customHeight="1" x14ac:dyDescent="0.25">
      <c r="A103" s="133" t="s">
        <v>40</v>
      </c>
      <c r="B103" s="134"/>
      <c r="C103" s="134"/>
      <c r="D103" s="134"/>
      <c r="E103" s="134"/>
      <c r="F103" s="134"/>
      <c r="G103" s="135" t="s">
        <v>41</v>
      </c>
      <c r="H103" s="135"/>
      <c r="I103" s="135"/>
      <c r="J103" s="135"/>
      <c r="K103" s="136"/>
      <c r="L103" s="137"/>
      <c r="M103" s="137"/>
      <c r="N103" s="138"/>
      <c r="O103" s="95" t="s">
        <v>42</v>
      </c>
    </row>
    <row r="104" spans="1:15" ht="17.100000000000001" customHeight="1" x14ac:dyDescent="0.25">
      <c r="A104" s="143" t="s">
        <v>43</v>
      </c>
      <c r="B104" s="144"/>
      <c r="C104" s="144"/>
      <c r="D104" s="144"/>
      <c r="E104" s="144"/>
      <c r="F104" s="145"/>
      <c r="G104" s="149" t="s">
        <v>44</v>
      </c>
      <c r="H104" s="144"/>
      <c r="I104" s="144"/>
      <c r="J104" s="145"/>
      <c r="K104" s="139"/>
      <c r="L104" s="140"/>
      <c r="M104" s="140"/>
      <c r="N104" s="141"/>
      <c r="O104" s="95"/>
    </row>
    <row r="105" spans="1:15" ht="17.100000000000001" customHeight="1" x14ac:dyDescent="0.25">
      <c r="A105" s="146"/>
      <c r="B105" s="147"/>
      <c r="C105" s="147"/>
      <c r="D105" s="147"/>
      <c r="E105" s="147"/>
      <c r="F105" s="148"/>
      <c r="G105" s="150"/>
      <c r="H105" s="147"/>
      <c r="I105" s="147"/>
      <c r="J105" s="148"/>
      <c r="K105" s="139"/>
      <c r="L105" s="140"/>
      <c r="M105" s="140"/>
      <c r="N105" s="141"/>
      <c r="O105" s="95"/>
    </row>
    <row r="106" spans="1:15" ht="17.100000000000001" customHeight="1" x14ac:dyDescent="0.25">
      <c r="A106" s="146"/>
      <c r="B106" s="147"/>
      <c r="C106" s="147"/>
      <c r="D106" s="147"/>
      <c r="E106" s="147"/>
      <c r="F106" s="148"/>
      <c r="G106" s="150"/>
      <c r="H106" s="147"/>
      <c r="I106" s="147"/>
      <c r="J106" s="148"/>
      <c r="K106" s="139"/>
      <c r="L106" s="140"/>
      <c r="M106" s="140"/>
      <c r="N106" s="141"/>
      <c r="O106" s="95"/>
    </row>
    <row r="107" spans="1:15" ht="17.100000000000001" customHeight="1" x14ac:dyDescent="0.25">
      <c r="A107" s="146"/>
      <c r="B107" s="147"/>
      <c r="C107" s="147"/>
      <c r="D107" s="147"/>
      <c r="E107" s="147"/>
      <c r="F107" s="148"/>
      <c r="G107" s="150"/>
      <c r="H107" s="147"/>
      <c r="I107" s="147"/>
      <c r="J107" s="148"/>
      <c r="K107" s="139"/>
      <c r="L107" s="140"/>
      <c r="M107" s="140"/>
      <c r="N107" s="141"/>
      <c r="O107" s="95"/>
    </row>
    <row r="108" spans="1:15" ht="17.100000000000001" customHeight="1" x14ac:dyDescent="0.25">
      <c r="A108" s="146"/>
      <c r="B108" s="147"/>
      <c r="C108" s="147"/>
      <c r="D108" s="147"/>
      <c r="E108" s="147"/>
      <c r="F108" s="148"/>
      <c r="G108" s="150"/>
      <c r="H108" s="147"/>
      <c r="I108" s="147"/>
      <c r="J108" s="148"/>
      <c r="K108" s="139"/>
      <c r="L108" s="140"/>
      <c r="M108" s="140"/>
      <c r="N108" s="141"/>
      <c r="O108" s="95"/>
    </row>
    <row r="109" spans="1:15" ht="17.100000000000001" customHeight="1" x14ac:dyDescent="0.25">
      <c r="A109" s="146"/>
      <c r="B109" s="147"/>
      <c r="C109" s="147"/>
      <c r="D109" s="147"/>
      <c r="E109" s="147"/>
      <c r="F109" s="148"/>
      <c r="G109" s="150"/>
      <c r="H109" s="147"/>
      <c r="I109" s="147"/>
      <c r="J109" s="148"/>
      <c r="K109" s="139"/>
      <c r="L109" s="140"/>
      <c r="M109" s="140"/>
      <c r="N109" s="141"/>
      <c r="O109" s="95"/>
    </row>
    <row r="110" spans="1:15" ht="17.100000000000001" customHeight="1" x14ac:dyDescent="0.25">
      <c r="A110" s="146"/>
      <c r="B110" s="147"/>
      <c r="C110" s="147"/>
      <c r="D110" s="147"/>
      <c r="E110" s="147"/>
      <c r="F110" s="148"/>
      <c r="G110" s="150"/>
      <c r="H110" s="147"/>
      <c r="I110" s="147"/>
      <c r="J110" s="148"/>
      <c r="K110" s="139"/>
      <c r="L110" s="140"/>
      <c r="M110" s="140"/>
      <c r="N110" s="141"/>
      <c r="O110" s="95"/>
    </row>
    <row r="111" spans="1:15" ht="17.100000000000001" customHeight="1" thickBot="1" x14ac:dyDescent="0.3">
      <c r="A111" s="146"/>
      <c r="B111" s="147"/>
      <c r="C111" s="147"/>
      <c r="D111" s="147"/>
      <c r="E111" s="147"/>
      <c r="F111" s="148"/>
      <c r="G111" s="150"/>
      <c r="H111" s="147"/>
      <c r="I111" s="147"/>
      <c r="J111" s="148"/>
      <c r="K111" s="139"/>
      <c r="L111" s="140"/>
      <c r="M111" s="140"/>
      <c r="N111" s="141"/>
      <c r="O111" s="142"/>
    </row>
    <row r="112" spans="1:15" ht="17.100000000000001" customHeight="1" thickBot="1" x14ac:dyDescent="0.3">
      <c r="A112" s="115"/>
      <c r="B112" s="116"/>
      <c r="C112" s="116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7"/>
    </row>
    <row r="113" spans="1:19" ht="17.100000000000001" customHeight="1" x14ac:dyDescent="0.25">
      <c r="A113" s="105" t="s">
        <v>45</v>
      </c>
      <c r="B113" s="106"/>
      <c r="C113" s="106"/>
      <c r="D113" s="110"/>
      <c r="E113" s="118" t="s">
        <v>46</v>
      </c>
      <c r="F113" s="106"/>
      <c r="G113" s="106"/>
      <c r="H113" s="106"/>
      <c r="I113" s="106"/>
      <c r="J113" s="106"/>
      <c r="K113" s="120" t="s">
        <v>47</v>
      </c>
      <c r="L113" s="121"/>
      <c r="M113" s="121"/>
      <c r="N113" s="121"/>
      <c r="O113" s="125" t="s">
        <v>48</v>
      </c>
    </row>
    <row r="114" spans="1:19" ht="17.100000000000001" customHeight="1" x14ac:dyDescent="0.25">
      <c r="A114" s="111"/>
      <c r="B114" s="112"/>
      <c r="C114" s="112"/>
      <c r="D114" s="113"/>
      <c r="E114" s="119"/>
      <c r="F114" s="112"/>
      <c r="G114" s="112"/>
      <c r="H114" s="112"/>
      <c r="I114" s="112"/>
      <c r="J114" s="112"/>
      <c r="K114" s="122"/>
      <c r="L114" s="121"/>
      <c r="M114" s="121"/>
      <c r="N114" s="121"/>
      <c r="O114" s="126"/>
    </row>
    <row r="115" spans="1:19" ht="17.100000000000001" customHeight="1" x14ac:dyDescent="0.25">
      <c r="A115" s="128" t="s">
        <v>49</v>
      </c>
      <c r="B115" s="107"/>
      <c r="C115" s="107"/>
      <c r="D115" s="107"/>
      <c r="E115" s="107"/>
      <c r="F115" s="107"/>
      <c r="G115" s="107"/>
      <c r="H115" s="107"/>
      <c r="I115" s="107"/>
      <c r="J115" s="107"/>
      <c r="K115" s="122"/>
      <c r="L115" s="121"/>
      <c r="M115" s="121"/>
      <c r="N115" s="121"/>
      <c r="O115" s="126"/>
    </row>
    <row r="116" spans="1:19" ht="17.100000000000001" customHeight="1" x14ac:dyDescent="0.25">
      <c r="A116" s="109"/>
      <c r="B116" s="106"/>
      <c r="C116" s="106"/>
      <c r="D116" s="106"/>
      <c r="E116" s="106"/>
      <c r="F116" s="106"/>
      <c r="G116" s="106"/>
      <c r="H116" s="106"/>
      <c r="I116" s="106"/>
      <c r="J116" s="106"/>
      <c r="K116" s="122"/>
      <c r="L116" s="121"/>
      <c r="M116" s="121"/>
      <c r="N116" s="121"/>
      <c r="O116" s="126"/>
    </row>
    <row r="117" spans="1:19" ht="17.100000000000001" customHeight="1" x14ac:dyDescent="0.25">
      <c r="A117" s="109"/>
      <c r="B117" s="106"/>
      <c r="C117" s="106"/>
      <c r="D117" s="106"/>
      <c r="E117" s="106"/>
      <c r="F117" s="106"/>
      <c r="G117" s="106"/>
      <c r="H117" s="106"/>
      <c r="I117" s="106"/>
      <c r="J117" s="106"/>
      <c r="K117" s="122"/>
      <c r="L117" s="121"/>
      <c r="M117" s="121"/>
      <c r="N117" s="121"/>
      <c r="O117" s="126"/>
    </row>
    <row r="118" spans="1:19" ht="17.100000000000001" customHeight="1" x14ac:dyDescent="0.25">
      <c r="A118" s="109"/>
      <c r="B118" s="106"/>
      <c r="C118" s="106"/>
      <c r="D118" s="106"/>
      <c r="E118" s="106"/>
      <c r="F118" s="106"/>
      <c r="G118" s="106"/>
      <c r="H118" s="106"/>
      <c r="I118" s="106"/>
      <c r="J118" s="106"/>
      <c r="K118" s="122"/>
      <c r="L118" s="121"/>
      <c r="M118" s="121"/>
      <c r="N118" s="121"/>
      <c r="O118" s="126"/>
    </row>
    <row r="119" spans="1:19" ht="17.100000000000001" customHeight="1" thickBot="1" x14ac:dyDescent="0.3">
      <c r="A119" s="129"/>
      <c r="B119" s="130"/>
      <c r="C119" s="130"/>
      <c r="D119" s="130"/>
      <c r="E119" s="130"/>
      <c r="F119" s="130"/>
      <c r="G119" s="130"/>
      <c r="H119" s="130"/>
      <c r="I119" s="130"/>
      <c r="J119" s="130"/>
      <c r="K119" s="123"/>
      <c r="L119" s="124"/>
      <c r="M119" s="124"/>
      <c r="N119" s="124"/>
      <c r="O119" s="127"/>
    </row>
    <row r="120" spans="1:19" ht="14.1" customHeight="1" x14ac:dyDescent="0.25">
      <c r="A120" s="114"/>
      <c r="B120" s="114"/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</row>
    <row r="121" spans="1:19" ht="14.1" customHeight="1" x14ac:dyDescent="0.25"/>
    <row r="122" spans="1:19" ht="14.1" customHeight="1" x14ac:dyDescent="0.25"/>
    <row r="123" spans="1:19" ht="14.1" customHeight="1" x14ac:dyDescent="0.25"/>
  </sheetData>
  <sortState xmlns:xlrd2="http://schemas.microsoft.com/office/spreadsheetml/2017/richdata2" ref="A32:N76">
    <sortCondition ref="E32:E76"/>
  </sortState>
  <mergeCells count="77">
    <mergeCell ref="O7:O13"/>
    <mergeCell ref="A8:I13"/>
    <mergeCell ref="J8:N8"/>
    <mergeCell ref="J9:N9"/>
    <mergeCell ref="J10:N10"/>
    <mergeCell ref="J11:N11"/>
    <mergeCell ref="J12:N12"/>
    <mergeCell ref="J13:N13"/>
    <mergeCell ref="B14:B15"/>
    <mergeCell ref="C14:C15"/>
    <mergeCell ref="D14:D15"/>
    <mergeCell ref="A1:I6"/>
    <mergeCell ref="J1:O1"/>
    <mergeCell ref="J2:O2"/>
    <mergeCell ref="J3:L3"/>
    <mergeCell ref="M3:N3"/>
    <mergeCell ref="J4:L4"/>
    <mergeCell ref="M4:N4"/>
    <mergeCell ref="J5:L5"/>
    <mergeCell ref="M5:N5"/>
    <mergeCell ref="J6:L6"/>
    <mergeCell ref="M6:N6"/>
    <mergeCell ref="A7:I7"/>
    <mergeCell ref="J7:N7"/>
    <mergeCell ref="A102:O102"/>
    <mergeCell ref="A103:F103"/>
    <mergeCell ref="G103:J103"/>
    <mergeCell ref="K103:N111"/>
    <mergeCell ref="O103:O111"/>
    <mergeCell ref="A104:F111"/>
    <mergeCell ref="G104:J111"/>
    <mergeCell ref="A120:J120"/>
    <mergeCell ref="K120:S120"/>
    <mergeCell ref="A112:O112"/>
    <mergeCell ref="A113:D114"/>
    <mergeCell ref="E113:J114"/>
    <mergeCell ref="K113:N119"/>
    <mergeCell ref="O113:O119"/>
    <mergeCell ref="A115:J119"/>
    <mergeCell ref="A95:N101"/>
    <mergeCell ref="E76:E77"/>
    <mergeCell ref="F76:F77"/>
    <mergeCell ref="G76:G77"/>
    <mergeCell ref="A85:N85"/>
    <mergeCell ref="A76:A77"/>
    <mergeCell ref="B76:B77"/>
    <mergeCell ref="C76:C77"/>
    <mergeCell ref="D76:D77"/>
    <mergeCell ref="N76:N77"/>
    <mergeCell ref="F29:F30"/>
    <mergeCell ref="G29:G30"/>
    <mergeCell ref="B78:F78"/>
    <mergeCell ref="A94:G94"/>
    <mergeCell ref="J94:N94"/>
    <mergeCell ref="N29:N30"/>
    <mergeCell ref="B31:F31"/>
    <mergeCell ref="A29:A30"/>
    <mergeCell ref="B29:B30"/>
    <mergeCell ref="C29:C30"/>
    <mergeCell ref="D29:D30"/>
    <mergeCell ref="E29:E30"/>
    <mergeCell ref="A89:N89"/>
    <mergeCell ref="E14:E15"/>
    <mergeCell ref="P83:Z84"/>
    <mergeCell ref="H76:L76"/>
    <mergeCell ref="M76:M77"/>
    <mergeCell ref="F14:F15"/>
    <mergeCell ref="G14:G15"/>
    <mergeCell ref="H14:L14"/>
    <mergeCell ref="M14:M15"/>
    <mergeCell ref="N14:N15"/>
    <mergeCell ref="A14:A15"/>
    <mergeCell ref="A87:N87"/>
    <mergeCell ref="A82:N82"/>
    <mergeCell ref="H29:L29"/>
    <mergeCell ref="M29:M30"/>
    <mergeCell ref="O14:O101"/>
  </mergeCells>
  <phoneticPr fontId="13" type="noConversion"/>
  <pageMargins left="0.25" right="0.25" top="0.75" bottom="0.75" header="0.3" footer="0.3"/>
  <pageSetup paperSize="9" scale="53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C476279ECFF49B7018EB20C51517F" ma:contentTypeVersion="12" ma:contentTypeDescription="Crie um novo documento." ma:contentTypeScope="" ma:versionID="34a0628b53b29352da2689cb67653714">
  <xsd:schema xmlns:xsd="http://www.w3.org/2001/XMLSchema" xmlns:xs="http://www.w3.org/2001/XMLSchema" xmlns:p="http://schemas.microsoft.com/office/2006/metadata/properties" xmlns:ns1="http://schemas.microsoft.com/sharepoint/v3" xmlns:ns2="0e7c8a86-84e5-4d34-8d3b-2e08d231c207" xmlns:ns3="1d1dcbf2-98b8-40e7-8092-e982a632e348" targetNamespace="http://schemas.microsoft.com/office/2006/metadata/properties" ma:root="true" ma:fieldsID="226731e1c54f699cb1f59e9a6e85886a" ns1:_="" ns2:_="" ns3:_="">
    <xsd:import namespace="http://schemas.microsoft.com/sharepoint/v3"/>
    <xsd:import namespace="0e7c8a86-84e5-4d34-8d3b-2e08d231c207"/>
    <xsd:import namespace="1d1dcbf2-98b8-40e7-8092-e982a632e3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c8a86-84e5-4d34-8d3b-2e08d231c2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91ea95-0c2d-4cc1-8ba1-2cbd03c80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dcbf2-98b8-40e7-8092-e982a632e34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2901c6-92c3-4448-8229-dbefe5f23788}" ma:internalName="TaxCatchAll" ma:showField="CatchAllData" ma:web="1d1dcbf2-98b8-40e7-8092-e982a632e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7c8a86-84e5-4d34-8d3b-2e08d231c207">
      <Terms xmlns="http://schemas.microsoft.com/office/infopath/2007/PartnerControls"/>
    </lcf76f155ced4ddcb4097134ff3c332f>
    <TaxCatchAll xmlns="1d1dcbf2-98b8-40e7-8092-e982a632e34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FD2D562-4038-4313-AF21-54E628861D29}"/>
</file>

<file path=customXml/itemProps2.xml><?xml version="1.0" encoding="utf-8"?>
<ds:datastoreItem xmlns:ds="http://schemas.openxmlformats.org/officeDocument/2006/customXml" ds:itemID="{D549CA48-4745-4F82-BB6C-3C4F92297216}"/>
</file>

<file path=customXml/itemProps3.xml><?xml version="1.0" encoding="utf-8"?>
<ds:datastoreItem xmlns:ds="http://schemas.openxmlformats.org/officeDocument/2006/customXml" ds:itemID="{431B883D-35C5-4683-8156-A4F2F225A3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São Carlos</vt:lpstr>
      <vt:lpstr>'São Carlos'!Area_de_impressao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Anivaldo Junior</dc:creator>
  <cp:lastModifiedBy>Ivan</cp:lastModifiedBy>
  <cp:lastPrinted>2025-04-23T12:47:23Z</cp:lastPrinted>
  <dcterms:created xsi:type="dcterms:W3CDTF">2022-01-02T19:12:46Z</dcterms:created>
  <dcterms:modified xsi:type="dcterms:W3CDTF">2025-04-23T12:48:04Z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0x0101006F8C476279ECFF49B7018EB20C51517F</vt:lpwstr>
  </property>
</Properties>
</file>