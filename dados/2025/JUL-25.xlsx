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38-Julho-25\"/>
    </mc:Choice>
  </mc:AlternateContent>
  <bookViews>
    <workbookView xWindow="0" yWindow="0" windowWidth="20490" windowHeight="7050"/>
  </bookViews>
  <sheets>
    <sheet name="São Carlos" sheetId="1" r:id="rId1"/>
    <sheet name="Folhas ponto" sheetId="2" r:id="rId2"/>
  </sheets>
  <definedNames>
    <definedName name="_xlnm.Print_Area" localSheetId="0">'São Carlos'!$A$1:$O$151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J30" i="1" s="1"/>
  <c r="G31" i="1"/>
  <c r="G21" i="1"/>
  <c r="I20" i="1"/>
  <c r="J20" i="1" s="1"/>
  <c r="K30" i="1" l="1"/>
  <c r="L30" i="1"/>
  <c r="M30" i="1" s="1"/>
  <c r="K20" i="1"/>
  <c r="L20" i="1" s="1"/>
  <c r="M20" i="1" s="1"/>
  <c r="I21" i="1" l="1"/>
  <c r="J21" i="1" s="1"/>
  <c r="I26" i="1"/>
  <c r="J26" i="1" s="1"/>
  <c r="I31" i="1"/>
  <c r="J31" i="1" s="1"/>
  <c r="K21" i="1" l="1"/>
  <c r="L21" i="1" s="1"/>
  <c r="M21" i="1" s="1"/>
  <c r="K26" i="1"/>
  <c r="L26" i="1" s="1"/>
  <c r="M26" i="1" s="1"/>
  <c r="K31" i="1"/>
  <c r="L31" i="1" s="1"/>
  <c r="M31" i="1" s="1"/>
  <c r="I123" i="1" l="1"/>
  <c r="J123" i="1"/>
  <c r="K123" i="1" s="1"/>
  <c r="I122" i="1"/>
  <c r="J122" i="1" s="1"/>
  <c r="G114" i="1"/>
  <c r="I121" i="1"/>
  <c r="J121" i="1" s="1"/>
  <c r="I120" i="1"/>
  <c r="J120" i="1" s="1"/>
  <c r="I119" i="1"/>
  <c r="J119" i="1" s="1"/>
  <c r="I118" i="1"/>
  <c r="J118" i="1" s="1"/>
  <c r="I100" i="1"/>
  <c r="J100" i="1"/>
  <c r="K100" i="1" s="1"/>
  <c r="I96" i="1"/>
  <c r="J96" i="1" s="1"/>
  <c r="I97" i="1"/>
  <c r="J97" i="1" s="1"/>
  <c r="K97" i="1" s="1"/>
  <c r="I98" i="1"/>
  <c r="J98" i="1" s="1"/>
  <c r="I99" i="1"/>
  <c r="J99" i="1" s="1"/>
  <c r="K99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K90" i="1" s="1"/>
  <c r="L90" i="1" s="1"/>
  <c r="M90" i="1" s="1"/>
  <c r="I89" i="1"/>
  <c r="J89" i="1" s="1"/>
  <c r="I85" i="1"/>
  <c r="J85" i="1" s="1"/>
  <c r="I84" i="1"/>
  <c r="J84" i="1" s="1"/>
  <c r="I82" i="1"/>
  <c r="J82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3" i="1"/>
  <c r="J73" i="1" s="1"/>
  <c r="I72" i="1"/>
  <c r="J72" i="1" s="1"/>
  <c r="I71" i="1"/>
  <c r="J71" i="1" s="1"/>
  <c r="I69" i="1"/>
  <c r="J69" i="1" s="1"/>
  <c r="I68" i="1"/>
  <c r="J68" i="1" s="1"/>
  <c r="K68" i="1" s="1"/>
  <c r="I64" i="1"/>
  <c r="J64" i="1" s="1"/>
  <c r="I65" i="1"/>
  <c r="J65" i="1" s="1"/>
  <c r="K65" i="1" s="1"/>
  <c r="I66" i="1"/>
  <c r="J66" i="1" s="1"/>
  <c r="K66" i="1" s="1"/>
  <c r="I67" i="1"/>
  <c r="J67" i="1" s="1"/>
  <c r="I70" i="1"/>
  <c r="J70" i="1" s="1"/>
  <c r="K70" i="1" s="1"/>
  <c r="I74" i="1"/>
  <c r="J74" i="1" s="1"/>
  <c r="K74" i="1" s="1"/>
  <c r="I81" i="1"/>
  <c r="J81" i="1" s="1"/>
  <c r="K81" i="1" s="1"/>
  <c r="I83" i="1"/>
  <c r="J83" i="1" s="1"/>
  <c r="I86" i="1"/>
  <c r="J86" i="1" s="1"/>
  <c r="K86" i="1" s="1"/>
  <c r="I87" i="1"/>
  <c r="J87" i="1" s="1"/>
  <c r="I88" i="1"/>
  <c r="J88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49" i="1"/>
  <c r="J49" i="1" s="1"/>
  <c r="I48" i="1"/>
  <c r="J48" i="1" s="1"/>
  <c r="I47" i="1"/>
  <c r="J47" i="1" s="1"/>
  <c r="I46" i="1"/>
  <c r="J46" i="1" s="1"/>
  <c r="G46" i="1"/>
  <c r="G45" i="1"/>
  <c r="I45" i="1"/>
  <c r="J45" i="1" s="1"/>
  <c r="I44" i="1"/>
  <c r="J44" i="1" s="1"/>
  <c r="G43" i="1"/>
  <c r="I43" i="1"/>
  <c r="J43" i="1" s="1"/>
  <c r="G42" i="1"/>
  <c r="I42" i="1"/>
  <c r="J42" i="1" s="1"/>
  <c r="G41" i="1"/>
  <c r="I41" i="1"/>
  <c r="J41" i="1" s="1"/>
  <c r="G40" i="1"/>
  <c r="I40" i="1"/>
  <c r="J40" i="1" s="1"/>
  <c r="G39" i="1"/>
  <c r="I39" i="1"/>
  <c r="J39" i="1" s="1"/>
  <c r="G38" i="1"/>
  <c r="I38" i="1"/>
  <c r="J38" i="1" s="1"/>
  <c r="I37" i="1"/>
  <c r="J37" i="1" s="1"/>
  <c r="K120" i="1" l="1"/>
  <c r="L120" i="1"/>
  <c r="M120" i="1" s="1"/>
  <c r="L123" i="1"/>
  <c r="M123" i="1" s="1"/>
  <c r="K122" i="1"/>
  <c r="L122" i="1" s="1"/>
  <c r="M122" i="1" s="1"/>
  <c r="K121" i="1"/>
  <c r="L121" i="1" s="1"/>
  <c r="M121" i="1" s="1"/>
  <c r="K119" i="1"/>
  <c r="L119" i="1"/>
  <c r="M119" i="1" s="1"/>
  <c r="K118" i="1"/>
  <c r="L118" i="1" s="1"/>
  <c r="M118" i="1" s="1"/>
  <c r="L100" i="1"/>
  <c r="M100" i="1" s="1"/>
  <c r="K98" i="1"/>
  <c r="L98" i="1" s="1"/>
  <c r="M98" i="1" s="1"/>
  <c r="K96" i="1"/>
  <c r="L96" i="1" s="1"/>
  <c r="M96" i="1" s="1"/>
  <c r="L99" i="1"/>
  <c r="M99" i="1" s="1"/>
  <c r="L97" i="1"/>
  <c r="M97" i="1" s="1"/>
  <c r="K95" i="1"/>
  <c r="L95" i="1" s="1"/>
  <c r="M95" i="1" s="1"/>
  <c r="K94" i="1"/>
  <c r="L94" i="1" s="1"/>
  <c r="M94" i="1" s="1"/>
  <c r="K93" i="1"/>
  <c r="L93" i="1" s="1"/>
  <c r="M93" i="1" s="1"/>
  <c r="K92" i="1"/>
  <c r="L92" i="1" s="1"/>
  <c r="M92" i="1" s="1"/>
  <c r="K89" i="1"/>
  <c r="L89" i="1" s="1"/>
  <c r="M89" i="1" s="1"/>
  <c r="K91" i="1"/>
  <c r="L91" i="1" s="1"/>
  <c r="M91" i="1" s="1"/>
  <c r="N91" i="1" s="1"/>
  <c r="K75" i="1"/>
  <c r="L75" i="1" s="1"/>
  <c r="M75" i="1" s="1"/>
  <c r="L68" i="1"/>
  <c r="M68" i="1" s="1"/>
  <c r="K88" i="1"/>
  <c r="L88" i="1" s="1"/>
  <c r="M88" i="1" s="1"/>
  <c r="K85" i="1"/>
  <c r="L85" i="1" s="1"/>
  <c r="M85" i="1" s="1"/>
  <c r="K84" i="1"/>
  <c r="L84" i="1" s="1"/>
  <c r="M84" i="1" s="1"/>
  <c r="K82" i="1"/>
  <c r="L82" i="1" s="1"/>
  <c r="M82" i="1" s="1"/>
  <c r="L81" i="1"/>
  <c r="M81" i="1" s="1"/>
  <c r="K80" i="1"/>
  <c r="L80" i="1" s="1"/>
  <c r="M80" i="1" s="1"/>
  <c r="K79" i="1"/>
  <c r="L79" i="1" s="1"/>
  <c r="M79" i="1" s="1"/>
  <c r="K78" i="1"/>
  <c r="L78" i="1" s="1"/>
  <c r="M78" i="1" s="1"/>
  <c r="K77" i="1"/>
  <c r="L77" i="1" s="1"/>
  <c r="M77" i="1" s="1"/>
  <c r="K76" i="1"/>
  <c r="L76" i="1" s="1"/>
  <c r="M76" i="1" s="1"/>
  <c r="K73" i="1"/>
  <c r="L73" i="1" s="1"/>
  <c r="M73" i="1" s="1"/>
  <c r="N73" i="1" s="1"/>
  <c r="K72" i="1"/>
  <c r="L72" i="1" s="1"/>
  <c r="M72" i="1" s="1"/>
  <c r="K71" i="1"/>
  <c r="L71" i="1" s="1"/>
  <c r="M71" i="1" s="1"/>
  <c r="K69" i="1"/>
  <c r="L69" i="1" s="1"/>
  <c r="M69" i="1" s="1"/>
  <c r="L65" i="1"/>
  <c r="M65" i="1" s="1"/>
  <c r="K87" i="1"/>
  <c r="L87" i="1" s="1"/>
  <c r="M87" i="1" s="1"/>
  <c r="K64" i="1"/>
  <c r="L64" i="1" s="1"/>
  <c r="M64" i="1" s="1"/>
  <c r="N64" i="1" s="1"/>
  <c r="K83" i="1"/>
  <c r="L83" i="1" s="1"/>
  <c r="M83" i="1" s="1"/>
  <c r="K67" i="1"/>
  <c r="L67" i="1" s="1"/>
  <c r="M67" i="1" s="1"/>
  <c r="L74" i="1"/>
  <c r="M74" i="1" s="1"/>
  <c r="L70" i="1"/>
  <c r="M70" i="1" s="1"/>
  <c r="L66" i="1"/>
  <c r="M66" i="1" s="1"/>
  <c r="L86" i="1"/>
  <c r="M86" i="1" s="1"/>
  <c r="K63" i="1"/>
  <c r="L63" i="1" s="1"/>
  <c r="M63" i="1" s="1"/>
  <c r="K62" i="1"/>
  <c r="L62" i="1" s="1"/>
  <c r="M62" i="1" s="1"/>
  <c r="K61" i="1"/>
  <c r="L61" i="1" s="1"/>
  <c r="M61" i="1" s="1"/>
  <c r="K60" i="1"/>
  <c r="L60" i="1" s="1"/>
  <c r="M60" i="1" s="1"/>
  <c r="N60" i="1" s="1"/>
  <c r="K59" i="1"/>
  <c r="L59" i="1" s="1"/>
  <c r="M59" i="1" s="1"/>
  <c r="K58" i="1"/>
  <c r="L58" i="1" s="1"/>
  <c r="M58" i="1" s="1"/>
  <c r="K57" i="1"/>
  <c r="L57" i="1" s="1"/>
  <c r="M57" i="1" s="1"/>
  <c r="K56" i="1"/>
  <c r="L56" i="1" s="1"/>
  <c r="M56" i="1" s="1"/>
  <c r="K55" i="1"/>
  <c r="L55" i="1" s="1"/>
  <c r="M55" i="1" s="1"/>
  <c r="K54" i="1"/>
  <c r="L54" i="1" s="1"/>
  <c r="M54" i="1" s="1"/>
  <c r="K53" i="1"/>
  <c r="L53" i="1" s="1"/>
  <c r="M53" i="1" s="1"/>
  <c r="K52" i="1"/>
  <c r="L52" i="1" s="1"/>
  <c r="M52" i="1" s="1"/>
  <c r="K49" i="1"/>
  <c r="L49" i="1" s="1"/>
  <c r="M49" i="1" s="1"/>
  <c r="K48" i="1"/>
  <c r="L48" i="1" s="1"/>
  <c r="M48" i="1" s="1"/>
  <c r="K47" i="1"/>
  <c r="L47" i="1" s="1"/>
  <c r="M47" i="1" s="1"/>
  <c r="K46" i="1"/>
  <c r="L46" i="1" s="1"/>
  <c r="M46" i="1" s="1"/>
  <c r="K45" i="1"/>
  <c r="L45" i="1" s="1"/>
  <c r="M45" i="1" s="1"/>
  <c r="K44" i="1"/>
  <c r="L44" i="1" s="1"/>
  <c r="M44" i="1" s="1"/>
  <c r="K43" i="1"/>
  <c r="L43" i="1" s="1"/>
  <c r="M43" i="1" s="1"/>
  <c r="K42" i="1"/>
  <c r="L42" i="1" s="1"/>
  <c r="M42" i="1" s="1"/>
  <c r="K41" i="1"/>
  <c r="L41" i="1" s="1"/>
  <c r="M41" i="1" s="1"/>
  <c r="K40" i="1"/>
  <c r="L40" i="1" s="1"/>
  <c r="M40" i="1" s="1"/>
  <c r="K39" i="1"/>
  <c r="L39" i="1" s="1"/>
  <c r="M39" i="1" s="1"/>
  <c r="K38" i="1"/>
  <c r="L38" i="1" s="1"/>
  <c r="M38" i="1" s="1"/>
  <c r="K37" i="1"/>
  <c r="L37" i="1" s="1"/>
  <c r="M37" i="1" s="1"/>
  <c r="N46" i="1" l="1"/>
  <c r="N56" i="1"/>
  <c r="N79" i="1"/>
  <c r="N96" i="1"/>
  <c r="N98" i="1"/>
  <c r="N86" i="1"/>
  <c r="N67" i="1"/>
  <c r="N84" i="1"/>
  <c r="N75" i="1"/>
  <c r="N93" i="1"/>
  <c r="N65" i="1"/>
  <c r="N97" i="1"/>
  <c r="N83" i="1"/>
  <c r="N69" i="1"/>
  <c r="N43" i="1"/>
  <c r="N53" i="1"/>
  <c r="N61" i="1"/>
  <c r="N76" i="1"/>
  <c r="N85" i="1"/>
  <c r="N94" i="1"/>
  <c r="N99" i="1"/>
  <c r="N44" i="1"/>
  <c r="N48" i="1"/>
  <c r="N54" i="1"/>
  <c r="N58" i="1"/>
  <c r="N62" i="1"/>
  <c r="N70" i="1"/>
  <c r="N71" i="1"/>
  <c r="N77" i="1"/>
  <c r="N81" i="1"/>
  <c r="N88" i="1"/>
  <c r="N89" i="1"/>
  <c r="N100" i="1"/>
  <c r="N47" i="1"/>
  <c r="N57" i="1"/>
  <c r="N66" i="1"/>
  <c r="N80" i="1"/>
  <c r="N45" i="1"/>
  <c r="N49" i="1"/>
  <c r="N55" i="1"/>
  <c r="N59" i="1"/>
  <c r="N63" i="1"/>
  <c r="N74" i="1"/>
  <c r="N87" i="1"/>
  <c r="N72" i="1"/>
  <c r="N78" i="1"/>
  <c r="N82" i="1"/>
  <c r="N68" i="1"/>
  <c r="N92" i="1"/>
  <c r="N95" i="1"/>
  <c r="N90" i="1"/>
  <c r="N40" i="1"/>
  <c r="N38" i="1"/>
  <c r="N41" i="1"/>
  <c r="N39" i="1"/>
  <c r="N42" i="1"/>
  <c r="I117" i="1" l="1"/>
  <c r="J117" i="1" s="1"/>
  <c r="I116" i="1"/>
  <c r="J116" i="1" s="1"/>
  <c r="I114" i="1"/>
  <c r="J114" i="1" s="1"/>
  <c r="K114" i="1" s="1"/>
  <c r="I112" i="1"/>
  <c r="J112" i="1" s="1"/>
  <c r="K116" i="1" l="1"/>
  <c r="L116" i="1" s="1"/>
  <c r="M116" i="1" s="1"/>
  <c r="K117" i="1"/>
  <c r="L117" i="1" s="1"/>
  <c r="M117" i="1" s="1"/>
  <c r="N123" i="1" s="1"/>
  <c r="L114" i="1"/>
  <c r="M114" i="1" s="1"/>
  <c r="K112" i="1"/>
  <c r="L112" i="1" s="1"/>
  <c r="M112" i="1" s="1"/>
  <c r="N119" i="1" s="1"/>
  <c r="I51" i="1" l="1"/>
  <c r="J51" i="1" s="1"/>
  <c r="I50" i="1"/>
  <c r="J50" i="1" s="1"/>
  <c r="K51" i="1" l="1"/>
  <c r="L51" i="1" s="1"/>
  <c r="M51" i="1" s="1"/>
  <c r="K50" i="1"/>
  <c r="L50" i="1" s="1"/>
  <c r="M50" i="1" s="1"/>
  <c r="N50" i="1" s="1"/>
  <c r="I115" i="1"/>
  <c r="J115" i="1" s="1"/>
  <c r="N51" i="1" l="1"/>
  <c r="N52" i="1"/>
  <c r="K115" i="1"/>
  <c r="L115" i="1" s="1"/>
  <c r="M115" i="1" s="1"/>
  <c r="N121" i="1" l="1"/>
  <c r="N122" i="1"/>
  <c r="I110" i="1"/>
  <c r="J110" i="1" s="1"/>
  <c r="I108" i="1"/>
  <c r="J108" i="1" s="1"/>
  <c r="I109" i="1"/>
  <c r="J109" i="1" s="1"/>
  <c r="K109" i="1" s="1"/>
  <c r="K110" i="1" l="1"/>
  <c r="L110" i="1" s="1"/>
  <c r="M110" i="1" s="1"/>
  <c r="K108" i="1"/>
  <c r="L108" i="1" s="1"/>
  <c r="M108" i="1" s="1"/>
  <c r="M107" i="1" s="1"/>
  <c r="L109" i="1"/>
  <c r="M109" i="1" s="1"/>
  <c r="N115" i="1" l="1"/>
  <c r="N116" i="1"/>
  <c r="N117" i="1"/>
  <c r="M36" i="1"/>
  <c r="N37" i="1" s="1"/>
  <c r="N118" i="1" l="1"/>
  <c r="N120" i="1"/>
  <c r="N114" i="1"/>
  <c r="I18" i="1"/>
  <c r="J18" i="1" s="1"/>
  <c r="K18" i="1" s="1"/>
  <c r="I19" i="1"/>
  <c r="J19" i="1" s="1"/>
  <c r="I22" i="1"/>
  <c r="J22" i="1" s="1"/>
  <c r="K22" i="1" s="1"/>
  <c r="I23" i="1"/>
  <c r="J23" i="1" s="1"/>
  <c r="I24" i="1"/>
  <c r="J24" i="1" s="1"/>
  <c r="K24" i="1" s="1"/>
  <c r="I25" i="1"/>
  <c r="J25" i="1" s="1"/>
  <c r="I27" i="1"/>
  <c r="J27" i="1" s="1"/>
  <c r="K27" i="1" s="1"/>
  <c r="I28" i="1"/>
  <c r="J28" i="1" s="1"/>
  <c r="I29" i="1"/>
  <c r="J29" i="1" s="1"/>
  <c r="K29" i="1" s="1"/>
  <c r="I32" i="1"/>
  <c r="J32" i="1" s="1"/>
  <c r="I33" i="1"/>
  <c r="J33" i="1" s="1"/>
  <c r="K33" i="1" s="1"/>
  <c r="K25" i="1" l="1"/>
  <c r="L25" i="1" s="1"/>
  <c r="M25" i="1" s="1"/>
  <c r="K28" i="1"/>
  <c r="L28" i="1" s="1"/>
  <c r="M28" i="1" s="1"/>
  <c r="K32" i="1"/>
  <c r="L32" i="1" s="1"/>
  <c r="M32" i="1" s="1"/>
  <c r="K19" i="1"/>
  <c r="L19" i="1" s="1"/>
  <c r="M19" i="1" s="1"/>
  <c r="K23" i="1"/>
  <c r="L23" i="1" s="1"/>
  <c r="M23" i="1" s="1"/>
  <c r="L33" i="1"/>
  <c r="M33" i="1" s="1"/>
  <c r="L29" i="1"/>
  <c r="M29" i="1" s="1"/>
  <c r="L27" i="1"/>
  <c r="M27" i="1" s="1"/>
  <c r="L24" i="1"/>
  <c r="M24" i="1" s="1"/>
  <c r="L22" i="1"/>
  <c r="M22" i="1" s="1"/>
  <c r="L18" i="1"/>
  <c r="M18" i="1" s="1"/>
  <c r="I17" i="1"/>
  <c r="J17" i="1" s="1"/>
  <c r="K17" i="1" s="1"/>
  <c r="L17" i="1" l="1"/>
  <c r="M17" i="1" s="1"/>
  <c r="M16" i="1" s="1"/>
  <c r="N112" i="1" l="1"/>
  <c r="N108" i="1"/>
  <c r="N110" i="1"/>
  <c r="N109" i="1"/>
  <c r="N19" i="1"/>
  <c r="N18" i="1"/>
  <c r="N25" i="1"/>
  <c r="N23" i="1"/>
  <c r="N29" i="1"/>
  <c r="N22" i="1"/>
  <c r="N32" i="1"/>
  <c r="N28" i="1"/>
  <c r="N27" i="1"/>
  <c r="N33" i="1"/>
  <c r="N24" i="1"/>
  <c r="N17" i="1"/>
  <c r="J126" i="1"/>
  <c r="N16" i="1" l="1"/>
</calcChain>
</file>

<file path=xl/sharedStrings.xml><?xml version="1.0" encoding="utf-8"?>
<sst xmlns="http://schemas.openxmlformats.org/spreadsheetml/2006/main" count="587" uniqueCount="275">
  <si>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</si>
  <si>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</si>
  <si>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</si>
  <si>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</si>
  <si>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</si>
  <si>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</si>
  <si>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</si>
  <si>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</si>
  <si>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</si>
  <si>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</si>
  <si>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</si>
  <si>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</si>
  <si>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</si>
  <si>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</si>
  <si>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</si>
  <si>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</si>
  <si>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</si>
  <si>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</si>
  <si>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</si>
  <si>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</si>
  <si>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</si>
  <si>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</si>
  <si>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</si>
  <si>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</si>
  <si>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</si>
  <si>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</si>
  <si>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</si>
  <si>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</si>
  <si>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</si>
  <si>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</si>
  <si>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</si>
  <si>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</si>
  <si>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</si>
  <si>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</si>
  <si>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</si>
  <si>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</si>
  <si>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</si>
  <si>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</si>
  <si>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</si>
  <si>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</si>
  <si>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</si>
  <si>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</si>
  <si>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</si>
  <si>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</si>
  <si>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</si>
  <si>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</si>
  <si>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</si>
  <si>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</si>
  <si>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</si>
  <si>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</si>
  <si>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</si>
  <si>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</si>
  <si>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</si>
  <si>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</si>
  <si>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</si>
  <si>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</si>
  <si>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</si>
  <si>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</si>
  <si>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</si>
  <si>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</si>
  <si>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</si>
  <si>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</si>
  <si>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</si>
  <si>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</si>
  <si>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</si>
  <si>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</si>
  <si>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</si>
  <si>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</si>
  <si>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</si>
  <si>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</si>
  <si>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</si>
  <si>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</si>
  <si>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</si>
  <si>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</si>
  <si>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</si>
  <si>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</si>
  <si>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</si>
  <si>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</si>
  <si>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t>3.2</t>
  </si>
  <si>
    <t>PINTOR COM ENCARGOS COMPLEMENTARES</t>
  </si>
  <si>
    <t>3.4</t>
  </si>
  <si>
    <t>Insumos</t>
  </si>
  <si>
    <t>2.5</t>
  </si>
  <si>
    <t>2.11</t>
  </si>
  <si>
    <t>2.15</t>
  </si>
  <si>
    <t>2.10</t>
  </si>
  <si>
    <t>2.1</t>
  </si>
  <si>
    <t>2.3</t>
  </si>
  <si>
    <t>2.7</t>
  </si>
  <si>
    <t>2.9</t>
  </si>
  <si>
    <t>2.12</t>
  </si>
  <si>
    <t>2.18</t>
  </si>
  <si>
    <r>
      <t xml:space="preserve">Data Orçamento: </t>
    </r>
    <r>
      <rPr>
        <sz val="8"/>
        <color rgb="FFFF0000"/>
        <rFont val="Arial"/>
        <family val="2"/>
      </rPr>
      <t>Jun/22</t>
    </r>
  </si>
  <si>
    <t>2.6</t>
  </si>
  <si>
    <t>2.4</t>
  </si>
  <si>
    <t>2.2</t>
  </si>
  <si>
    <t>2.8</t>
  </si>
  <si>
    <t>2.13</t>
  </si>
  <si>
    <t>2.14</t>
  </si>
  <si>
    <t>2.16</t>
  </si>
  <si>
    <t>2.17</t>
  </si>
  <si>
    <t>KG</t>
  </si>
  <si>
    <t>M</t>
  </si>
  <si>
    <t>3.7</t>
  </si>
  <si>
    <t>3.8</t>
  </si>
  <si>
    <t>3.10</t>
  </si>
  <si>
    <t>3.11</t>
  </si>
  <si>
    <t>ARAME RECOZIDO 16 BWG, D = 1,65 MM (0,016 KG/M) OU 18 BWG, D = 1,25 MM (0,01 KG/M)</t>
  </si>
  <si>
    <t>kg</t>
  </si>
  <si>
    <r>
      <t xml:space="preserve">Mês de referência: </t>
    </r>
    <r>
      <rPr>
        <sz val="8"/>
        <color rgb="FFFF0000"/>
        <rFont val="Arial"/>
        <family val="2"/>
      </rPr>
      <t>Maio/2025 (data da proposta)</t>
    </r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</si>
  <si>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05/2025)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</si>
  <si>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ORSE</t>
  </si>
  <si>
    <t>JOELHO PVC, SOLDAVEL, 90 GRAUS, 25 MM, PARA AGUA FRIA PREDIAL</t>
  </si>
  <si>
    <t>JOELHO PVC, SOLDAVEL, 90 GRAUS, 32 MM, COR MARROM, PARA AGUA FRIA PREDIAL</t>
  </si>
  <si>
    <r>
      <t xml:space="preserve">Descrição serviço: </t>
    </r>
    <r>
      <rPr>
        <b/>
        <sz val="8"/>
        <color theme="1"/>
        <rFont val="Arial"/>
        <family val="2"/>
      </rPr>
      <t xml:space="preserve">ROTINAS DE MANUTENÇÃO PREDIAL NO CAMPUS SÃO CARLOS, REFERENTE AO </t>
    </r>
    <r>
      <rPr>
        <b/>
        <sz val="8"/>
        <color rgb="FFFF0000"/>
        <rFont val="Arial"/>
        <family val="2"/>
      </rPr>
      <t>PERIODO DE JULHO 2025</t>
    </r>
  </si>
  <si>
    <t>DILUENTE AGUARRAS</t>
  </si>
  <si>
    <t>L</t>
  </si>
  <si>
    <t>TINTA ESMALTE SINTETICO PREMIUM BRILHANTE</t>
  </si>
  <si>
    <t>TINTA LATEX ACRILICA STANDARD, COR MARFIM</t>
  </si>
  <si>
    <t>2.45</t>
  </si>
  <si>
    <t>TINTA LATEX ACRILICA STANDARD, COR AREIA REAL</t>
  </si>
  <si>
    <t>TINTA LATEX ACRILICA STANDARD, COR BRANCO NEVE</t>
  </si>
  <si>
    <t>TINTA LATEX ACRILICA STANDARD, COR BRANCO GELO</t>
  </si>
  <si>
    <t>ADESIVO ACRILICO DE BASE AQUOSA / COLA DE CONTATO</t>
  </si>
  <si>
    <t>FUNDO PREPARADOR ACRILICO BASE AGUA</t>
  </si>
  <si>
    <t>2.23</t>
  </si>
  <si>
    <t>Redutor químico tipo 2002 acabamento (Thinner)</t>
  </si>
  <si>
    <t>2.51</t>
  </si>
  <si>
    <t>MASSA ACRILICA PARA SUPERFICIES INTERNAS E EXTERNAS</t>
  </si>
  <si>
    <t>REGISTRO PRESSAO COM ACABAMENTO E CANOPLA CROMADA, SIMPLES, BITOLA 1/2"</t>
  </si>
  <si>
    <t>TORNEIRA DE BOIA CONVENCIONAL PARA CAIXA D'AGUA, 2", AGUA FRIA, COM HASTE E TORNEIRA METALICOS E BALAO PLASTICO</t>
  </si>
  <si>
    <t>DUCHA HIGIENICA PLASTICA COM REGISTRO METALICO 1/2 "</t>
  </si>
  <si>
    <t>FECHADURA DE SOBREPOR PARA PORTAO, EM ACO INOX COM ACABAMENTO CROMADO, CAIXA DE 100 MM, INCLUINDO CHAVE TIPO TETRA</t>
  </si>
  <si>
    <t>MANGUEIRA CRISTAL, LISA, PVC TRANSPARENTE, 3/4" X 2 MM</t>
  </si>
  <si>
    <t xml:space="preserve"> Adesivo para tubo Aquatherm/CPVC</t>
  </si>
  <si>
    <t>2.25</t>
  </si>
  <si>
    <t>ASSENTO SANITARIO DE PLASTICO, TIPO CONVENCIONAL</t>
  </si>
  <si>
    <t>CONJUNTO DE LIGACAO AJUSTAVEL, PARA VASO / BACIA SANITARIA, EM PLASTICO BRANCO, COM TUBO, CANOPLA E ESPUD</t>
  </si>
  <si>
    <t>Tubo de ligação em PVC para vaso sanitário, acabamento cromado, CIPLA ou similar</t>
  </si>
  <si>
    <t>2.41</t>
  </si>
  <si>
    <t>TORNEIRA METALICA CROMADA DE MESA PARA LAVATORIO, BICA ALTA, COM AREJADOR (REF 1195)</t>
  </si>
  <si>
    <t>2.39</t>
  </si>
  <si>
    <t>TORNEIRA METALICA CROMADA PARA JARDIM / TANQUE, COM BICO PLASTICO, CANO LONGO, DE PAREDE, PADRAO POPULAR / USO GERAL , 1/2 " OU 3/4 " (REF 1153 / 1130)</t>
  </si>
  <si>
    <t>ENGATE / RABICHO FLEXIVEL INOX 1/2 " X 40 CM</t>
  </si>
  <si>
    <t>2.19</t>
  </si>
  <si>
    <t>2.20</t>
  </si>
  <si>
    <t>2.21</t>
  </si>
  <si>
    <t>2.22</t>
  </si>
  <si>
    <t>ADESIVO PLASTICO PARA PVC, FRASCO COM *850* GR</t>
  </si>
  <si>
    <t>2.26</t>
  </si>
  <si>
    <t>VALVULA DE DESCARGA METALICA, BASE 1 1/2 " E ACABAMENTO METALICO CROMADO</t>
  </si>
  <si>
    <t>VALVULA DE RETENCAO HORIZONTAL, DE BRONZE (PN-25), 3", 400 PSI, TAMPA DE PORCA DE UNIAO, EXTREMIDADES COM ROSCA</t>
  </si>
  <si>
    <t>BUCHA DE NYLON SEM ABA S6, COM PARAFUSO DE 4,20 X 40 MM EM ACO ZINCADO COM ROSCA SOBERBA, CABECA CHATA E FENDA PHILLIPS</t>
  </si>
  <si>
    <t>BUCHA DE NYLON SEM ABA S8, COM PARAFUSO DE 4,80 X 50 MM EM ACO ZINCADO COM ROSCA SOBERBA, CABECA CHATA E FENDA PHILLIPS</t>
  </si>
  <si>
    <t>BUCHA DE NYLON SEM ABA S10, COM PARAFUSO DE 6,10 X 65 MM EM ACO ZINCADO COM ROSCA SOBERBA, CABECA CHATA E FENDA PHILLIPS</t>
  </si>
  <si>
    <t>Lamina de serra 1/2x12"</t>
  </si>
  <si>
    <t>2.24</t>
  </si>
  <si>
    <t>2.27</t>
  </si>
  <si>
    <t>2.28</t>
  </si>
  <si>
    <t>2.29</t>
  </si>
  <si>
    <t>2.30</t>
  </si>
  <si>
    <t>CAP PVC, SOLDAVEL, DN 100 MM, SERIE NORMAL, PARA ESGOTO PREDIAL</t>
  </si>
  <si>
    <t>FITA VEDA ROSCA EM ROLOS DE 18 MM X 50 M (L X C)</t>
  </si>
  <si>
    <t>2.33</t>
  </si>
  <si>
    <t>Grelha p/ralo em inox, quadrada, 10x10cm, tipo abre/fecha, Meber ou similar</t>
  </si>
  <si>
    <t>BACIA SANITARIA (VASO) CONVENCIONAL, DE LOUCA BRANCA, SIFAO APARENTE, SAIDA VERTICAL (SEM ASSENTO)</t>
  </si>
  <si>
    <t>2.40</t>
  </si>
  <si>
    <t>CHUVEIRO COMUM EM PLASTICO BRANCO, COM CANO, 3 TEMPERATURAS, 5500 W (110/220 V)</t>
  </si>
  <si>
    <t>AUTOMATICO DE BOIA SUPERIOR / INFERIOR, *15* A / 250 V</t>
  </si>
  <si>
    <t>2.31</t>
  </si>
  <si>
    <t>REGISTRO DE ESFERA, PVC, COM VOLANTE, VS, SOLDAVEL, DN 25 MM, COM CORPO DIVIDIDO</t>
  </si>
  <si>
    <t>REGISTRO DE ESFERA, PVC, COM VOLANTE, VS, SOLDAVEL, DN 60 MM, COM CORPO DIVIDIDO</t>
  </si>
  <si>
    <t>REGISTRO DE ESFERA, PVC, COM VOLANTE, VS, SOLDAVEL, DN 50 MM, COM CORPO DIVIDIDO</t>
  </si>
  <si>
    <t>2.35</t>
  </si>
  <si>
    <t>SELANTE ELASTICO MONOCOMPONENTE A BASE DE POLIURETANO (PU) PARA JUNTAS DIVERSAS</t>
  </si>
  <si>
    <t>ADAPTADOR PVC SOLDAVEL CURTO COM BOLSA E ROSCA, 32 MM X 1", PARA AGUA FRIA</t>
  </si>
  <si>
    <t>ADAPTADOR PVC SOLDAVEL CURTO COM BOLSA E ROSCA, 50 MM X 1 1/4", PARA AGUA FRIA</t>
  </si>
  <si>
    <t>CURVA DE PVC 90 GRAUS, SOLDAVEL, 25 MM, PARA AGUA FRIA PREDIAL (NBR 5648)</t>
  </si>
  <si>
    <t>JOELHO, PVC SOLDAVEL, 45 GRAUS, 25 MM, COR MARROM, PARA AGUA FRIA PREDIAL</t>
  </si>
  <si>
    <t>JOELHO, PVC SOLDAVEL, 45 GRAUS, 32 MM, COR MARROM, PARA AGUA FRIA PREDIAL</t>
  </si>
  <si>
    <t>2.32</t>
  </si>
  <si>
    <t>JOELHO PVC, SOLDAVEL, COM BUCHA DE LATAO, 90 GRAUS, 25 MM X 1/2", PARA AGUA FRIA PREDIAL</t>
  </si>
  <si>
    <t>JOELHO PVC, SOLDAVEL, COM BUCHA DE LATAO, 90 GRAUS, 25 MM X 3/4", PARA AGUA FRIA PREDIAL</t>
  </si>
  <si>
    <t>2.38</t>
  </si>
  <si>
    <t>JOELHO PVC, SOLDAVEL, 90 GRAUS, 50 MM, COR MARROM, PARA AGUA FRIA PREDIAL</t>
  </si>
  <si>
    <t>JOELHO PVC, SOLDAVEL, 90 GRAUS, 60 MM, COR MARROM, PARA AGUA FRIA PREDIAL</t>
  </si>
  <si>
    <t>JOELHO PVC, SOLDAVEL, 90 GRAUS, 85 MM, COR MARROM, PARA AGUA FRIA PREDIAL</t>
  </si>
  <si>
    <t>LUVA PVC SOLDAVEL, 25 MM, PARA AGUA FRIA PREDIAL</t>
  </si>
  <si>
    <t>LUVA PVC SOLDAVEL, 32 MM, PARA AGUA FRIA PREDIAL</t>
  </si>
  <si>
    <t>LUVA PVC SOLDAVEL, 50 MM, PARA AGUA FRIA PREDIAL</t>
  </si>
  <si>
    <t>2.36</t>
  </si>
  <si>
    <t>LUVA PVC SOLDAVEL, 75 MM, PARA AGUA FRIA PREDIAL</t>
  </si>
  <si>
    <t>LUVA DE CORRER PARA TUBO SOLDAVEL, PVC, 25 MM, PARA AGUA FRIA PREDIAL</t>
  </si>
  <si>
    <t>LUVA DE CORRER PARA TUBO SOLDAVEL, PVC, 32 MM, PARA AGUA FRIA PREDIAL</t>
  </si>
  <si>
    <t>2.43</t>
  </si>
  <si>
    <t>LUVA DE CORRER PARA TUBO SOLDAVEL, PVC, 50 MM, PARA AGUA FRIA PREDIAL</t>
  </si>
  <si>
    <t>2.34</t>
  </si>
  <si>
    <t>2.37</t>
  </si>
  <si>
    <t>2.42</t>
  </si>
  <si>
    <t>2.44</t>
  </si>
  <si>
    <t>2.46</t>
  </si>
  <si>
    <t>2.47</t>
  </si>
  <si>
    <t>2.48</t>
  </si>
  <si>
    <t>2.49</t>
  </si>
  <si>
    <t>2.50</t>
  </si>
  <si>
    <t>2.52</t>
  </si>
  <si>
    <t>2.53</t>
  </si>
  <si>
    <t>2.54</t>
  </si>
  <si>
    <t>2.55</t>
  </si>
  <si>
    <t>2.56</t>
  </si>
  <si>
    <t>2.57</t>
  </si>
  <si>
    <t>2.58</t>
  </si>
  <si>
    <t>2.59</t>
  </si>
  <si>
    <t>TE SOLDAVEL, PVC, 90 GRAUS, 85 MM, PARA AGUA FRIA PREDIAL (NBR 5648)</t>
  </si>
  <si>
    <t>TUBO PVC, SOLDAVEL, DN 25 MM, AGUA FRIA (NBR-5648)</t>
  </si>
  <si>
    <t>TUBO PVC, SOLDAVEL, DE 75 MM, AGUA FRIA (NBR-5648)</t>
  </si>
  <si>
    <t>TUBO PVC, SOLDAVEL, DE 85 MM, AGUA FRIA (NBR-5648)</t>
  </si>
  <si>
    <t>2.60</t>
  </si>
  <si>
    <t>2.61</t>
  </si>
  <si>
    <t>2.62</t>
  </si>
  <si>
    <t>2.63</t>
  </si>
  <si>
    <t>Martelete rompedor elétrico, 220V, 16Kg</t>
  </si>
  <si>
    <t>DIA</t>
  </si>
  <si>
    <t xml:space="preserve">FORRO EM FIBRA MINERAL, PARA AMBIENTES COMERCIAIS, INCLUSIVE ETRUTURA DE FIXAÇÃO. AF_08/2023 </t>
  </si>
  <si>
    <t>M²</t>
  </si>
  <si>
    <t>Forro - DEQ</t>
  </si>
  <si>
    <t>limpeza pós obra Departamento de Botânica.</t>
  </si>
  <si>
    <t>LIMPEZA DE PORTA DE MADEIRA. AF_04/2019</t>
  </si>
  <si>
    <t>LIMPEZA DE JANELA INTEIRAMENTE DE VIDRO. AF_04/2019</t>
  </si>
  <si>
    <t>LIMPEZA DE PISO UTILIZANDO DETERGENTE NEUTRO E ESCOVAÇÃO . AF_04/2019</t>
  </si>
  <si>
    <t>LIMPEZA DE BANCADA DE PEDRA (MÁRMORE OU GRANITO).AF_04/2019</t>
  </si>
  <si>
    <t>LIMPEZA DE LAVATÓRIO DE LOUÇA COM BANCADA DE PEDRA, INCLUSIVE METAIS CORRESPONDENTES. AF_04/2019</t>
  </si>
  <si>
    <t xml:space="preserve">
LIMPEZA DE REVESTIMENTO CERÂMICO EM PAREDE UTILIZANDO DETERGENTE NEUTRO E ESCOVAÇÃO MANUAL. AF_04/2019</t>
  </si>
  <si>
    <t>LIMPEZA DE JANELA DE VIDRO COM CAIXILHO EM AÇO/ALUMÍNIO/PVC. AF_04/201</t>
  </si>
  <si>
    <t>LIMPEZA DE BACIA SANITÁRIA, BIDÊ OU MICTÓRIO EM LOUÇA, INCLUSIVE METAIS CORRESPONDENTES. AF_04/2019</t>
  </si>
  <si>
    <t>3.5</t>
  </si>
  <si>
    <t>3.6</t>
  </si>
  <si>
    <t>3.9</t>
  </si>
  <si>
    <t>3.12</t>
  </si>
  <si>
    <t>LIMPEZA/REMOÇÃO DE TINTAS EM PISOS E REVESTIMENTOS</t>
  </si>
  <si>
    <t>LAVAGEM DE PAREDES COM ESCOVAÇÃO MANUAL</t>
  </si>
  <si>
    <t>3.13</t>
  </si>
  <si>
    <t>3.14</t>
  </si>
  <si>
    <t>2.64</t>
  </si>
  <si>
    <t>CORREÇÃO AJUDANTE JUNHO</t>
  </si>
  <si>
    <t>CORREÇÃO PEDREIRO JUNHO</t>
  </si>
  <si>
    <t>CORREÇÃO ENCANADOR JUNHO</t>
  </si>
  <si>
    <t>CORREÇÃO ENCANADOR MAIO</t>
  </si>
  <si>
    <t>CORREÇÃO AJUDANTE MAIO</t>
  </si>
  <si>
    <t>Ajudantes</t>
  </si>
  <si>
    <t>Adilson - 180h</t>
  </si>
  <si>
    <t>Edmilson - 180h</t>
  </si>
  <si>
    <t>Joao Paulo - 180h</t>
  </si>
  <si>
    <t>Jose henrique - 171h</t>
  </si>
  <si>
    <t>Jose Marcos - 180h</t>
  </si>
  <si>
    <t>Lucas Matheus - 24h</t>
  </si>
  <si>
    <t>Sidnei - 180h</t>
  </si>
  <si>
    <t>Pedreiros</t>
  </si>
  <si>
    <t>Amir - 180h</t>
  </si>
  <si>
    <t>Magdiel - 180h</t>
  </si>
  <si>
    <t>Odenir - 180h</t>
  </si>
  <si>
    <t>Encanadores</t>
  </si>
  <si>
    <t>Aparecido - 162h</t>
  </si>
  <si>
    <t>Tiago Lino - 24h</t>
  </si>
  <si>
    <t>Pintor</t>
  </si>
  <si>
    <t>Maicon - 180h</t>
  </si>
  <si>
    <t>Encarregado</t>
  </si>
  <si>
    <t>Marcos Machado - 180h</t>
  </si>
  <si>
    <t>Joao Paulo - 45h</t>
  </si>
  <si>
    <t>Jose henrique - 45h</t>
  </si>
  <si>
    <t>Jose Marcos - 45h</t>
  </si>
  <si>
    <t>Lucas Matheus - 144h</t>
  </si>
  <si>
    <t>Magdiel - 162h</t>
  </si>
  <si>
    <t>Aparecido - 198h</t>
  </si>
  <si>
    <t>Tiago Lino - 144h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</si>
</sst>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</numFmts>
  <fonts count="2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Arial"/>
      <family val="1"/>
    </font>
    <font>
      <b/>
      <sz val="8"/>
      <color theme="4"/>
      <name val="Arial"/>
      <family val="2"/>
    </font>
    <font>
      <b/>
      <sz val="8"/>
      <color theme="4"/>
      <name val="Arial"/>
      <family val="1"/>
    </font>
    <font>
      <b/>
      <sz val="8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12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  <xf numFmtId="0" fontId="22" fillId="0" borderId="0"/>
    <xf numFmtId="164" fontId="22" fillId="0" borderId="0" applyBorder="0" applyProtection="0"/>
    <xf numFmtId="0" fontId="23" fillId="0" borderId="0" applyBorder="0" applyProtection="0"/>
    <xf numFmtId="0" fontId="16" fillId="4" borderId="1" applyProtection="0"/>
    <xf numFmtId="0" fontId="24" fillId="0" borderId="0"/>
  </cellStyleXfs>
  <cellXfs count="186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4" fontId="13" fillId="0" borderId="24" xfId="2" applyNumberFormat="1" applyFont="1" applyFill="1" applyBorder="1" applyAlignment="1" applyProtection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43" fontId="15" fillId="0" borderId="0" xfId="0" applyNumberFormat="1" applyFont="1"/>
    <xf numFmtId="0" fontId="9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9" fillId="0" borderId="24" xfId="4" applyFont="1" applyFill="1" applyBorder="1" applyAlignment="1">
      <alignment vertical="center"/>
    </xf>
    <xf numFmtId="0" fontId="9" fillId="0" borderId="24" xfId="0" applyFont="1" applyFill="1" applyBorder="1" applyAlignment="1">
      <alignment horizontal="center" vertical="center" wrapText="1"/>
    </xf>
    <xf numFmtId="4" fontId="8" fillId="0" borderId="24" xfId="0" applyNumberFormat="1" applyFont="1" applyFill="1" applyBorder="1" applyAlignment="1">
      <alignment horizontal="center" vertical="center" wrapText="1"/>
    </xf>
    <xf numFmtId="4" fontId="13" fillId="0" borderId="16" xfId="2" applyNumberFormat="1" applyFont="1" applyFill="1" applyBorder="1" applyAlignment="1" applyProtection="1">
      <alignment horizontal="center" vertical="center"/>
    </xf>
    <xf numFmtId="0" fontId="21" fillId="5" borderId="24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left" vertical="center" wrapText="1"/>
    </xf>
    <xf numFmtId="4" fontId="8" fillId="5" borderId="24" xfId="0" applyNumberFormat="1" applyFont="1" applyFill="1" applyBorder="1" applyAlignment="1">
      <alignment horizontal="center" vertical="center" wrapText="1"/>
    </xf>
    <xf numFmtId="0" fontId="8" fillId="2" borderId="27" xfId="1" applyFont="1" applyBorder="1" applyAlignment="1">
      <alignment horizontal="center" vertical="center"/>
    </xf>
    <xf numFmtId="0" fontId="8" fillId="2" borderId="24" xfId="1" applyFont="1" applyBorder="1" applyAlignment="1">
      <alignment horizontal="center" vertical="center"/>
    </xf>
    <xf numFmtId="0" fontId="18" fillId="2" borderId="24" xfId="1" applyFont="1" applyBorder="1"/>
    <xf numFmtId="0" fontId="21" fillId="0" borderId="24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vertical="center" wrapText="1"/>
    </xf>
    <xf numFmtId="0" fontId="13" fillId="0" borderId="24" xfId="1" applyFont="1" applyFill="1" applyBorder="1" applyAlignment="1">
      <alignment horizontal="center" vertical="center"/>
    </xf>
    <xf numFmtId="1" fontId="9" fillId="0" borderId="24" xfId="1" applyNumberFormat="1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Fill="1" applyBorder="1" applyAlignment="1">
      <alignment horizontal="left" vertical="top" wrapText="1"/>
    </xf>
    <xf numFmtId="0" fontId="13" fillId="0" borderId="24" xfId="4" applyFont="1" applyFill="1" applyBorder="1" applyAlignment="1">
      <alignment vertical="center"/>
    </xf>
    <xf numFmtId="0" fontId="9" fillId="0" borderId="24" xfId="0" applyFont="1" applyFill="1" applyBorder="1" applyAlignment="1">
      <alignment vertical="center"/>
    </xf>
    <xf numFmtId="0" fontId="9" fillId="0" borderId="24" xfId="4" applyFont="1" applyFill="1" applyBorder="1"/>
    <xf numFmtId="0" fontId="13" fillId="0" borderId="24" xfId="4" applyFont="1" applyFill="1" applyBorder="1"/>
    <xf numFmtId="49" fontId="9" fillId="0" borderId="24" xfId="2" applyNumberFormat="1" applyFont="1" applyBorder="1" applyAlignment="1" applyProtection="1">
      <alignment horizontal="center" vertical="center"/>
    </xf>
    <xf numFmtId="0" fontId="9" fillId="0" borderId="0" xfId="0" applyFont="1" applyFill="1"/>
    <xf numFmtId="0" fontId="9" fillId="0" borderId="24" xfId="0" applyFont="1" applyFill="1" applyBorder="1" applyAlignment="1">
      <alignment horizontal="left" vertical="center"/>
    </xf>
    <xf numFmtId="0" fontId="9" fillId="0" borderId="24" xfId="0" applyFont="1" applyFill="1" applyBorder="1"/>
    <xf numFmtId="0" fontId="21" fillId="0" borderId="24" xfId="0" applyFont="1" applyFill="1" applyBorder="1" applyAlignment="1">
      <alignment horizontal="left" vertical="center" wrapText="1"/>
    </xf>
    <xf numFmtId="0" fontId="13" fillId="0" borderId="24" xfId="0" applyFont="1" applyBorder="1" applyAlignment="1">
      <alignment vertical="center"/>
    </xf>
    <xf numFmtId="1" fontId="9" fillId="0" borderId="24" xfId="0" applyNumberFormat="1" applyFont="1" applyFill="1" applyBorder="1" applyAlignment="1">
      <alignment horizontal="center"/>
    </xf>
    <xf numFmtId="0" fontId="13" fillId="0" borderId="24" xfId="0" applyFont="1" applyBorder="1"/>
    <xf numFmtId="4" fontId="25" fillId="0" borderId="24" xfId="2" applyNumberFormat="1" applyFont="1" applyBorder="1" applyAlignment="1" applyProtection="1">
      <alignment horizontal="center" vertical="center"/>
    </xf>
    <xf numFmtId="4" fontId="26" fillId="5" borderId="15" xfId="0" applyNumberFormat="1" applyFont="1" applyFill="1" applyBorder="1" applyAlignment="1">
      <alignment horizontal="center" vertical="center" wrapText="1"/>
    </xf>
    <xf numFmtId="4" fontId="27" fillId="5" borderId="24" xfId="0" applyNumberFormat="1" applyFont="1" applyFill="1" applyBorder="1" applyAlignment="1">
      <alignment horizontal="center" vertical="center" wrapText="1"/>
    </xf>
    <xf numFmtId="4" fontId="25" fillId="5" borderId="24" xfId="0" applyNumberFormat="1" applyFont="1" applyFill="1" applyBorder="1" applyAlignment="1">
      <alignment horizontal="center" vertical="center" wrapText="1"/>
    </xf>
    <xf numFmtId="0" fontId="25" fillId="0" borderId="24" xfId="1" applyFont="1" applyFill="1" applyBorder="1" applyAlignment="1">
      <alignment horizontal="center" vertical="center"/>
    </xf>
    <xf numFmtId="2" fontId="25" fillId="0" borderId="24" xfId="1" applyNumberFormat="1" applyFont="1" applyFill="1" applyBorder="1" applyAlignment="1">
      <alignment horizontal="center" vertical="center"/>
    </xf>
    <xf numFmtId="0" fontId="27" fillId="0" borderId="24" xfId="1" applyFont="1" applyFill="1" applyBorder="1" applyAlignment="1">
      <alignment horizontal="center" vertical="center"/>
    </xf>
    <xf numFmtId="2" fontId="25" fillId="0" borderId="24" xfId="2" applyNumberFormat="1" applyFont="1" applyBorder="1" applyAlignment="1" applyProtection="1">
      <alignment horizontal="center" vertical="center"/>
    </xf>
    <xf numFmtId="4" fontId="10" fillId="0" borderId="24" xfId="2" applyNumberFormat="1" applyFont="1" applyBorder="1" applyAlignment="1" applyProtection="1">
      <alignment horizontal="center" vertical="center"/>
    </xf>
    <xf numFmtId="4" fontId="25" fillId="0" borderId="24" xfId="2" applyNumberFormat="1" applyFont="1" applyFill="1" applyBorder="1" applyAlignment="1" applyProtection="1">
      <alignment horizontal="center" vertical="center"/>
    </xf>
    <xf numFmtId="4" fontId="25" fillId="0" borderId="24" xfId="0" applyNumberFormat="1" applyFont="1" applyFill="1" applyBorder="1" applyAlignment="1">
      <alignment horizontal="center" vertical="center" wrapText="1"/>
    </xf>
    <xf numFmtId="0" fontId="7" fillId="0" borderId="24" xfId="2" applyFont="1" applyBorder="1" applyAlignment="1" applyProtection="1">
      <alignment horizontal="center" vertical="center"/>
    </xf>
    <xf numFmtId="0" fontId="7" fillId="0" borderId="24" xfId="0" applyFont="1" applyBorder="1" applyAlignment="1">
      <alignment horizontal="center" vertical="center"/>
    </xf>
    <xf numFmtId="4" fontId="7" fillId="0" borderId="24" xfId="2" applyNumberFormat="1" applyFont="1" applyBorder="1" applyAlignment="1" applyProtection="1">
      <alignment horizontal="center" vertical="center"/>
    </xf>
    <xf numFmtId="17" fontId="28" fillId="0" borderId="0" xfId="0" applyNumberFormat="1" applyFont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28" xfId="1" applyFont="1" applyBorder="1" applyAlignment="1">
      <alignment horizontal="center" vertical="center" textRotation="90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12">
    <cellStyle name="Excel Built-in Explanatory Text" xfId="6"/>
    <cellStyle name="Excel Built-in Output" xfId="5"/>
    <cellStyle name="Excel Built-in Output 2" xfId="10"/>
    <cellStyle name="Hiperlink" xfId="4" builtinId="8"/>
    <cellStyle name="Hiperlink 2" xfId="9"/>
    <cellStyle name="Moeda" xfId="3" builtinId="4"/>
    <cellStyle name="Moeda 2" xfId="8"/>
    <cellStyle name="Normal" xfId="0" builtinId="0"/>
    <cellStyle name="Normal 2" xfId="7"/>
    <cellStyle name="Normal 3" xfId="11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file:///C:/Users/anivaldo/AppData/Roaming/Microsoft/Excel/2022/10%20Outubro/Notas%20Fiscais/NF%20516064%20Jabu%20SA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file:///C:/Users/anivaldo/AppData/Roaming/Microsoft/Excel/2022/09%20Setembro/Notas%20Fiscais/NF01%20Jabu%20SA.pdf" TargetMode="External"/><Relationship Id="rId1" Type="http://schemas.openxmlformats.org/officeDocument/2006/relationships/hyperlink" Target="file:///C:/Users/anivaldo/AppData/Roaming/Microsoft/Excel/2022/10%20Outubro/Notas%20Fiscais/NF01%20Jabu%20SA.pdf" TargetMode="External"/><Relationship Id="rId6" Type="http://schemas.openxmlformats.org/officeDocument/2006/relationships/hyperlink" Target="file:///C:/Users/anivaldo/AppData/Roaming/Microsoft/Excel/2022/10%20Outubro/Notas%20Fiscais/NF01%20Jabu%20SA.pdf" TargetMode="External"/><Relationship Id="rId5" Type="http://schemas.openxmlformats.org/officeDocument/2006/relationships/hyperlink" Target="file:///C:/Users/anivaldo/AppData/Roaming/2022/10%20Outubro/Notas%20Fiscais/NF%20516064%20Jabu%20SA.pdf" TargetMode="External"/><Relationship Id="rId4" Type="http://schemas.openxmlformats.org/officeDocument/2006/relationships/hyperlink" Target="file:///C:/Users/anivaldo/Downloads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"/>
  <sheetViews>
    <sheetView tabSelected="1" topLeftCell="B88" zoomScale="90" zoomScaleNormal="90" workbookViewId="0">
      <selection activeCell="E23" sqref="E23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style="27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6" max="16" width="12.85546875" customWidth="1"/>
  </cols>
  <sheetData>
    <row r="1" spans="1:15" ht="17.100000000000001" customHeight="1" x14ac:dyDescent="0.25">
      <c r="A1" s="167" t="s">
        <v>0</v>
      </c>
      <c r="B1" s="168"/>
      <c r="C1" s="168"/>
      <c r="D1" s="168"/>
      <c r="E1" s="168"/>
      <c r="F1" s="168"/>
      <c r="G1" s="168"/>
      <c r="H1" s="168"/>
      <c r="I1" s="169"/>
      <c r="J1" s="176" t="s">
        <v>1</v>
      </c>
      <c r="K1" s="176"/>
      <c r="L1" s="176"/>
      <c r="M1" s="176"/>
      <c r="N1" s="176"/>
      <c r="O1" s="177"/>
    </row>
    <row r="2" spans="1:15" ht="17.100000000000001" customHeight="1" x14ac:dyDescent="0.25">
      <c r="A2" s="170"/>
      <c r="B2" s="171"/>
      <c r="C2" s="171"/>
      <c r="D2" s="171"/>
      <c r="E2" s="171"/>
      <c r="F2" s="171"/>
      <c r="G2" s="171"/>
      <c r="H2" s="171"/>
      <c r="I2" s="172"/>
      <c r="J2" s="178" t="s">
        <v>2</v>
      </c>
      <c r="K2" s="178"/>
      <c r="L2" s="178"/>
      <c r="M2" s="178"/>
      <c r="N2" s="178"/>
      <c r="O2" s="179"/>
    </row>
    <row r="3" spans="1:15" ht="17.100000000000001" customHeight="1" x14ac:dyDescent="0.25">
      <c r="A3" s="170"/>
      <c r="B3" s="171"/>
      <c r="C3" s="171"/>
      <c r="D3" s="171"/>
      <c r="E3" s="171"/>
      <c r="F3" s="171"/>
      <c r="G3" s="171"/>
      <c r="H3" s="171"/>
      <c r="I3" s="172"/>
      <c r="J3" s="178" t="s">
        <v>3</v>
      </c>
      <c r="K3" s="178"/>
      <c r="L3" s="178"/>
      <c r="M3" s="178" t="s">
        <v>4</v>
      </c>
      <c r="N3" s="178"/>
      <c r="O3" s="1"/>
    </row>
    <row r="4" spans="1:15" ht="17.100000000000001" customHeight="1" x14ac:dyDescent="0.25">
      <c r="A4" s="170"/>
      <c r="B4" s="171"/>
      <c r="C4" s="171"/>
      <c r="D4" s="171"/>
      <c r="E4" s="171"/>
      <c r="F4" s="171"/>
      <c r="G4" s="171"/>
      <c r="H4" s="171"/>
      <c r="I4" s="172"/>
      <c r="J4" s="178" t="s">
        <v>5</v>
      </c>
      <c r="K4" s="178"/>
      <c r="L4" s="178"/>
      <c r="M4" s="178" t="s">
        <v>6</v>
      </c>
      <c r="N4" s="178"/>
      <c r="O4" s="2"/>
    </row>
    <row r="5" spans="1:15" ht="17.100000000000001" customHeight="1" x14ac:dyDescent="0.25">
      <c r="A5" s="170"/>
      <c r="B5" s="171"/>
      <c r="C5" s="171"/>
      <c r="D5" s="171"/>
      <c r="E5" s="171"/>
      <c r="F5" s="171"/>
      <c r="G5" s="171"/>
      <c r="H5" s="171"/>
      <c r="I5" s="172"/>
      <c r="J5" s="178" t="s">
        <v>7</v>
      </c>
      <c r="K5" s="178"/>
      <c r="L5" s="178"/>
      <c r="M5" s="178" t="s">
        <v>8</v>
      </c>
      <c r="N5" s="178"/>
      <c r="O5" s="1"/>
    </row>
    <row r="6" spans="1:15" ht="17.100000000000001" customHeight="1" x14ac:dyDescent="0.25">
      <c r="A6" s="173"/>
      <c r="B6" s="174"/>
      <c r="C6" s="174"/>
      <c r="D6" s="174"/>
      <c r="E6" s="174"/>
      <c r="F6" s="174"/>
      <c r="G6" s="174"/>
      <c r="H6" s="174"/>
      <c r="I6" s="175"/>
      <c r="J6" s="178" t="s">
        <v>9</v>
      </c>
      <c r="K6" s="178"/>
      <c r="L6" s="178"/>
      <c r="M6" s="178" t="s">
        <v>10</v>
      </c>
      <c r="N6" s="178"/>
      <c r="O6" s="1"/>
    </row>
    <row r="7" spans="1:15" ht="17.100000000000001" customHeight="1" x14ac:dyDescent="0.25">
      <c r="A7" s="180" t="s">
        <v>11</v>
      </c>
      <c r="B7" s="181"/>
      <c r="C7" s="181"/>
      <c r="D7" s="181"/>
      <c r="E7" s="181"/>
      <c r="F7" s="181"/>
      <c r="G7" s="181"/>
      <c r="H7" s="181"/>
      <c r="I7" s="182"/>
      <c r="J7" s="183" t="s">
        <v>51</v>
      </c>
      <c r="K7" s="184"/>
      <c r="L7" s="184"/>
      <c r="M7" s="184"/>
      <c r="N7" s="185"/>
      <c r="O7" s="106" t="s">
        <v>12</v>
      </c>
    </row>
    <row r="8" spans="1:15" ht="17.100000000000001" customHeight="1" x14ac:dyDescent="0.25">
      <c r="A8" s="139" t="s">
        <v>114</v>
      </c>
      <c r="B8" s="118"/>
      <c r="C8" s="118"/>
      <c r="D8" s="118"/>
      <c r="E8" s="118"/>
      <c r="F8" s="118"/>
      <c r="G8" s="118"/>
      <c r="H8" s="118"/>
      <c r="I8" s="119"/>
      <c r="J8" s="183" t="s">
        <v>13</v>
      </c>
      <c r="K8" s="184"/>
      <c r="L8" s="184"/>
      <c r="M8" s="184"/>
      <c r="N8" s="185"/>
      <c r="O8" s="106"/>
    </row>
    <row r="9" spans="1:15" ht="17.100000000000001" customHeight="1" x14ac:dyDescent="0.25">
      <c r="A9" s="120"/>
      <c r="B9" s="117"/>
      <c r="C9" s="117"/>
      <c r="D9" s="117"/>
      <c r="E9" s="117"/>
      <c r="F9" s="117"/>
      <c r="G9" s="117"/>
      <c r="H9" s="117"/>
      <c r="I9" s="121"/>
      <c r="J9" s="183" t="s">
        <v>14</v>
      </c>
      <c r="K9" s="184"/>
      <c r="L9" s="184"/>
      <c r="M9" s="184"/>
      <c r="N9" s="185"/>
      <c r="O9" s="106"/>
    </row>
    <row r="10" spans="1:15" ht="17.100000000000001" customHeight="1" x14ac:dyDescent="0.25">
      <c r="A10" s="120"/>
      <c r="B10" s="117"/>
      <c r="C10" s="117"/>
      <c r="D10" s="117"/>
      <c r="E10" s="117"/>
      <c r="F10" s="117"/>
      <c r="G10" s="117"/>
      <c r="H10" s="117"/>
      <c r="I10" s="121"/>
      <c r="J10" s="183" t="s">
        <v>15</v>
      </c>
      <c r="K10" s="184"/>
      <c r="L10" s="184"/>
      <c r="M10" s="184"/>
      <c r="N10" s="185"/>
      <c r="O10" s="106"/>
    </row>
    <row r="11" spans="1:15" ht="17.100000000000001" customHeight="1" x14ac:dyDescent="0.25">
      <c r="A11" s="120"/>
      <c r="B11" s="117"/>
      <c r="C11" s="117"/>
      <c r="D11" s="117"/>
      <c r="E11" s="117"/>
      <c r="F11" s="117"/>
      <c r="G11" s="117"/>
      <c r="H11" s="117"/>
      <c r="I11" s="121"/>
      <c r="J11" s="183" t="s">
        <v>50</v>
      </c>
      <c r="K11" s="184"/>
      <c r="L11" s="184"/>
      <c r="M11" s="184"/>
      <c r="N11" s="185"/>
      <c r="O11" s="106"/>
    </row>
    <row r="12" spans="1:15" ht="17.100000000000001" customHeight="1" x14ac:dyDescent="0.25">
      <c r="A12" s="120"/>
      <c r="B12" s="117"/>
      <c r="C12" s="117"/>
      <c r="D12" s="117"/>
      <c r="E12" s="117"/>
      <c r="F12" s="117"/>
      <c r="G12" s="117"/>
      <c r="H12" s="117"/>
      <c r="I12" s="121"/>
      <c r="J12" s="183" t="s">
        <v>92</v>
      </c>
      <c r="K12" s="184"/>
      <c r="L12" s="184"/>
      <c r="M12" s="184"/>
      <c r="N12" s="185"/>
      <c r="O12" s="106"/>
    </row>
    <row r="13" spans="1:15" ht="17.100000000000001" customHeight="1" x14ac:dyDescent="0.25">
      <c r="A13" s="122"/>
      <c r="B13" s="123"/>
      <c r="C13" s="123"/>
      <c r="D13" s="123"/>
      <c r="E13" s="123"/>
      <c r="F13" s="123"/>
      <c r="G13" s="123"/>
      <c r="H13" s="123"/>
      <c r="I13" s="124"/>
      <c r="J13" s="183" t="s">
        <v>109</v>
      </c>
      <c r="K13" s="184"/>
      <c r="L13" s="184"/>
      <c r="M13" s="184"/>
      <c r="N13" s="185"/>
      <c r="O13" s="106"/>
    </row>
    <row r="14" spans="1:15" ht="17.100000000000001" customHeight="1" x14ac:dyDescent="0.25">
      <c r="A14" s="93" t="s">
        <v>16</v>
      </c>
      <c r="B14" s="98" t="s">
        <v>17</v>
      </c>
      <c r="C14" s="98" t="s">
        <v>18</v>
      </c>
      <c r="D14" s="98" t="s">
        <v>19</v>
      </c>
      <c r="E14" s="98" t="s">
        <v>20</v>
      </c>
      <c r="F14" s="98" t="s">
        <v>21</v>
      </c>
      <c r="G14" s="98" t="s">
        <v>22</v>
      </c>
      <c r="H14" s="96" t="s">
        <v>23</v>
      </c>
      <c r="I14" s="96"/>
      <c r="J14" s="96"/>
      <c r="K14" s="96"/>
      <c r="L14" s="97"/>
      <c r="M14" s="98" t="s">
        <v>24</v>
      </c>
      <c r="N14" s="98" t="s">
        <v>25</v>
      </c>
      <c r="O14" s="106" t="s">
        <v>26</v>
      </c>
    </row>
    <row r="15" spans="1:15" ht="17.100000000000001" customHeight="1" x14ac:dyDescent="0.25">
      <c r="A15" s="94"/>
      <c r="B15" s="99"/>
      <c r="C15" s="99"/>
      <c r="D15" s="99"/>
      <c r="E15" s="99"/>
      <c r="F15" s="99"/>
      <c r="G15" s="99"/>
      <c r="H15" s="4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99"/>
      <c r="N15" s="99"/>
      <c r="O15" s="106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54"/>
      <c r="I16" s="9"/>
      <c r="J16" s="9"/>
      <c r="K16" s="9"/>
      <c r="L16" s="9"/>
      <c r="M16" s="21">
        <f>SUM(M17:M33)</f>
        <v>56837.744375755188</v>
      </c>
      <c r="N16" s="10">
        <f>SUM(N17:N33)</f>
        <v>1.300393843595943</v>
      </c>
      <c r="O16" s="106"/>
    </row>
    <row r="17" spans="1:15" ht="26.25" customHeight="1" x14ac:dyDescent="0.25">
      <c r="A17" s="17" t="s">
        <v>32</v>
      </c>
      <c r="B17" s="17" t="s">
        <v>33</v>
      </c>
      <c r="C17" s="11">
        <v>90776</v>
      </c>
      <c r="D17" s="11" t="s">
        <v>34</v>
      </c>
      <c r="E17" s="20" t="s">
        <v>62</v>
      </c>
      <c r="F17" s="13" t="s">
        <v>35</v>
      </c>
      <c r="G17" s="17">
        <v>180</v>
      </c>
      <c r="H17" s="76">
        <v>49.57</v>
      </c>
      <c r="I17" s="14">
        <f>H17*0.2232</f>
        <v>11.064024</v>
      </c>
      <c r="J17" s="14">
        <f>H17+I17</f>
        <v>60.634023999999997</v>
      </c>
      <c r="K17" s="14">
        <f>J17*(0.03%)</f>
        <v>1.8190207199999999E-2</v>
      </c>
      <c r="L17" s="14">
        <f>J17-K17</f>
        <v>60.615833792799997</v>
      </c>
      <c r="M17" s="14">
        <f>L17*G17</f>
        <v>10910.850082703999</v>
      </c>
      <c r="N17" s="14">
        <f>M17/M$16</f>
        <v>0.19196486775710528</v>
      </c>
      <c r="O17" s="107"/>
    </row>
    <row r="18" spans="1:15" ht="26.25" customHeight="1" x14ac:dyDescent="0.25">
      <c r="A18" s="17" t="s">
        <v>65</v>
      </c>
      <c r="B18" s="17" t="s">
        <v>33</v>
      </c>
      <c r="C18" s="11">
        <v>88267</v>
      </c>
      <c r="D18" s="11" t="s">
        <v>34</v>
      </c>
      <c r="E18" s="20" t="s">
        <v>55</v>
      </c>
      <c r="F18" s="13" t="s">
        <v>35</v>
      </c>
      <c r="G18" s="17">
        <v>180</v>
      </c>
      <c r="H18" s="76">
        <v>38.36</v>
      </c>
      <c r="I18" s="14">
        <f t="shared" ref="I18:I33" si="0">H18*0.2232</f>
        <v>8.5619519999999998</v>
      </c>
      <c r="J18" s="14">
        <f t="shared" ref="J18:J33" si="1">H18+I18</f>
        <v>46.921951999999997</v>
      </c>
      <c r="K18" s="14">
        <f t="shared" ref="K18:K33" si="2">J18*(0.03%)</f>
        <v>1.4076585599999998E-2</v>
      </c>
      <c r="L18" s="14">
        <f t="shared" ref="L18:L33" si="3">J18-K18</f>
        <v>46.907875414399996</v>
      </c>
      <c r="M18" s="14">
        <f t="shared" ref="M18:M33" si="4">L18*G18</f>
        <v>8443.4175745920002</v>
      </c>
      <c r="N18" s="14">
        <f t="shared" ref="N18:N33" si="5">M18/M$16</f>
        <v>0.14855300236357796</v>
      </c>
      <c r="O18" s="107"/>
    </row>
    <row r="19" spans="1:15" ht="26.25" customHeight="1" x14ac:dyDescent="0.25">
      <c r="A19" s="17" t="s">
        <v>66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180</v>
      </c>
      <c r="H19" s="76">
        <v>38.36</v>
      </c>
      <c r="I19" s="14">
        <f t="shared" si="0"/>
        <v>8.5619519999999998</v>
      </c>
      <c r="J19" s="14">
        <f t="shared" si="1"/>
        <v>46.921951999999997</v>
      </c>
      <c r="K19" s="14">
        <f t="shared" si="2"/>
        <v>1.4076585599999998E-2</v>
      </c>
      <c r="L19" s="14">
        <f t="shared" si="3"/>
        <v>46.907875414399996</v>
      </c>
      <c r="M19" s="14">
        <f t="shared" si="4"/>
        <v>8443.4175745920002</v>
      </c>
      <c r="N19" s="14">
        <f t="shared" si="5"/>
        <v>0.14855300236357796</v>
      </c>
      <c r="O19" s="107"/>
    </row>
    <row r="20" spans="1:15" ht="26.25" customHeight="1" x14ac:dyDescent="0.25">
      <c r="A20" s="164" t="s">
        <v>247</v>
      </c>
      <c r="B20" s="165"/>
      <c r="C20" s="165"/>
      <c r="D20" s="165"/>
      <c r="E20" s="166"/>
      <c r="F20" s="13"/>
      <c r="G20" s="88">
        <v>-174</v>
      </c>
      <c r="H20" s="84">
        <v>36.11</v>
      </c>
      <c r="I20" s="89">
        <f t="shared" si="0"/>
        <v>8.0597519999999996</v>
      </c>
      <c r="J20" s="89">
        <f t="shared" si="1"/>
        <v>44.169752000000003</v>
      </c>
      <c r="K20" s="89">
        <f t="shared" si="2"/>
        <v>1.32509256E-2</v>
      </c>
      <c r="L20" s="89">
        <f t="shared" si="3"/>
        <v>44.156501074400005</v>
      </c>
      <c r="M20" s="89">
        <f t="shared" si="4"/>
        <v>-7683.2311869456007</v>
      </c>
      <c r="N20" s="14"/>
      <c r="O20" s="107"/>
    </row>
    <row r="21" spans="1:15" ht="26.25" customHeight="1" x14ac:dyDescent="0.25">
      <c r="A21" s="164" t="s">
        <v>246</v>
      </c>
      <c r="B21" s="165"/>
      <c r="C21" s="165"/>
      <c r="D21" s="165"/>
      <c r="E21" s="166"/>
      <c r="F21" s="13"/>
      <c r="G21" s="88">
        <f>-18</f>
        <v>-18</v>
      </c>
      <c r="H21" s="84">
        <v>38.36</v>
      </c>
      <c r="I21" s="89">
        <f t="shared" ref="I21" si="6">H21*0.2232</f>
        <v>8.5619519999999998</v>
      </c>
      <c r="J21" s="89">
        <f t="shared" ref="J21" si="7">H21+I21</f>
        <v>46.921951999999997</v>
      </c>
      <c r="K21" s="89">
        <f t="shared" ref="K21" si="8">J21*(0.03%)</f>
        <v>1.4076585599999998E-2</v>
      </c>
      <c r="L21" s="89">
        <f t="shared" ref="L21" si="9">J21-K21</f>
        <v>46.907875414399996</v>
      </c>
      <c r="M21" s="89">
        <f t="shared" ref="M21" si="10">L21*G21</f>
        <v>-844.34175745919993</v>
      </c>
      <c r="N21" s="14"/>
      <c r="O21" s="107"/>
    </row>
    <row r="22" spans="1:15" ht="26.25" customHeight="1" x14ac:dyDescent="0.25">
      <c r="A22" s="17" t="s">
        <v>67</v>
      </c>
      <c r="B22" s="17" t="s">
        <v>33</v>
      </c>
      <c r="C22" s="11">
        <v>88248</v>
      </c>
      <c r="D22" s="11" t="s">
        <v>34</v>
      </c>
      <c r="E22" s="20" t="s">
        <v>57</v>
      </c>
      <c r="F22" s="13" t="s">
        <v>35</v>
      </c>
      <c r="G22" s="17">
        <v>180</v>
      </c>
      <c r="H22" s="76">
        <v>31.51</v>
      </c>
      <c r="I22" s="14">
        <f t="shared" si="0"/>
        <v>7.0330320000000004</v>
      </c>
      <c r="J22" s="14">
        <f t="shared" si="1"/>
        <v>38.543032000000004</v>
      </c>
      <c r="K22" s="14">
        <f t="shared" si="2"/>
        <v>1.1562909600000001E-2</v>
      </c>
      <c r="L22" s="14">
        <f t="shared" si="3"/>
        <v>38.531469090400002</v>
      </c>
      <c r="M22" s="14">
        <f t="shared" si="4"/>
        <v>6935.6644362719999</v>
      </c>
      <c r="N22" s="14">
        <f t="shared" si="5"/>
        <v>0.12202568051293904</v>
      </c>
      <c r="O22" s="107"/>
    </row>
    <row r="23" spans="1:15" ht="26.25" customHeight="1" x14ac:dyDescent="0.25">
      <c r="A23" s="17" t="s">
        <v>68</v>
      </c>
      <c r="B23" s="17" t="s">
        <v>33</v>
      </c>
      <c r="C23" s="11" t="s">
        <v>56</v>
      </c>
      <c r="D23" s="11" t="s">
        <v>34</v>
      </c>
      <c r="E23" s="20" t="s">
        <v>57</v>
      </c>
      <c r="F23" s="13" t="s">
        <v>35</v>
      </c>
      <c r="G23" s="17">
        <v>40</v>
      </c>
      <c r="H23" s="76">
        <v>31.51</v>
      </c>
      <c r="I23" s="14">
        <f t="shared" si="0"/>
        <v>7.0330320000000004</v>
      </c>
      <c r="J23" s="14">
        <f t="shared" si="1"/>
        <v>38.543032000000004</v>
      </c>
      <c r="K23" s="14">
        <f t="shared" si="2"/>
        <v>1.1562909600000001E-2</v>
      </c>
      <c r="L23" s="14">
        <f t="shared" si="3"/>
        <v>38.531469090400002</v>
      </c>
      <c r="M23" s="14">
        <f t="shared" si="4"/>
        <v>1541.2587636160001</v>
      </c>
      <c r="N23" s="14">
        <f t="shared" si="5"/>
        <v>2.7116817891764233E-2</v>
      </c>
      <c r="O23" s="107"/>
    </row>
    <row r="24" spans="1:15" ht="26.25" customHeight="1" x14ac:dyDescent="0.25">
      <c r="A24" s="17" t="s">
        <v>69</v>
      </c>
      <c r="B24" s="17" t="s">
        <v>33</v>
      </c>
      <c r="C24" s="11">
        <v>88309</v>
      </c>
      <c r="D24" s="11" t="s">
        <v>34</v>
      </c>
      <c r="E24" s="20" t="s">
        <v>59</v>
      </c>
      <c r="F24" s="13" t="s">
        <v>35</v>
      </c>
      <c r="G24" s="17">
        <v>180</v>
      </c>
      <c r="H24" s="76">
        <v>34.08</v>
      </c>
      <c r="I24" s="14">
        <f t="shared" si="0"/>
        <v>7.6066560000000001</v>
      </c>
      <c r="J24" s="14">
        <f t="shared" si="1"/>
        <v>41.686655999999999</v>
      </c>
      <c r="K24" s="14">
        <f t="shared" si="2"/>
        <v>1.2505996799999999E-2</v>
      </c>
      <c r="L24" s="14">
        <f t="shared" si="3"/>
        <v>41.674150003199998</v>
      </c>
      <c r="M24" s="14">
        <f t="shared" si="4"/>
        <v>7501.3470005759991</v>
      </c>
      <c r="N24" s="14">
        <f t="shared" si="5"/>
        <v>0.13197826695909115</v>
      </c>
      <c r="O24" s="107"/>
    </row>
    <row r="25" spans="1:15" ht="26.25" customHeight="1" x14ac:dyDescent="0.25">
      <c r="A25" s="17" t="s">
        <v>70</v>
      </c>
      <c r="B25" s="17" t="s">
        <v>33</v>
      </c>
      <c r="C25" s="11" t="s">
        <v>58</v>
      </c>
      <c r="D25" s="11" t="s">
        <v>34</v>
      </c>
      <c r="E25" s="20" t="s">
        <v>59</v>
      </c>
      <c r="F25" s="13" t="s">
        <v>35</v>
      </c>
      <c r="G25" s="17">
        <v>180</v>
      </c>
      <c r="H25" s="76">
        <v>34.08</v>
      </c>
      <c r="I25" s="14">
        <f t="shared" si="0"/>
        <v>7.6066560000000001</v>
      </c>
      <c r="J25" s="14">
        <f t="shared" si="1"/>
        <v>41.686655999999999</v>
      </c>
      <c r="K25" s="14">
        <f t="shared" si="2"/>
        <v>1.2505996799999999E-2</v>
      </c>
      <c r="L25" s="14">
        <f t="shared" si="3"/>
        <v>41.674150003199998</v>
      </c>
      <c r="M25" s="14">
        <f t="shared" si="4"/>
        <v>7501.3470005759991</v>
      </c>
      <c r="N25" s="14">
        <f t="shared" si="5"/>
        <v>0.13197826695909115</v>
      </c>
      <c r="O25" s="107"/>
    </row>
    <row r="26" spans="1:15" ht="26.25" customHeight="1" x14ac:dyDescent="0.25">
      <c r="A26" s="164" t="s">
        <v>245</v>
      </c>
      <c r="B26" s="165"/>
      <c r="C26" s="165"/>
      <c r="D26" s="165"/>
      <c r="E26" s="166"/>
      <c r="F26" s="13" t="s">
        <v>35</v>
      </c>
      <c r="G26" s="88">
        <v>-18</v>
      </c>
      <c r="H26" s="84">
        <v>34.08</v>
      </c>
      <c r="I26" s="89">
        <f t="shared" ref="I26" si="11">H26*0.2232</f>
        <v>7.6066560000000001</v>
      </c>
      <c r="J26" s="89">
        <f t="shared" ref="J26" si="12">H26+I26</f>
        <v>41.686655999999999</v>
      </c>
      <c r="K26" s="89">
        <f t="shared" ref="K26" si="13">J26*(0.03%)</f>
        <v>1.2505996799999999E-2</v>
      </c>
      <c r="L26" s="89">
        <f t="shared" ref="L26" si="14">J26-K26</f>
        <v>41.674150003199998</v>
      </c>
      <c r="M26" s="89">
        <f t="shared" ref="M26" si="15">L26*G26</f>
        <v>-750.13470005759996</v>
      </c>
      <c r="N26" s="89"/>
      <c r="O26" s="107"/>
    </row>
    <row r="27" spans="1:15" ht="26.25" customHeight="1" x14ac:dyDescent="0.25">
      <c r="A27" s="17" t="s">
        <v>71</v>
      </c>
      <c r="B27" s="17" t="s">
        <v>33</v>
      </c>
      <c r="C27" s="11">
        <v>88242</v>
      </c>
      <c r="D27" s="11" t="s">
        <v>34</v>
      </c>
      <c r="E27" s="20" t="s">
        <v>61</v>
      </c>
      <c r="F27" s="13" t="s">
        <v>35</v>
      </c>
      <c r="G27" s="17">
        <v>180</v>
      </c>
      <c r="H27" s="76">
        <v>32.08</v>
      </c>
      <c r="I27" s="14">
        <f t="shared" si="0"/>
        <v>7.1602559999999995</v>
      </c>
      <c r="J27" s="14">
        <f t="shared" si="1"/>
        <v>39.240255999999995</v>
      </c>
      <c r="K27" s="14">
        <f t="shared" si="2"/>
        <v>1.1772076799999998E-2</v>
      </c>
      <c r="L27" s="14">
        <f t="shared" si="3"/>
        <v>39.228483923199995</v>
      </c>
      <c r="M27" s="14">
        <f t="shared" si="4"/>
        <v>7061.127106175999</v>
      </c>
      <c r="N27" s="14">
        <f t="shared" si="5"/>
        <v>0.12423306349905057</v>
      </c>
      <c r="O27" s="107"/>
    </row>
    <row r="28" spans="1:15" ht="26.25" customHeight="1" x14ac:dyDescent="0.25">
      <c r="A28" s="17" t="s">
        <v>72</v>
      </c>
      <c r="B28" s="17" t="s">
        <v>33</v>
      </c>
      <c r="C28" s="11" t="s">
        <v>60</v>
      </c>
      <c r="D28" s="11" t="s">
        <v>34</v>
      </c>
      <c r="E28" s="20" t="s">
        <v>61</v>
      </c>
      <c r="F28" s="13" t="s">
        <v>35</v>
      </c>
      <c r="G28" s="17">
        <v>180</v>
      </c>
      <c r="H28" s="76">
        <v>32.08</v>
      </c>
      <c r="I28" s="14">
        <f t="shared" si="0"/>
        <v>7.1602559999999995</v>
      </c>
      <c r="J28" s="14">
        <f t="shared" si="1"/>
        <v>39.240255999999995</v>
      </c>
      <c r="K28" s="14">
        <f t="shared" si="2"/>
        <v>1.1772076799999998E-2</v>
      </c>
      <c r="L28" s="14">
        <f t="shared" si="3"/>
        <v>39.228483923199995</v>
      </c>
      <c r="M28" s="14">
        <f t="shared" si="4"/>
        <v>7061.127106175999</v>
      </c>
      <c r="N28" s="14">
        <f t="shared" si="5"/>
        <v>0.12423306349905057</v>
      </c>
      <c r="O28" s="107"/>
    </row>
    <row r="29" spans="1:15" ht="26.25" customHeight="1" x14ac:dyDescent="0.25">
      <c r="A29" s="17" t="s">
        <v>73</v>
      </c>
      <c r="B29" s="17" t="s">
        <v>33</v>
      </c>
      <c r="C29" s="11" t="s">
        <v>60</v>
      </c>
      <c r="D29" s="11" t="s">
        <v>34</v>
      </c>
      <c r="E29" s="20" t="s">
        <v>61</v>
      </c>
      <c r="F29" s="13" t="s">
        <v>35</v>
      </c>
      <c r="G29" s="17">
        <v>180</v>
      </c>
      <c r="H29" s="76">
        <v>32.08</v>
      </c>
      <c r="I29" s="14">
        <f t="shared" si="0"/>
        <v>7.1602559999999995</v>
      </c>
      <c r="J29" s="14">
        <f t="shared" si="1"/>
        <v>39.240255999999995</v>
      </c>
      <c r="K29" s="14">
        <f t="shared" si="2"/>
        <v>1.1772076799999998E-2</v>
      </c>
      <c r="L29" s="14">
        <f t="shared" si="3"/>
        <v>39.228483923199995</v>
      </c>
      <c r="M29" s="14">
        <f t="shared" si="4"/>
        <v>7061.127106175999</v>
      </c>
      <c r="N29" s="14">
        <f t="shared" si="5"/>
        <v>0.12423306349905057</v>
      </c>
      <c r="O29" s="107"/>
    </row>
    <row r="30" spans="1:15" ht="26.25" customHeight="1" x14ac:dyDescent="0.25">
      <c r="A30" s="164" t="s">
        <v>248</v>
      </c>
      <c r="B30" s="165"/>
      <c r="C30" s="165"/>
      <c r="D30" s="165"/>
      <c r="E30" s="166"/>
      <c r="F30" s="13"/>
      <c r="G30" s="88">
        <v>-156</v>
      </c>
      <c r="H30" s="84">
        <v>30.38</v>
      </c>
      <c r="I30" s="89">
        <f t="shared" si="0"/>
        <v>6.7808159999999997</v>
      </c>
      <c r="J30" s="89">
        <f t="shared" si="1"/>
        <v>37.160815999999997</v>
      </c>
      <c r="K30" s="89">
        <f t="shared" si="2"/>
        <v>1.1148244799999998E-2</v>
      </c>
      <c r="L30" s="89">
        <f t="shared" si="3"/>
        <v>37.149667755199999</v>
      </c>
      <c r="M30" s="89">
        <f t="shared" si="4"/>
        <v>-5795.3481698112</v>
      </c>
      <c r="N30" s="14"/>
      <c r="O30" s="107"/>
    </row>
    <row r="31" spans="1:15" ht="26.25" customHeight="1" x14ac:dyDescent="0.25">
      <c r="A31" s="164" t="s">
        <v>244</v>
      </c>
      <c r="B31" s="165"/>
      <c r="C31" s="165"/>
      <c r="D31" s="165"/>
      <c r="E31" s="166"/>
      <c r="F31" s="87" t="s">
        <v>35</v>
      </c>
      <c r="G31" s="88">
        <f>(-15-36)</f>
        <v>-51</v>
      </c>
      <c r="H31" s="84">
        <v>32.08</v>
      </c>
      <c r="I31" s="89">
        <f t="shared" ref="I31" si="16">H31*0.2232</f>
        <v>7.1602559999999995</v>
      </c>
      <c r="J31" s="89">
        <f t="shared" ref="J31" si="17">H31+I31</f>
        <v>39.240255999999995</v>
      </c>
      <c r="K31" s="89">
        <f t="shared" ref="K31" si="18">J31*(0.03%)</f>
        <v>1.1772076799999998E-2</v>
      </c>
      <c r="L31" s="89">
        <f t="shared" ref="L31" si="19">J31-K31</f>
        <v>39.228483923199995</v>
      </c>
      <c r="M31" s="89">
        <f t="shared" ref="M31" si="20">L31*G31</f>
        <v>-2000.6526800831998</v>
      </c>
      <c r="N31" s="89"/>
      <c r="O31" s="107"/>
    </row>
    <row r="32" spans="1:15" ht="26.25" customHeight="1" x14ac:dyDescent="0.25">
      <c r="A32" s="17" t="s">
        <v>74</v>
      </c>
      <c r="B32" s="17" t="s">
        <v>33</v>
      </c>
      <c r="C32" s="11">
        <v>88241</v>
      </c>
      <c r="D32" s="11" t="s">
        <v>34</v>
      </c>
      <c r="E32" s="12" t="s">
        <v>64</v>
      </c>
      <c r="F32" s="13" t="s">
        <v>35</v>
      </c>
      <c r="G32" s="17">
        <v>40</v>
      </c>
      <c r="H32" s="76">
        <v>29.66</v>
      </c>
      <c r="I32" s="14">
        <f t="shared" si="0"/>
        <v>6.6201120000000007</v>
      </c>
      <c r="J32" s="14">
        <f t="shared" si="1"/>
        <v>36.280112000000003</v>
      </c>
      <c r="K32" s="14">
        <f t="shared" si="2"/>
        <v>1.0884033600000001E-2</v>
      </c>
      <c r="L32" s="14">
        <f t="shared" si="3"/>
        <v>36.269227966400003</v>
      </c>
      <c r="M32" s="14">
        <f t="shared" si="4"/>
        <v>1450.769118656</v>
      </c>
      <c r="N32" s="14">
        <f t="shared" si="5"/>
        <v>2.5524748291644781E-2</v>
      </c>
      <c r="O32" s="107"/>
    </row>
    <row r="33" spans="1:15" ht="26.25" customHeight="1" x14ac:dyDescent="0.25">
      <c r="A33" s="17" t="s">
        <v>75</v>
      </c>
      <c r="B33" s="17" t="s">
        <v>33</v>
      </c>
      <c r="C33" s="11" t="s">
        <v>63</v>
      </c>
      <c r="D33" s="11" t="s">
        <v>34</v>
      </c>
      <c r="E33" s="12" t="s">
        <v>64</v>
      </c>
      <c r="F33" s="13" t="s">
        <v>35</v>
      </c>
      <c r="G33" s="17">
        <v>0</v>
      </c>
      <c r="H33" s="76">
        <v>29.66</v>
      </c>
      <c r="I33" s="14">
        <f t="shared" si="0"/>
        <v>6.6201120000000007</v>
      </c>
      <c r="J33" s="14">
        <f t="shared" si="1"/>
        <v>36.280112000000003</v>
      </c>
      <c r="K33" s="14">
        <f t="shared" si="2"/>
        <v>1.0884033600000001E-2</v>
      </c>
      <c r="L33" s="14">
        <f t="shared" si="3"/>
        <v>36.269227966400003</v>
      </c>
      <c r="M33" s="14">
        <f t="shared" si="4"/>
        <v>0</v>
      </c>
      <c r="N33" s="14">
        <f t="shared" si="5"/>
        <v>0</v>
      </c>
      <c r="O33" s="107"/>
    </row>
    <row r="34" spans="1:15" x14ac:dyDescent="0.25">
      <c r="A34" s="93" t="s">
        <v>16</v>
      </c>
      <c r="B34" s="98" t="s">
        <v>17</v>
      </c>
      <c r="C34" s="98" t="s">
        <v>18</v>
      </c>
      <c r="D34" s="98" t="s">
        <v>19</v>
      </c>
      <c r="E34" s="98" t="s">
        <v>20</v>
      </c>
      <c r="F34" s="98" t="s">
        <v>21</v>
      </c>
      <c r="G34" s="98" t="s">
        <v>22</v>
      </c>
      <c r="H34" s="96" t="s">
        <v>23</v>
      </c>
      <c r="I34" s="96"/>
      <c r="J34" s="96"/>
      <c r="K34" s="96"/>
      <c r="L34" s="97"/>
      <c r="M34" s="98" t="s">
        <v>24</v>
      </c>
      <c r="N34" s="98" t="s">
        <v>25</v>
      </c>
      <c r="O34" s="107"/>
    </row>
    <row r="35" spans="1:15" ht="17.100000000000001" customHeight="1" x14ac:dyDescent="0.25">
      <c r="A35" s="94"/>
      <c r="B35" s="99"/>
      <c r="C35" s="99"/>
      <c r="D35" s="99"/>
      <c r="E35" s="99"/>
      <c r="F35" s="99"/>
      <c r="G35" s="99"/>
      <c r="H35" s="4" t="s">
        <v>27</v>
      </c>
      <c r="I35" s="25" t="s">
        <v>36</v>
      </c>
      <c r="J35" s="3" t="s">
        <v>29</v>
      </c>
      <c r="K35" s="4" t="s">
        <v>52</v>
      </c>
      <c r="L35" s="3" t="s">
        <v>30</v>
      </c>
      <c r="M35" s="99"/>
      <c r="N35" s="99"/>
      <c r="O35" s="106"/>
    </row>
    <row r="36" spans="1:15" ht="17.100000000000001" customHeight="1" x14ac:dyDescent="0.25">
      <c r="A36" s="15">
        <v>2</v>
      </c>
      <c r="B36" s="100" t="s">
        <v>37</v>
      </c>
      <c r="C36" s="100"/>
      <c r="D36" s="101"/>
      <c r="E36" s="101"/>
      <c r="F36" s="101"/>
      <c r="G36" s="16"/>
      <c r="H36" s="55"/>
      <c r="I36" s="16"/>
      <c r="J36" s="16"/>
      <c r="K36" s="16"/>
      <c r="L36" s="16"/>
      <c r="M36" s="22">
        <f>SUM(M37:M104)</f>
        <v>43500.603447136658</v>
      </c>
      <c r="N36" s="16"/>
      <c r="O36" s="107"/>
    </row>
    <row r="37" spans="1:15" s="42" customFormat="1" ht="15" customHeight="1" x14ac:dyDescent="0.2">
      <c r="A37" s="18" t="s">
        <v>86</v>
      </c>
      <c r="B37" s="18" t="s">
        <v>81</v>
      </c>
      <c r="C37" s="18">
        <v>5318</v>
      </c>
      <c r="D37" s="18" t="s">
        <v>34</v>
      </c>
      <c r="E37" s="24" t="s">
        <v>115</v>
      </c>
      <c r="F37" s="18" t="s">
        <v>116</v>
      </c>
      <c r="G37" s="18">
        <v>36</v>
      </c>
      <c r="H37" s="81">
        <v>22.6</v>
      </c>
      <c r="I37" s="14">
        <f t="shared" ref="I37:I49" si="21">H37*0.1532</f>
        <v>3.4623200000000001</v>
      </c>
      <c r="J37" s="14">
        <f t="shared" ref="J37:J49" si="22">H37+I37</f>
        <v>26.06232</v>
      </c>
      <c r="K37" s="14">
        <f t="shared" ref="K37:K49" si="23">J37*(0.03%)</f>
        <v>7.818696E-3</v>
      </c>
      <c r="L37" s="14">
        <f t="shared" ref="L37:L49" si="24">J37-K37</f>
        <v>26.054501303999999</v>
      </c>
      <c r="M37" s="14">
        <f t="shared" ref="M37:M46" si="25">L37*G37</f>
        <v>937.96204694399989</v>
      </c>
      <c r="N37" s="14">
        <f t="shared" ref="N37:N100" si="26">M37/M36</f>
        <v>2.1562046790542612E-2</v>
      </c>
      <c r="O37" s="107"/>
    </row>
    <row r="38" spans="1:15" s="19" customFormat="1" ht="17.100000000000001" customHeight="1" x14ac:dyDescent="0.2">
      <c r="A38" s="18" t="s">
        <v>95</v>
      </c>
      <c r="B38" s="18" t="s">
        <v>81</v>
      </c>
      <c r="C38" s="18">
        <v>7292</v>
      </c>
      <c r="D38" s="18" t="s">
        <v>34</v>
      </c>
      <c r="E38" s="24" t="s">
        <v>117</v>
      </c>
      <c r="F38" s="18" t="s">
        <v>116</v>
      </c>
      <c r="G38" s="18">
        <f>3.6*7</f>
        <v>25.2</v>
      </c>
      <c r="H38" s="81">
        <v>45.98</v>
      </c>
      <c r="I38" s="14">
        <f t="shared" si="21"/>
        <v>7.044136</v>
      </c>
      <c r="J38" s="14">
        <f t="shared" si="22"/>
        <v>53.024135999999999</v>
      </c>
      <c r="K38" s="14">
        <f t="shared" si="23"/>
        <v>1.59072408E-2</v>
      </c>
      <c r="L38" s="14">
        <f t="shared" si="24"/>
        <v>53.008228759200001</v>
      </c>
      <c r="M38" s="14">
        <f t="shared" si="25"/>
        <v>1335.8073647318399</v>
      </c>
      <c r="N38" s="14">
        <f t="shared" si="26"/>
        <v>1.4241592920353983</v>
      </c>
      <c r="O38" s="107"/>
    </row>
    <row r="39" spans="1:15" s="19" customFormat="1" ht="17.100000000000001" customHeight="1" x14ac:dyDescent="0.2">
      <c r="A39" s="59" t="s">
        <v>87</v>
      </c>
      <c r="B39" s="59" t="s">
        <v>81</v>
      </c>
      <c r="C39" s="59">
        <v>35692</v>
      </c>
      <c r="D39" s="59" t="s">
        <v>34</v>
      </c>
      <c r="E39" s="64" t="s">
        <v>118</v>
      </c>
      <c r="F39" s="59" t="s">
        <v>116</v>
      </c>
      <c r="G39" s="59">
        <f>3*18</f>
        <v>54</v>
      </c>
      <c r="H39" s="82">
        <v>21.12</v>
      </c>
      <c r="I39" s="35">
        <f t="shared" si="21"/>
        <v>3.2355840000000002</v>
      </c>
      <c r="J39" s="35">
        <f t="shared" si="22"/>
        <v>24.355584</v>
      </c>
      <c r="K39" s="35">
        <f t="shared" si="23"/>
        <v>7.3066751999999995E-3</v>
      </c>
      <c r="L39" s="35">
        <f t="shared" si="24"/>
        <v>24.348277324800002</v>
      </c>
      <c r="M39" s="35">
        <f t="shared" si="25"/>
        <v>1314.8069755392</v>
      </c>
      <c r="N39" s="35">
        <f t="shared" si="26"/>
        <v>0.9842788790157212</v>
      </c>
      <c r="O39" s="107"/>
    </row>
    <row r="40" spans="1:15" s="19" customFormat="1" ht="17.100000000000001" customHeight="1" x14ac:dyDescent="0.2">
      <c r="A40" s="18" t="s">
        <v>94</v>
      </c>
      <c r="B40" s="59" t="s">
        <v>81</v>
      </c>
      <c r="C40" s="59">
        <v>35692</v>
      </c>
      <c r="D40" s="59" t="s">
        <v>34</v>
      </c>
      <c r="E40" s="64" t="s">
        <v>120</v>
      </c>
      <c r="F40" s="59" t="s">
        <v>116</v>
      </c>
      <c r="G40" s="59">
        <f>5*18</f>
        <v>90</v>
      </c>
      <c r="H40" s="82">
        <v>21.12</v>
      </c>
      <c r="I40" s="35">
        <f t="shared" si="21"/>
        <v>3.2355840000000002</v>
      </c>
      <c r="J40" s="35">
        <f t="shared" si="22"/>
        <v>24.355584</v>
      </c>
      <c r="K40" s="35">
        <f t="shared" si="23"/>
        <v>7.3066751999999995E-3</v>
      </c>
      <c r="L40" s="35">
        <f t="shared" si="24"/>
        <v>24.348277324800002</v>
      </c>
      <c r="M40" s="35">
        <f t="shared" si="25"/>
        <v>2191.3449592320003</v>
      </c>
      <c r="N40" s="14">
        <f t="shared" si="26"/>
        <v>1.6666666666666667</v>
      </c>
      <c r="O40" s="107"/>
    </row>
    <row r="41" spans="1:15" s="19" customFormat="1" ht="17.100000000000001" customHeight="1" x14ac:dyDescent="0.2">
      <c r="A41" s="59" t="s">
        <v>82</v>
      </c>
      <c r="B41" s="59" t="s">
        <v>81</v>
      </c>
      <c r="C41" s="59">
        <v>35692</v>
      </c>
      <c r="D41" s="59" t="s">
        <v>34</v>
      </c>
      <c r="E41" s="64" t="s">
        <v>121</v>
      </c>
      <c r="F41" s="59" t="s">
        <v>116</v>
      </c>
      <c r="G41" s="59">
        <f>5*18</f>
        <v>90</v>
      </c>
      <c r="H41" s="82">
        <v>21.12</v>
      </c>
      <c r="I41" s="35">
        <f t="shared" si="21"/>
        <v>3.2355840000000002</v>
      </c>
      <c r="J41" s="35">
        <f t="shared" si="22"/>
        <v>24.355584</v>
      </c>
      <c r="K41" s="35">
        <f t="shared" si="23"/>
        <v>7.3066751999999995E-3</v>
      </c>
      <c r="L41" s="35">
        <f t="shared" si="24"/>
        <v>24.348277324800002</v>
      </c>
      <c r="M41" s="35">
        <f t="shared" si="25"/>
        <v>2191.3449592320003</v>
      </c>
      <c r="N41" s="35">
        <f t="shared" si="26"/>
        <v>1</v>
      </c>
      <c r="O41" s="107"/>
    </row>
    <row r="42" spans="1:15" s="19" customFormat="1" ht="17.100000000000001" customHeight="1" x14ac:dyDescent="0.2">
      <c r="A42" s="59" t="s">
        <v>93</v>
      </c>
      <c r="B42" s="59" t="s">
        <v>81</v>
      </c>
      <c r="C42" s="59">
        <v>35692</v>
      </c>
      <c r="D42" s="59" t="s">
        <v>34</v>
      </c>
      <c r="E42" s="64" t="s">
        <v>122</v>
      </c>
      <c r="F42" s="59" t="s">
        <v>116</v>
      </c>
      <c r="G42" s="59">
        <f>3*18</f>
        <v>54</v>
      </c>
      <c r="H42" s="82">
        <v>21.12</v>
      </c>
      <c r="I42" s="35">
        <f t="shared" si="21"/>
        <v>3.2355840000000002</v>
      </c>
      <c r="J42" s="35">
        <f t="shared" si="22"/>
        <v>24.355584</v>
      </c>
      <c r="K42" s="35">
        <f t="shared" si="23"/>
        <v>7.3066751999999995E-3</v>
      </c>
      <c r="L42" s="35">
        <f t="shared" si="24"/>
        <v>24.348277324800002</v>
      </c>
      <c r="M42" s="35">
        <f t="shared" si="25"/>
        <v>1314.8069755392</v>
      </c>
      <c r="N42" s="35">
        <f t="shared" si="26"/>
        <v>0.6</v>
      </c>
      <c r="O42" s="107"/>
    </row>
    <row r="43" spans="1:15" s="42" customFormat="1" ht="15" customHeight="1" x14ac:dyDescent="0.25">
      <c r="A43" s="18" t="s">
        <v>88</v>
      </c>
      <c r="B43" s="18" t="s">
        <v>81</v>
      </c>
      <c r="C43" s="11">
        <v>4791</v>
      </c>
      <c r="D43" s="18" t="s">
        <v>34</v>
      </c>
      <c r="E43" s="65" t="s">
        <v>123</v>
      </c>
      <c r="F43" s="18" t="s">
        <v>101</v>
      </c>
      <c r="G43" s="18">
        <f>2.8*4</f>
        <v>11.2</v>
      </c>
      <c r="H43" s="81">
        <v>52.56</v>
      </c>
      <c r="I43" s="14">
        <f t="shared" si="21"/>
        <v>8.0521919999999998</v>
      </c>
      <c r="J43" s="14">
        <f t="shared" si="22"/>
        <v>60.612192</v>
      </c>
      <c r="K43" s="14">
        <f t="shared" si="23"/>
        <v>1.81836576E-2</v>
      </c>
      <c r="L43" s="14">
        <f t="shared" si="24"/>
        <v>60.594008342400002</v>
      </c>
      <c r="M43" s="14">
        <f t="shared" si="25"/>
        <v>678.65289343487996</v>
      </c>
      <c r="N43" s="35">
        <f t="shared" si="26"/>
        <v>0.51616161616161615</v>
      </c>
      <c r="O43" s="107"/>
    </row>
    <row r="44" spans="1:15" s="19" customFormat="1" ht="15" customHeight="1" x14ac:dyDescent="0.2">
      <c r="A44" s="18" t="s">
        <v>96</v>
      </c>
      <c r="B44" s="18" t="s">
        <v>81</v>
      </c>
      <c r="C44" s="18">
        <v>38122</v>
      </c>
      <c r="D44" s="18" t="s">
        <v>34</v>
      </c>
      <c r="E44" s="66" t="s">
        <v>124</v>
      </c>
      <c r="F44" s="18" t="s">
        <v>116</v>
      </c>
      <c r="G44" s="18">
        <v>36</v>
      </c>
      <c r="H44" s="80">
        <v>21.84</v>
      </c>
      <c r="I44" s="14">
        <f t="shared" si="21"/>
        <v>3.345888</v>
      </c>
      <c r="J44" s="14">
        <f t="shared" si="22"/>
        <v>25.185887999999998</v>
      </c>
      <c r="K44" s="14">
        <f t="shared" si="23"/>
        <v>7.5557663999999986E-3</v>
      </c>
      <c r="L44" s="14">
        <f t="shared" si="24"/>
        <v>25.178332233599999</v>
      </c>
      <c r="M44" s="14">
        <f t="shared" si="25"/>
        <v>906.41996040959998</v>
      </c>
      <c r="N44" s="35">
        <f t="shared" si="26"/>
        <v>1.3356164383561644</v>
      </c>
      <c r="O44" s="107"/>
    </row>
    <row r="45" spans="1:15" s="19" customFormat="1" ht="17.100000000000001" customHeight="1" x14ac:dyDescent="0.2">
      <c r="A45" s="59" t="s">
        <v>89</v>
      </c>
      <c r="B45" s="18" t="s">
        <v>81</v>
      </c>
      <c r="C45" s="11">
        <v>3157</v>
      </c>
      <c r="D45" s="18" t="s">
        <v>111</v>
      </c>
      <c r="E45" s="43" t="s">
        <v>126</v>
      </c>
      <c r="F45" s="18" t="s">
        <v>116</v>
      </c>
      <c r="G45" s="18">
        <f>18*3</f>
        <v>54</v>
      </c>
      <c r="H45" s="80">
        <v>37.659999999999997</v>
      </c>
      <c r="I45" s="14">
        <f t="shared" si="21"/>
        <v>5.7695119999999998</v>
      </c>
      <c r="J45" s="14">
        <f t="shared" si="22"/>
        <v>43.429511999999995</v>
      </c>
      <c r="K45" s="14">
        <f t="shared" si="23"/>
        <v>1.3028853599999998E-2</v>
      </c>
      <c r="L45" s="14">
        <f t="shared" si="24"/>
        <v>43.416483146399997</v>
      </c>
      <c r="M45" s="14">
        <f t="shared" si="25"/>
        <v>2344.4900899055997</v>
      </c>
      <c r="N45" s="35">
        <f t="shared" si="26"/>
        <v>2.5865384615384612</v>
      </c>
      <c r="O45" s="107"/>
    </row>
    <row r="46" spans="1:15" s="19" customFormat="1" ht="17.100000000000001" customHeight="1" x14ac:dyDescent="0.2">
      <c r="A46" s="59" t="s">
        <v>85</v>
      </c>
      <c r="B46" s="18" t="s">
        <v>81</v>
      </c>
      <c r="C46" s="11">
        <v>43651</v>
      </c>
      <c r="D46" s="18" t="s">
        <v>34</v>
      </c>
      <c r="E46" s="43" t="s">
        <v>128</v>
      </c>
      <c r="F46" s="18" t="s">
        <v>101</v>
      </c>
      <c r="G46" s="18">
        <f>23*3</f>
        <v>69</v>
      </c>
      <c r="H46" s="80">
        <v>6.92</v>
      </c>
      <c r="I46" s="14">
        <f t="shared" si="21"/>
        <v>1.060144</v>
      </c>
      <c r="J46" s="14">
        <f t="shared" si="22"/>
        <v>7.9801440000000001</v>
      </c>
      <c r="K46" s="14">
        <f t="shared" si="23"/>
        <v>2.3940431999999998E-3</v>
      </c>
      <c r="L46" s="14">
        <f t="shared" si="24"/>
        <v>7.9777499568000003</v>
      </c>
      <c r="M46" s="14">
        <f t="shared" si="25"/>
        <v>550.46474701919999</v>
      </c>
      <c r="N46" s="35">
        <f t="shared" si="26"/>
        <v>0.23479081843394115</v>
      </c>
      <c r="O46" s="107"/>
    </row>
    <row r="47" spans="1:15" s="19" customFormat="1" ht="17.100000000000001" customHeight="1" x14ac:dyDescent="0.2">
      <c r="A47" s="18" t="s">
        <v>83</v>
      </c>
      <c r="B47" s="18" t="s">
        <v>81</v>
      </c>
      <c r="C47" s="59">
        <v>6021</v>
      </c>
      <c r="D47" s="59" t="s">
        <v>34</v>
      </c>
      <c r="E47" s="64" t="s">
        <v>129</v>
      </c>
      <c r="F47" s="59" t="s">
        <v>21</v>
      </c>
      <c r="G47" s="59">
        <v>3</v>
      </c>
      <c r="H47" s="82">
        <v>56.48</v>
      </c>
      <c r="I47" s="35">
        <f t="shared" si="21"/>
        <v>8.6527359999999991</v>
      </c>
      <c r="J47" s="35">
        <f t="shared" si="22"/>
        <v>65.132735999999994</v>
      </c>
      <c r="K47" s="35">
        <f t="shared" si="23"/>
        <v>1.9539820799999996E-2</v>
      </c>
      <c r="L47" s="35">
        <f t="shared" si="24"/>
        <v>65.113196179199988</v>
      </c>
      <c r="M47" s="14">
        <f t="shared" ref="M47:M63" si="27">L47*G47</f>
        <v>195.33958853759998</v>
      </c>
      <c r="N47" s="35">
        <f t="shared" si="26"/>
        <v>0.35486303091228949</v>
      </c>
      <c r="O47" s="107"/>
    </row>
    <row r="48" spans="1:15" s="19" customFormat="1" ht="17.100000000000001" customHeight="1" x14ac:dyDescent="0.2">
      <c r="A48" s="59" t="s">
        <v>90</v>
      </c>
      <c r="B48" s="18" t="s">
        <v>81</v>
      </c>
      <c r="C48" s="18">
        <v>11767</v>
      </c>
      <c r="D48" s="18" t="s">
        <v>34</v>
      </c>
      <c r="E48" s="73" t="s">
        <v>130</v>
      </c>
      <c r="F48" s="18" t="s">
        <v>21</v>
      </c>
      <c r="G48" s="18">
        <v>1</v>
      </c>
      <c r="H48" s="81">
        <v>283.43</v>
      </c>
      <c r="I48" s="14">
        <f t="shared" si="21"/>
        <v>43.421475999999998</v>
      </c>
      <c r="J48" s="14">
        <f t="shared" si="22"/>
        <v>326.85147599999999</v>
      </c>
      <c r="K48" s="14">
        <f t="shared" si="23"/>
        <v>9.8055442799999989E-2</v>
      </c>
      <c r="L48" s="14">
        <f t="shared" si="24"/>
        <v>326.7534205572</v>
      </c>
      <c r="M48" s="14">
        <f t="shared" si="27"/>
        <v>326.7534205572</v>
      </c>
      <c r="N48" s="35">
        <f t="shared" si="26"/>
        <v>1.6727455146364496</v>
      </c>
      <c r="O48" s="107"/>
    </row>
    <row r="49" spans="1:15" s="42" customFormat="1" ht="15" customHeight="1" x14ac:dyDescent="0.2">
      <c r="A49" s="59" t="s">
        <v>97</v>
      </c>
      <c r="B49" s="18" t="s">
        <v>81</v>
      </c>
      <c r="C49" s="23">
        <v>1370</v>
      </c>
      <c r="D49" s="18" t="s">
        <v>34</v>
      </c>
      <c r="E49" s="24" t="s">
        <v>131</v>
      </c>
      <c r="F49" s="18" t="s">
        <v>21</v>
      </c>
      <c r="G49" s="18">
        <v>8</v>
      </c>
      <c r="H49" s="80">
        <v>148.43</v>
      </c>
      <c r="I49" s="14">
        <f t="shared" si="21"/>
        <v>22.739476</v>
      </c>
      <c r="J49" s="14">
        <f t="shared" si="22"/>
        <v>171.169476</v>
      </c>
      <c r="K49" s="14">
        <f t="shared" si="23"/>
        <v>5.1350842799999998E-2</v>
      </c>
      <c r="L49" s="14">
        <f t="shared" si="24"/>
        <v>171.11812515720001</v>
      </c>
      <c r="M49" s="14">
        <f t="shared" si="27"/>
        <v>1368.9450012576001</v>
      </c>
      <c r="N49" s="35">
        <f t="shared" si="26"/>
        <v>4.1895353350033524</v>
      </c>
      <c r="O49" s="107"/>
    </row>
    <row r="50" spans="1:15" s="42" customFormat="1" ht="15" customHeight="1" x14ac:dyDescent="0.25">
      <c r="A50" s="18" t="s">
        <v>98</v>
      </c>
      <c r="B50" s="18" t="s">
        <v>81</v>
      </c>
      <c r="C50" s="18">
        <v>38155</v>
      </c>
      <c r="D50" s="18" t="s">
        <v>34</v>
      </c>
      <c r="E50" s="43" t="s">
        <v>132</v>
      </c>
      <c r="F50" s="18" t="s">
        <v>21</v>
      </c>
      <c r="G50" s="18">
        <v>2</v>
      </c>
      <c r="H50" s="81">
        <v>108.45</v>
      </c>
      <c r="I50" s="14">
        <f t="shared" ref="I50:I100" si="28">H50*0.1532</f>
        <v>16.614540000000002</v>
      </c>
      <c r="J50" s="14">
        <f t="shared" ref="J50:J63" si="29">H50+I50</f>
        <v>125.06454000000001</v>
      </c>
      <c r="K50" s="14">
        <f t="shared" ref="K50:K100" si="30">J50*(0.03%)</f>
        <v>3.7519362000000001E-2</v>
      </c>
      <c r="L50" s="14">
        <f t="shared" ref="L50:L63" si="31">J50-K50</f>
        <v>125.02702063800001</v>
      </c>
      <c r="M50" s="14">
        <f t="shared" si="27"/>
        <v>250.05404127600002</v>
      </c>
      <c r="N50" s="35">
        <f t="shared" si="26"/>
        <v>0.18266186080980934</v>
      </c>
      <c r="O50" s="107"/>
    </row>
    <row r="51" spans="1:15" s="42" customFormat="1" ht="15" customHeight="1" x14ac:dyDescent="0.25">
      <c r="A51" s="59" t="s">
        <v>84</v>
      </c>
      <c r="B51" s="18" t="s">
        <v>81</v>
      </c>
      <c r="C51" s="18">
        <v>37459</v>
      </c>
      <c r="D51" s="18" t="s">
        <v>34</v>
      </c>
      <c r="E51" s="43" t="s">
        <v>133</v>
      </c>
      <c r="F51" s="18" t="s">
        <v>102</v>
      </c>
      <c r="G51" s="18">
        <v>20</v>
      </c>
      <c r="H51" s="81">
        <v>6.78</v>
      </c>
      <c r="I51" s="14">
        <f t="shared" si="28"/>
        <v>1.0386960000000001</v>
      </c>
      <c r="J51" s="14">
        <f t="shared" si="29"/>
        <v>7.8186960000000001</v>
      </c>
      <c r="K51" s="14">
        <f t="shared" si="30"/>
        <v>2.3456087999999997E-3</v>
      </c>
      <c r="L51" s="14">
        <f t="shared" si="31"/>
        <v>7.8163503912000003</v>
      </c>
      <c r="M51" s="14">
        <f t="shared" si="27"/>
        <v>156.32700782400002</v>
      </c>
      <c r="N51" s="35">
        <f t="shared" si="26"/>
        <v>0.62517289073305671</v>
      </c>
      <c r="O51" s="107"/>
    </row>
    <row r="52" spans="1:15" s="45" customFormat="1" ht="15" customHeight="1" x14ac:dyDescent="0.25">
      <c r="A52" s="59" t="s">
        <v>99</v>
      </c>
      <c r="B52" s="18" t="s">
        <v>81</v>
      </c>
      <c r="C52" s="18">
        <v>43132</v>
      </c>
      <c r="D52" s="18" t="s">
        <v>34</v>
      </c>
      <c r="E52" s="47" t="s">
        <v>107</v>
      </c>
      <c r="F52" s="18" t="s">
        <v>108</v>
      </c>
      <c r="G52" s="18">
        <v>5</v>
      </c>
      <c r="H52" s="81">
        <v>21.16</v>
      </c>
      <c r="I52" s="14">
        <f t="shared" si="28"/>
        <v>3.2417120000000001</v>
      </c>
      <c r="J52" s="14">
        <f t="shared" si="29"/>
        <v>24.401712</v>
      </c>
      <c r="K52" s="14">
        <f t="shared" si="30"/>
        <v>7.3205135999999992E-3</v>
      </c>
      <c r="L52" s="14">
        <f t="shared" si="31"/>
        <v>24.3943914864</v>
      </c>
      <c r="M52" s="14">
        <f t="shared" si="27"/>
        <v>121.971957432</v>
      </c>
      <c r="N52" s="35">
        <f t="shared" si="26"/>
        <v>0.78023598820058981</v>
      </c>
      <c r="O52" s="107"/>
    </row>
    <row r="53" spans="1:15" s="42" customFormat="1" ht="15" customHeight="1" x14ac:dyDescent="0.25">
      <c r="A53" s="18" t="s">
        <v>100</v>
      </c>
      <c r="B53" s="18" t="s">
        <v>81</v>
      </c>
      <c r="C53" s="18">
        <v>6754</v>
      </c>
      <c r="D53" s="18" t="s">
        <v>111</v>
      </c>
      <c r="E53" s="47" t="s">
        <v>134</v>
      </c>
      <c r="F53" s="18" t="s">
        <v>101</v>
      </c>
      <c r="G53" s="18">
        <v>1.7</v>
      </c>
      <c r="H53" s="81">
        <v>331.87</v>
      </c>
      <c r="I53" s="14">
        <f t="shared" si="28"/>
        <v>50.842483999999999</v>
      </c>
      <c r="J53" s="14">
        <f t="shared" si="29"/>
        <v>382.71248400000002</v>
      </c>
      <c r="K53" s="14">
        <f t="shared" si="30"/>
        <v>0.1148137452</v>
      </c>
      <c r="L53" s="14">
        <f t="shared" si="31"/>
        <v>382.59767025479999</v>
      </c>
      <c r="M53" s="14">
        <f t="shared" si="27"/>
        <v>650.41603943315999</v>
      </c>
      <c r="N53" s="35">
        <f t="shared" si="26"/>
        <v>5.3325047258979206</v>
      </c>
      <c r="O53" s="107"/>
    </row>
    <row r="54" spans="1:15" s="42" customFormat="1" ht="15" customHeight="1" x14ac:dyDescent="0.25">
      <c r="A54" s="59" t="s">
        <v>91</v>
      </c>
      <c r="B54" s="18" t="s">
        <v>81</v>
      </c>
      <c r="C54" s="11">
        <v>377</v>
      </c>
      <c r="D54" s="18" t="s">
        <v>34</v>
      </c>
      <c r="E54" s="47" t="s">
        <v>136</v>
      </c>
      <c r="F54" s="18" t="s">
        <v>21</v>
      </c>
      <c r="G54" s="18">
        <v>20</v>
      </c>
      <c r="H54" s="83">
        <v>38.85</v>
      </c>
      <c r="I54" s="14">
        <f t="shared" si="28"/>
        <v>5.9518200000000006</v>
      </c>
      <c r="J54" s="14">
        <f t="shared" si="29"/>
        <v>44.801819999999999</v>
      </c>
      <c r="K54" s="14">
        <f t="shared" si="30"/>
        <v>1.3440545999999999E-2</v>
      </c>
      <c r="L54" s="14">
        <f t="shared" si="31"/>
        <v>44.788379454000001</v>
      </c>
      <c r="M54" s="14">
        <f t="shared" si="27"/>
        <v>895.76758907999999</v>
      </c>
      <c r="N54" s="35">
        <f t="shared" si="26"/>
        <v>1.3772224772634216</v>
      </c>
      <c r="O54" s="107"/>
    </row>
    <row r="55" spans="1:15" s="42" customFormat="1" ht="15" customHeight="1" x14ac:dyDescent="0.25">
      <c r="A55" s="59" t="s">
        <v>144</v>
      </c>
      <c r="B55" s="18" t="s">
        <v>81</v>
      </c>
      <c r="C55" s="18">
        <v>6142</v>
      </c>
      <c r="D55" s="18" t="s">
        <v>34</v>
      </c>
      <c r="E55" s="43" t="s">
        <v>137</v>
      </c>
      <c r="F55" s="18" t="s">
        <v>21</v>
      </c>
      <c r="G55" s="18">
        <v>10</v>
      </c>
      <c r="H55" s="81">
        <v>9.7200000000000006</v>
      </c>
      <c r="I55" s="14">
        <f t="shared" si="28"/>
        <v>1.4891040000000002</v>
      </c>
      <c r="J55" s="14">
        <f t="shared" si="29"/>
        <v>11.209104</v>
      </c>
      <c r="K55" s="14">
        <f t="shared" si="30"/>
        <v>3.3627311999999995E-3</v>
      </c>
      <c r="L55" s="14">
        <f t="shared" si="31"/>
        <v>11.205741268800001</v>
      </c>
      <c r="M55" s="14">
        <f t="shared" si="27"/>
        <v>112.057412688</v>
      </c>
      <c r="N55" s="35">
        <f t="shared" si="26"/>
        <v>0.12509652509652511</v>
      </c>
      <c r="O55" s="107"/>
    </row>
    <row r="56" spans="1:15" s="19" customFormat="1" ht="17.100000000000001" customHeight="1" x14ac:dyDescent="0.2">
      <c r="A56" s="18" t="s">
        <v>145</v>
      </c>
      <c r="B56" s="18" t="s">
        <v>81</v>
      </c>
      <c r="C56" s="18">
        <v>2305</v>
      </c>
      <c r="D56" s="18" t="s">
        <v>111</v>
      </c>
      <c r="E56" s="43" t="s">
        <v>138</v>
      </c>
      <c r="F56" s="18" t="s">
        <v>21</v>
      </c>
      <c r="G56" s="18">
        <v>15</v>
      </c>
      <c r="H56" s="81">
        <v>9.1300000000000008</v>
      </c>
      <c r="I56" s="14">
        <f t="shared" si="28"/>
        <v>1.3987160000000001</v>
      </c>
      <c r="J56" s="14">
        <f t="shared" si="29"/>
        <v>10.528716000000001</v>
      </c>
      <c r="K56" s="14">
        <f t="shared" si="30"/>
        <v>3.1586148E-3</v>
      </c>
      <c r="L56" s="14">
        <f t="shared" si="31"/>
        <v>10.525557385200001</v>
      </c>
      <c r="M56" s="14">
        <f t="shared" si="27"/>
        <v>157.88336077800002</v>
      </c>
      <c r="N56" s="35">
        <f t="shared" si="26"/>
        <v>1.4089506172839508</v>
      </c>
      <c r="O56" s="107"/>
    </row>
    <row r="57" spans="1:15" s="19" customFormat="1" ht="17.100000000000001" customHeight="1" x14ac:dyDescent="0.2">
      <c r="A57" s="59" t="s">
        <v>146</v>
      </c>
      <c r="B57" s="18" t="s">
        <v>81</v>
      </c>
      <c r="C57" s="18">
        <v>36791</v>
      </c>
      <c r="D57" s="18" t="s">
        <v>34</v>
      </c>
      <c r="E57" s="61" t="s">
        <v>140</v>
      </c>
      <c r="F57" s="18" t="s">
        <v>21</v>
      </c>
      <c r="G57" s="18">
        <v>12</v>
      </c>
      <c r="H57" s="80">
        <v>117.18</v>
      </c>
      <c r="I57" s="14">
        <f t="shared" si="28"/>
        <v>17.951976000000002</v>
      </c>
      <c r="J57" s="14">
        <f t="shared" si="29"/>
        <v>135.13197600000001</v>
      </c>
      <c r="K57" s="14">
        <f t="shared" si="30"/>
        <v>4.0539592799999996E-2</v>
      </c>
      <c r="L57" s="14">
        <f t="shared" si="31"/>
        <v>135.09143640720001</v>
      </c>
      <c r="M57" s="14">
        <f t="shared" si="27"/>
        <v>1621.0972368864</v>
      </c>
      <c r="N57" s="35">
        <f t="shared" si="26"/>
        <v>10.267688937568455</v>
      </c>
      <c r="O57" s="107"/>
    </row>
    <row r="58" spans="1:15" s="19" customFormat="1" ht="17.100000000000001" customHeight="1" x14ac:dyDescent="0.2">
      <c r="A58" s="59" t="s">
        <v>147</v>
      </c>
      <c r="B58" s="18" t="s">
        <v>81</v>
      </c>
      <c r="C58" s="18">
        <v>11762</v>
      </c>
      <c r="D58" s="18" t="s">
        <v>34</v>
      </c>
      <c r="E58" s="67" t="s">
        <v>142</v>
      </c>
      <c r="F58" s="18" t="s">
        <v>21</v>
      </c>
      <c r="G58" s="18">
        <v>20</v>
      </c>
      <c r="H58" s="81">
        <v>49.24</v>
      </c>
      <c r="I58" s="14">
        <f t="shared" si="28"/>
        <v>7.5435680000000005</v>
      </c>
      <c r="J58" s="14">
        <f t="shared" si="29"/>
        <v>56.783568000000002</v>
      </c>
      <c r="K58" s="14">
        <f t="shared" si="30"/>
        <v>1.7035070399999998E-2</v>
      </c>
      <c r="L58" s="14">
        <f t="shared" si="31"/>
        <v>56.766532929600004</v>
      </c>
      <c r="M58" s="14">
        <f t="shared" si="27"/>
        <v>1135.330658592</v>
      </c>
      <c r="N58" s="35">
        <f t="shared" si="26"/>
        <v>0.70034704443306595</v>
      </c>
      <c r="O58" s="107"/>
    </row>
    <row r="59" spans="1:15" s="42" customFormat="1" ht="15" customHeight="1" x14ac:dyDescent="0.2">
      <c r="A59" s="59" t="s">
        <v>125</v>
      </c>
      <c r="B59" s="18" t="s">
        <v>81</v>
      </c>
      <c r="C59" s="18">
        <v>11684</v>
      </c>
      <c r="D59" s="18" t="s">
        <v>34</v>
      </c>
      <c r="E59" s="24" t="s">
        <v>143</v>
      </c>
      <c r="F59" s="18" t="s">
        <v>21</v>
      </c>
      <c r="G59" s="18">
        <v>20</v>
      </c>
      <c r="H59" s="76">
        <v>47.36</v>
      </c>
      <c r="I59" s="14">
        <f t="shared" si="28"/>
        <v>7.2555519999999998</v>
      </c>
      <c r="J59" s="14">
        <f t="shared" si="29"/>
        <v>54.615552000000001</v>
      </c>
      <c r="K59" s="14">
        <f t="shared" si="30"/>
        <v>1.6384665599999997E-2</v>
      </c>
      <c r="L59" s="14">
        <f t="shared" si="31"/>
        <v>54.599167334400001</v>
      </c>
      <c r="M59" s="14">
        <f t="shared" si="27"/>
        <v>1091.983346688</v>
      </c>
      <c r="N59" s="35">
        <f t="shared" si="26"/>
        <v>0.96181965881397236</v>
      </c>
      <c r="O59" s="107"/>
    </row>
    <row r="60" spans="1:15" s="42" customFormat="1" ht="15" customHeight="1" x14ac:dyDescent="0.2">
      <c r="A60" s="59" t="s">
        <v>156</v>
      </c>
      <c r="B60" s="18" t="s">
        <v>81</v>
      </c>
      <c r="C60" s="11">
        <v>122</v>
      </c>
      <c r="D60" s="11" t="s">
        <v>34</v>
      </c>
      <c r="E60" s="24" t="s">
        <v>148</v>
      </c>
      <c r="F60" s="68" t="s">
        <v>21</v>
      </c>
      <c r="G60" s="74">
        <v>3</v>
      </c>
      <c r="H60" s="76">
        <v>59.86</v>
      </c>
      <c r="I60" s="14">
        <f t="shared" si="28"/>
        <v>9.1705520000000007</v>
      </c>
      <c r="J60" s="14">
        <f t="shared" si="29"/>
        <v>69.030552</v>
      </c>
      <c r="K60" s="14">
        <f t="shared" si="30"/>
        <v>2.0709165599999999E-2</v>
      </c>
      <c r="L60" s="14">
        <f t="shared" si="31"/>
        <v>69.009842834400004</v>
      </c>
      <c r="M60" s="14">
        <f t="shared" si="27"/>
        <v>207.02952850320003</v>
      </c>
      <c r="N60" s="35">
        <f t="shared" si="26"/>
        <v>0.18959037162162165</v>
      </c>
      <c r="O60" s="107"/>
    </row>
    <row r="61" spans="1:15" s="19" customFormat="1" ht="17.100000000000001" customHeight="1" x14ac:dyDescent="0.2">
      <c r="A61" s="18" t="s">
        <v>135</v>
      </c>
      <c r="B61" s="18" t="s">
        <v>81</v>
      </c>
      <c r="C61" s="18">
        <v>10228</v>
      </c>
      <c r="D61" s="18" t="s">
        <v>34</v>
      </c>
      <c r="E61" s="24" t="s">
        <v>150</v>
      </c>
      <c r="F61" s="18" t="s">
        <v>21</v>
      </c>
      <c r="G61" s="18">
        <v>10</v>
      </c>
      <c r="H61" s="81">
        <v>378.15</v>
      </c>
      <c r="I61" s="14">
        <f t="shared" si="28"/>
        <v>57.932579999999994</v>
      </c>
      <c r="J61" s="14">
        <f t="shared" si="29"/>
        <v>436.08257999999995</v>
      </c>
      <c r="K61" s="14">
        <f t="shared" si="30"/>
        <v>0.13082477399999998</v>
      </c>
      <c r="L61" s="14">
        <f t="shared" si="31"/>
        <v>435.95175522599993</v>
      </c>
      <c r="M61" s="14">
        <f t="shared" si="27"/>
        <v>4359.5175522599993</v>
      </c>
      <c r="N61" s="35">
        <f t="shared" si="26"/>
        <v>21.057467423989301</v>
      </c>
      <c r="O61" s="107"/>
    </row>
    <row r="62" spans="1:15" s="19" customFormat="1" ht="17.100000000000001" customHeight="1" x14ac:dyDescent="0.2">
      <c r="A62" s="59" t="s">
        <v>149</v>
      </c>
      <c r="B62" s="18" t="s">
        <v>81</v>
      </c>
      <c r="C62" s="18">
        <v>10406</v>
      </c>
      <c r="D62" s="18" t="s">
        <v>34</v>
      </c>
      <c r="E62" s="24" t="s">
        <v>151</v>
      </c>
      <c r="F62" s="18" t="s">
        <v>21</v>
      </c>
      <c r="G62" s="18">
        <v>2</v>
      </c>
      <c r="H62" s="76">
        <v>857.18</v>
      </c>
      <c r="I62" s="14">
        <f t="shared" si="28"/>
        <v>131.319976</v>
      </c>
      <c r="J62" s="14">
        <f t="shared" si="29"/>
        <v>988.49997599999995</v>
      </c>
      <c r="K62" s="14">
        <f t="shared" si="30"/>
        <v>0.29654999279999994</v>
      </c>
      <c r="L62" s="14">
        <f t="shared" si="31"/>
        <v>988.20342600719994</v>
      </c>
      <c r="M62" s="14">
        <f t="shared" si="27"/>
        <v>1976.4068520143999</v>
      </c>
      <c r="N62" s="35">
        <f t="shared" si="26"/>
        <v>0.45335448895940766</v>
      </c>
      <c r="O62" s="107"/>
    </row>
    <row r="63" spans="1:15" s="45" customFormat="1" ht="15" customHeight="1" x14ac:dyDescent="0.25">
      <c r="A63" s="59" t="s">
        <v>157</v>
      </c>
      <c r="B63" s="18" t="s">
        <v>81</v>
      </c>
      <c r="C63" s="18">
        <v>11950</v>
      </c>
      <c r="D63" s="18" t="s">
        <v>34</v>
      </c>
      <c r="E63" s="47" t="s">
        <v>152</v>
      </c>
      <c r="F63" s="18" t="s">
        <v>21</v>
      </c>
      <c r="G63" s="18">
        <v>100</v>
      </c>
      <c r="H63" s="81">
        <v>0.12</v>
      </c>
      <c r="I63" s="14">
        <f t="shared" si="28"/>
        <v>1.8384000000000001E-2</v>
      </c>
      <c r="J63" s="14">
        <f t="shared" si="29"/>
        <v>0.13838400000000001</v>
      </c>
      <c r="K63" s="14">
        <f t="shared" si="30"/>
        <v>4.1515199999999999E-5</v>
      </c>
      <c r="L63" s="14">
        <f t="shared" si="31"/>
        <v>0.1383424848</v>
      </c>
      <c r="M63" s="14">
        <f t="shared" si="27"/>
        <v>13.834248479999999</v>
      </c>
      <c r="N63" s="35">
        <f t="shared" si="26"/>
        <v>6.9996966798105418E-3</v>
      </c>
      <c r="O63" s="107"/>
    </row>
    <row r="64" spans="1:15" s="45" customFormat="1" ht="15" customHeight="1" x14ac:dyDescent="0.25">
      <c r="A64" s="59" t="s">
        <v>158</v>
      </c>
      <c r="B64" s="18" t="s">
        <v>81</v>
      </c>
      <c r="C64" s="18">
        <v>7583</v>
      </c>
      <c r="D64" s="18" t="s">
        <v>34</v>
      </c>
      <c r="E64" s="47" t="s">
        <v>153</v>
      </c>
      <c r="F64" s="18" t="s">
        <v>21</v>
      </c>
      <c r="G64" s="18">
        <v>100</v>
      </c>
      <c r="H64" s="81">
        <v>0.25</v>
      </c>
      <c r="I64" s="14">
        <f t="shared" si="28"/>
        <v>3.8300000000000001E-2</v>
      </c>
      <c r="J64" s="14">
        <f t="shared" ref="J64:J95" si="32">H64+I64</f>
        <v>0.2883</v>
      </c>
      <c r="K64" s="14">
        <f t="shared" si="30"/>
        <v>8.6489999999999994E-5</v>
      </c>
      <c r="L64" s="14">
        <f t="shared" ref="L64:L95" si="33">J64-K64</f>
        <v>0.28821351000000001</v>
      </c>
      <c r="M64" s="14">
        <f t="shared" ref="M64:M95" si="34">L64*G64</f>
        <v>28.821351</v>
      </c>
      <c r="N64" s="35">
        <f t="shared" si="26"/>
        <v>2.0833333333333335</v>
      </c>
      <c r="O64" s="107"/>
    </row>
    <row r="65" spans="1:15" s="45" customFormat="1" ht="15" customHeight="1" x14ac:dyDescent="0.25">
      <c r="A65" s="59" t="s">
        <v>159</v>
      </c>
      <c r="B65" s="18" t="s">
        <v>81</v>
      </c>
      <c r="C65" s="18">
        <v>7568</v>
      </c>
      <c r="D65" s="18" t="s">
        <v>34</v>
      </c>
      <c r="E65" s="47" t="s">
        <v>154</v>
      </c>
      <c r="F65" s="18" t="s">
        <v>21</v>
      </c>
      <c r="G65" s="18">
        <v>100</v>
      </c>
      <c r="H65" s="81">
        <v>0.36</v>
      </c>
      <c r="I65" s="14">
        <f t="shared" si="28"/>
        <v>5.5152E-2</v>
      </c>
      <c r="J65" s="14">
        <f t="shared" si="32"/>
        <v>0.41515199999999997</v>
      </c>
      <c r="K65" s="14">
        <f t="shared" si="30"/>
        <v>1.2454559999999998E-4</v>
      </c>
      <c r="L65" s="14">
        <f t="shared" si="33"/>
        <v>0.41502745439999994</v>
      </c>
      <c r="M65" s="14">
        <f t="shared" si="34"/>
        <v>41.502745439999991</v>
      </c>
      <c r="N65" s="35">
        <f t="shared" si="26"/>
        <v>1.4399999999999997</v>
      </c>
      <c r="O65" s="107"/>
    </row>
    <row r="66" spans="1:15" s="45" customFormat="1" ht="15" customHeight="1" x14ac:dyDescent="0.25">
      <c r="A66" s="59" t="s">
        <v>160</v>
      </c>
      <c r="B66" s="18" t="s">
        <v>81</v>
      </c>
      <c r="C66" s="18">
        <v>8216</v>
      </c>
      <c r="D66" s="18" t="s">
        <v>111</v>
      </c>
      <c r="E66" s="47" t="s">
        <v>155</v>
      </c>
      <c r="F66" s="18" t="s">
        <v>21</v>
      </c>
      <c r="G66" s="18">
        <v>10</v>
      </c>
      <c r="H66" s="81">
        <v>12.7</v>
      </c>
      <c r="I66" s="14">
        <f t="shared" si="28"/>
        <v>1.94564</v>
      </c>
      <c r="J66" s="14">
        <f t="shared" si="32"/>
        <v>14.64564</v>
      </c>
      <c r="K66" s="14">
        <f t="shared" si="30"/>
        <v>4.3936919999999994E-3</v>
      </c>
      <c r="L66" s="14">
        <f t="shared" si="33"/>
        <v>14.641246307999999</v>
      </c>
      <c r="M66" s="14">
        <f t="shared" si="34"/>
        <v>146.41246308000001</v>
      </c>
      <c r="N66" s="35">
        <f t="shared" si="26"/>
        <v>3.5277777777777786</v>
      </c>
      <c r="O66" s="107"/>
    </row>
    <row r="67" spans="1:15" s="45" customFormat="1" ht="15" customHeight="1" x14ac:dyDescent="0.25">
      <c r="A67" s="59" t="s">
        <v>169</v>
      </c>
      <c r="B67" s="18" t="s">
        <v>81</v>
      </c>
      <c r="C67" s="18">
        <v>1200</v>
      </c>
      <c r="D67" s="18" t="s">
        <v>34</v>
      </c>
      <c r="E67" s="47" t="s">
        <v>161</v>
      </c>
      <c r="F67" s="18" t="s">
        <v>21</v>
      </c>
      <c r="G67" s="18">
        <v>3</v>
      </c>
      <c r="H67" s="81">
        <v>10.42</v>
      </c>
      <c r="I67" s="14">
        <f t="shared" si="28"/>
        <v>1.596344</v>
      </c>
      <c r="J67" s="14">
        <f t="shared" si="32"/>
        <v>12.016344</v>
      </c>
      <c r="K67" s="14">
        <f t="shared" si="30"/>
        <v>3.6049031999999996E-3</v>
      </c>
      <c r="L67" s="14">
        <f t="shared" si="33"/>
        <v>12.012739096800001</v>
      </c>
      <c r="M67" s="14">
        <f t="shared" si="34"/>
        <v>36.038217290399999</v>
      </c>
      <c r="N67" s="35">
        <f t="shared" si="26"/>
        <v>0.24614173228346453</v>
      </c>
      <c r="O67" s="107"/>
    </row>
    <row r="68" spans="1:15" s="69" customFormat="1" ht="15" customHeight="1" x14ac:dyDescent="0.2">
      <c r="A68" s="18" t="s">
        <v>180</v>
      </c>
      <c r="B68" s="18" t="s">
        <v>81</v>
      </c>
      <c r="C68" s="18">
        <v>3148</v>
      </c>
      <c r="D68" s="18" t="s">
        <v>34</v>
      </c>
      <c r="E68" s="43" t="s">
        <v>162</v>
      </c>
      <c r="F68" s="18" t="s">
        <v>21</v>
      </c>
      <c r="G68" s="18">
        <v>15</v>
      </c>
      <c r="H68" s="81">
        <v>9.58</v>
      </c>
      <c r="I68" s="14">
        <f t="shared" si="28"/>
        <v>1.4676560000000001</v>
      </c>
      <c r="J68" s="14">
        <f t="shared" si="32"/>
        <v>11.047656</v>
      </c>
      <c r="K68" s="14">
        <f t="shared" si="30"/>
        <v>3.3142967999999998E-3</v>
      </c>
      <c r="L68" s="14">
        <f t="shared" si="33"/>
        <v>11.044341703200001</v>
      </c>
      <c r="M68" s="14">
        <f t="shared" si="34"/>
        <v>165.66512554800002</v>
      </c>
      <c r="N68" s="35">
        <f t="shared" si="26"/>
        <v>4.5969289827255286</v>
      </c>
      <c r="O68" s="107"/>
    </row>
    <row r="69" spans="1:15" s="42" customFormat="1" ht="15" customHeight="1" x14ac:dyDescent="0.25">
      <c r="A69" s="59" t="s">
        <v>163</v>
      </c>
      <c r="B69" s="18" t="s">
        <v>81</v>
      </c>
      <c r="C69" s="18">
        <v>7267</v>
      </c>
      <c r="D69" s="18" t="s">
        <v>111</v>
      </c>
      <c r="E69" s="65" t="s">
        <v>164</v>
      </c>
      <c r="F69" s="18" t="s">
        <v>21</v>
      </c>
      <c r="G69" s="18">
        <v>10</v>
      </c>
      <c r="H69" s="81">
        <v>13.59</v>
      </c>
      <c r="I69" s="62">
        <f t="shared" si="28"/>
        <v>2.0819879999999999</v>
      </c>
      <c r="J69" s="62">
        <f t="shared" si="32"/>
        <v>15.671987999999999</v>
      </c>
      <c r="K69" s="62">
        <f t="shared" si="30"/>
        <v>4.701596399999999E-3</v>
      </c>
      <c r="L69" s="62">
        <f t="shared" si="33"/>
        <v>15.667286403599999</v>
      </c>
      <c r="M69" s="62">
        <f t="shared" si="34"/>
        <v>156.67286403599999</v>
      </c>
      <c r="N69" s="35">
        <f t="shared" si="26"/>
        <v>0.94572025052192055</v>
      </c>
      <c r="O69" s="107"/>
    </row>
    <row r="70" spans="1:15" s="45" customFormat="1" ht="15" customHeight="1" x14ac:dyDescent="0.25">
      <c r="A70" s="59" t="s">
        <v>196</v>
      </c>
      <c r="B70" s="18" t="s">
        <v>81</v>
      </c>
      <c r="C70" s="18">
        <v>10420</v>
      </c>
      <c r="D70" s="18" t="s">
        <v>34</v>
      </c>
      <c r="E70" s="47" t="s">
        <v>165</v>
      </c>
      <c r="F70" s="18" t="s">
        <v>21</v>
      </c>
      <c r="G70" s="18">
        <v>5</v>
      </c>
      <c r="H70" s="81">
        <v>198.99</v>
      </c>
      <c r="I70" s="14">
        <f t="shared" si="28"/>
        <v>30.485268000000001</v>
      </c>
      <c r="J70" s="14">
        <f t="shared" si="32"/>
        <v>229.475268</v>
      </c>
      <c r="K70" s="14">
        <f t="shared" si="30"/>
        <v>6.8842580399999992E-2</v>
      </c>
      <c r="L70" s="14">
        <f t="shared" si="33"/>
        <v>229.4064254196</v>
      </c>
      <c r="M70" s="14">
        <f t="shared" si="34"/>
        <v>1147.032127098</v>
      </c>
      <c r="N70" s="35">
        <f t="shared" si="26"/>
        <v>7.3211920529801331</v>
      </c>
      <c r="O70" s="107"/>
    </row>
    <row r="71" spans="1:15" s="42" customFormat="1" ht="15" customHeight="1" x14ac:dyDescent="0.2">
      <c r="A71" s="59" t="s">
        <v>173</v>
      </c>
      <c r="B71" s="18" t="s">
        <v>81</v>
      </c>
      <c r="C71" s="23">
        <v>1368</v>
      </c>
      <c r="D71" s="18" t="s">
        <v>34</v>
      </c>
      <c r="E71" s="24" t="s">
        <v>167</v>
      </c>
      <c r="F71" s="18" t="s">
        <v>21</v>
      </c>
      <c r="G71" s="18">
        <v>20</v>
      </c>
      <c r="H71" s="85">
        <v>109</v>
      </c>
      <c r="I71" s="14">
        <f t="shared" si="28"/>
        <v>16.698799999999999</v>
      </c>
      <c r="J71" s="14">
        <f t="shared" si="32"/>
        <v>125.69880000000001</v>
      </c>
      <c r="K71" s="14">
        <f t="shared" si="30"/>
        <v>3.7709639999999996E-2</v>
      </c>
      <c r="L71" s="14">
        <f t="shared" si="33"/>
        <v>125.66109036</v>
      </c>
      <c r="M71" s="14">
        <f t="shared" si="34"/>
        <v>2513.2218072000001</v>
      </c>
      <c r="N71" s="35">
        <f t="shared" si="26"/>
        <v>2.1910648776320416</v>
      </c>
      <c r="O71" s="107"/>
    </row>
    <row r="72" spans="1:15" s="42" customFormat="1" ht="15" customHeight="1" x14ac:dyDescent="0.25">
      <c r="A72" s="59" t="s">
        <v>190</v>
      </c>
      <c r="B72" s="18" t="s">
        <v>81</v>
      </c>
      <c r="C72" s="18">
        <v>7588</v>
      </c>
      <c r="D72" s="18" t="s">
        <v>34</v>
      </c>
      <c r="E72" s="73" t="s">
        <v>168</v>
      </c>
      <c r="F72" s="18" t="s">
        <v>21</v>
      </c>
      <c r="G72" s="18">
        <v>3</v>
      </c>
      <c r="H72" s="81">
        <v>43.04</v>
      </c>
      <c r="I72" s="14">
        <f t="shared" si="28"/>
        <v>6.5937279999999996</v>
      </c>
      <c r="J72" s="14">
        <f t="shared" si="32"/>
        <v>49.633727999999998</v>
      </c>
      <c r="K72" s="14">
        <f t="shared" si="30"/>
        <v>1.4890118399999997E-2</v>
      </c>
      <c r="L72" s="14">
        <f t="shared" si="33"/>
        <v>49.618837881600001</v>
      </c>
      <c r="M72" s="14">
        <f t="shared" si="34"/>
        <v>148.8565136448</v>
      </c>
      <c r="N72" s="35">
        <f t="shared" si="26"/>
        <v>5.9229357798165135E-2</v>
      </c>
      <c r="O72" s="107"/>
    </row>
    <row r="73" spans="1:15" s="19" customFormat="1" ht="17.100000000000001" customHeight="1" x14ac:dyDescent="0.2">
      <c r="A73" s="59" t="s">
        <v>197</v>
      </c>
      <c r="B73" s="18" t="s">
        <v>81</v>
      </c>
      <c r="C73" s="23">
        <v>11674</v>
      </c>
      <c r="D73" s="18" t="s">
        <v>34</v>
      </c>
      <c r="E73" s="24" t="s">
        <v>170</v>
      </c>
      <c r="F73" s="18" t="s">
        <v>21</v>
      </c>
      <c r="G73" s="18">
        <v>10</v>
      </c>
      <c r="H73" s="84">
        <v>26.51</v>
      </c>
      <c r="I73" s="14">
        <f t="shared" si="28"/>
        <v>4.0613320000000002</v>
      </c>
      <c r="J73" s="14">
        <f t="shared" si="32"/>
        <v>30.571332000000002</v>
      </c>
      <c r="K73" s="14">
        <f t="shared" si="30"/>
        <v>9.1713995999999996E-3</v>
      </c>
      <c r="L73" s="14">
        <f t="shared" si="33"/>
        <v>30.562160600400002</v>
      </c>
      <c r="M73" s="14">
        <f t="shared" si="34"/>
        <v>305.621606004</v>
      </c>
      <c r="N73" s="35">
        <f t="shared" si="26"/>
        <v>2.0531288723667904</v>
      </c>
      <c r="O73" s="107"/>
    </row>
    <row r="74" spans="1:15" s="45" customFormat="1" ht="15" customHeight="1" x14ac:dyDescent="0.25">
      <c r="A74" s="59" t="s">
        <v>183</v>
      </c>
      <c r="B74" s="18" t="s">
        <v>81</v>
      </c>
      <c r="C74" s="18">
        <v>11678</v>
      </c>
      <c r="D74" s="18" t="s">
        <v>34</v>
      </c>
      <c r="E74" s="47" t="s">
        <v>171</v>
      </c>
      <c r="F74" s="18" t="s">
        <v>21</v>
      </c>
      <c r="G74" s="18">
        <v>3</v>
      </c>
      <c r="H74" s="81">
        <v>106.46</v>
      </c>
      <c r="I74" s="14">
        <f t="shared" si="28"/>
        <v>16.309671999999999</v>
      </c>
      <c r="J74" s="14">
        <f t="shared" si="32"/>
        <v>122.76967199999999</v>
      </c>
      <c r="K74" s="14">
        <f t="shared" si="30"/>
        <v>3.6830901599999993E-2</v>
      </c>
      <c r="L74" s="14">
        <f t="shared" si="33"/>
        <v>122.73284109839999</v>
      </c>
      <c r="M74" s="14">
        <f t="shared" si="34"/>
        <v>368.19852329519995</v>
      </c>
      <c r="N74" s="35">
        <f t="shared" si="26"/>
        <v>1.2047529234251224</v>
      </c>
      <c r="O74" s="107"/>
    </row>
    <row r="75" spans="1:15" s="19" customFormat="1" ht="17.100000000000001" customHeight="1" x14ac:dyDescent="0.2">
      <c r="A75" s="18" t="s">
        <v>141</v>
      </c>
      <c r="B75" s="18" t="s">
        <v>81</v>
      </c>
      <c r="C75" s="23">
        <v>11677</v>
      </c>
      <c r="D75" s="18" t="s">
        <v>34</v>
      </c>
      <c r="E75" s="24" t="s">
        <v>172</v>
      </c>
      <c r="F75" s="18" t="s">
        <v>21</v>
      </c>
      <c r="G75" s="18">
        <v>5</v>
      </c>
      <c r="H75" s="80">
        <v>58.13</v>
      </c>
      <c r="I75" s="14">
        <f t="shared" si="28"/>
        <v>8.9055160000000004</v>
      </c>
      <c r="J75" s="14">
        <f t="shared" si="32"/>
        <v>67.035516000000001</v>
      </c>
      <c r="K75" s="14">
        <f t="shared" si="30"/>
        <v>2.0110654799999999E-2</v>
      </c>
      <c r="L75" s="14">
        <f t="shared" si="33"/>
        <v>67.015405345199994</v>
      </c>
      <c r="M75" s="14">
        <f t="shared" si="34"/>
        <v>335.07702672599999</v>
      </c>
      <c r="N75" s="35">
        <f t="shared" si="26"/>
        <v>0.9100444611434656</v>
      </c>
      <c r="O75" s="107"/>
    </row>
    <row r="76" spans="1:15" s="27" customFormat="1" x14ac:dyDescent="0.25">
      <c r="A76" s="59" t="s">
        <v>166</v>
      </c>
      <c r="B76" s="18" t="s">
        <v>81</v>
      </c>
      <c r="C76" s="11">
        <v>142</v>
      </c>
      <c r="D76" s="18" t="s">
        <v>34</v>
      </c>
      <c r="E76" s="43" t="s">
        <v>174</v>
      </c>
      <c r="F76" s="18" t="s">
        <v>21</v>
      </c>
      <c r="G76" s="18">
        <v>60</v>
      </c>
      <c r="H76" s="76">
        <v>33.14</v>
      </c>
      <c r="I76" s="14">
        <f t="shared" si="28"/>
        <v>5.0770480000000004</v>
      </c>
      <c r="J76" s="14">
        <f t="shared" si="32"/>
        <v>38.217047999999998</v>
      </c>
      <c r="K76" s="14">
        <f t="shared" si="30"/>
        <v>1.1465114399999999E-2</v>
      </c>
      <c r="L76" s="14">
        <f t="shared" si="33"/>
        <v>38.205582885599995</v>
      </c>
      <c r="M76" s="14">
        <f t="shared" si="34"/>
        <v>2292.3349731359995</v>
      </c>
      <c r="N76" s="35">
        <f t="shared" si="26"/>
        <v>6.8412179597453973</v>
      </c>
      <c r="O76" s="107"/>
    </row>
    <row r="77" spans="1:15" s="42" customFormat="1" ht="15" customHeight="1" x14ac:dyDescent="0.25">
      <c r="A77" s="59" t="s">
        <v>139</v>
      </c>
      <c r="B77" s="18" t="s">
        <v>81</v>
      </c>
      <c r="C77" s="18">
        <v>108</v>
      </c>
      <c r="D77" s="18" t="s">
        <v>34</v>
      </c>
      <c r="E77" s="73" t="s">
        <v>175</v>
      </c>
      <c r="F77" s="18" t="s">
        <v>21</v>
      </c>
      <c r="G77" s="18">
        <v>10</v>
      </c>
      <c r="H77" s="81">
        <v>1.87</v>
      </c>
      <c r="I77" s="14">
        <f t="shared" si="28"/>
        <v>0.28648400000000002</v>
      </c>
      <c r="J77" s="14">
        <f t="shared" si="32"/>
        <v>2.1564840000000003</v>
      </c>
      <c r="K77" s="14">
        <f t="shared" si="30"/>
        <v>6.4694520000000008E-4</v>
      </c>
      <c r="L77" s="14">
        <f t="shared" si="33"/>
        <v>2.1558370548000001</v>
      </c>
      <c r="M77" s="14">
        <f t="shared" si="34"/>
        <v>21.558370547999999</v>
      </c>
      <c r="N77" s="35">
        <f t="shared" si="26"/>
        <v>9.4045463689398524E-3</v>
      </c>
      <c r="O77" s="107"/>
    </row>
    <row r="78" spans="1:15" s="42" customFormat="1" ht="15" customHeight="1" x14ac:dyDescent="0.25">
      <c r="A78" s="59" t="s">
        <v>198</v>
      </c>
      <c r="B78" s="18" t="s">
        <v>81</v>
      </c>
      <c r="C78" s="18">
        <v>111</v>
      </c>
      <c r="D78" s="18" t="s">
        <v>34</v>
      </c>
      <c r="E78" s="43" t="s">
        <v>176</v>
      </c>
      <c r="F78" s="18" t="s">
        <v>21</v>
      </c>
      <c r="G78" s="18">
        <v>10</v>
      </c>
      <c r="H78" s="81">
        <v>8.8000000000000007</v>
      </c>
      <c r="I78" s="14">
        <f t="shared" si="28"/>
        <v>1.34816</v>
      </c>
      <c r="J78" s="14">
        <f t="shared" si="32"/>
        <v>10.148160000000001</v>
      </c>
      <c r="K78" s="14">
        <f t="shared" si="30"/>
        <v>3.0444479999999999E-3</v>
      </c>
      <c r="L78" s="14">
        <f t="shared" si="33"/>
        <v>10.145115552</v>
      </c>
      <c r="M78" s="14">
        <f t="shared" si="34"/>
        <v>101.45115552</v>
      </c>
      <c r="N78" s="35">
        <f t="shared" si="26"/>
        <v>4.7058823529411766</v>
      </c>
      <c r="O78" s="107"/>
    </row>
    <row r="79" spans="1:15" s="42" customFormat="1" ht="15" customHeight="1" x14ac:dyDescent="0.2">
      <c r="A79" s="59" t="s">
        <v>194</v>
      </c>
      <c r="B79" s="18" t="s">
        <v>81</v>
      </c>
      <c r="C79" s="18">
        <v>1956</v>
      </c>
      <c r="D79" s="18" t="s">
        <v>34</v>
      </c>
      <c r="E79" s="75" t="s">
        <v>177</v>
      </c>
      <c r="F79" s="18" t="s">
        <v>21</v>
      </c>
      <c r="G79" s="18">
        <v>15</v>
      </c>
      <c r="H79" s="81">
        <v>3.12</v>
      </c>
      <c r="I79" s="14">
        <f t="shared" si="28"/>
        <v>0.47798400000000002</v>
      </c>
      <c r="J79" s="14">
        <f t="shared" si="32"/>
        <v>3.5979840000000003</v>
      </c>
      <c r="K79" s="14">
        <f t="shared" si="30"/>
        <v>1.0793952E-3</v>
      </c>
      <c r="L79" s="14">
        <f t="shared" si="33"/>
        <v>3.5969046048000002</v>
      </c>
      <c r="M79" s="14">
        <f t="shared" si="34"/>
        <v>53.953569072000001</v>
      </c>
      <c r="N79" s="35">
        <f t="shared" si="26"/>
        <v>0.53181818181818186</v>
      </c>
      <c r="O79" s="107"/>
    </row>
    <row r="80" spans="1:15" s="42" customFormat="1" ht="15" customHeight="1" x14ac:dyDescent="0.25">
      <c r="A80" s="59" t="s">
        <v>199</v>
      </c>
      <c r="B80" s="18" t="s">
        <v>81</v>
      </c>
      <c r="C80" s="18">
        <v>3500</v>
      </c>
      <c r="D80" s="18" t="s">
        <v>34</v>
      </c>
      <c r="E80" s="43" t="s">
        <v>178</v>
      </c>
      <c r="F80" s="18" t="s">
        <v>21</v>
      </c>
      <c r="G80" s="18">
        <v>10</v>
      </c>
      <c r="H80" s="81">
        <v>1.57</v>
      </c>
      <c r="I80" s="14">
        <f t="shared" si="28"/>
        <v>0.24052400000000002</v>
      </c>
      <c r="J80" s="14">
        <f t="shared" si="32"/>
        <v>1.810524</v>
      </c>
      <c r="K80" s="14">
        <f t="shared" si="30"/>
        <v>5.4315719999999991E-4</v>
      </c>
      <c r="L80" s="14">
        <f t="shared" si="33"/>
        <v>1.8099808427999999</v>
      </c>
      <c r="M80" s="14">
        <f t="shared" si="34"/>
        <v>18.099808427999999</v>
      </c>
      <c r="N80" s="35">
        <f t="shared" si="26"/>
        <v>0.33547008547008544</v>
      </c>
      <c r="O80" s="107"/>
    </row>
    <row r="81" spans="1:15" s="46" customFormat="1" ht="15" customHeight="1" x14ac:dyDescent="0.25">
      <c r="A81" s="59" t="s">
        <v>119</v>
      </c>
      <c r="B81" s="18" t="s">
        <v>81</v>
      </c>
      <c r="C81" s="18">
        <v>3501</v>
      </c>
      <c r="D81" s="18" t="s">
        <v>34</v>
      </c>
      <c r="E81" s="73" t="s">
        <v>179</v>
      </c>
      <c r="F81" s="18" t="s">
        <v>21</v>
      </c>
      <c r="G81" s="60">
        <v>10</v>
      </c>
      <c r="H81" s="81">
        <v>4.33</v>
      </c>
      <c r="I81" s="14">
        <f t="shared" si="28"/>
        <v>0.66335600000000006</v>
      </c>
      <c r="J81" s="14">
        <f t="shared" si="32"/>
        <v>4.9933560000000003</v>
      </c>
      <c r="K81" s="14">
        <f t="shared" si="30"/>
        <v>1.4980067999999999E-3</v>
      </c>
      <c r="L81" s="14">
        <f t="shared" si="33"/>
        <v>4.9918579932</v>
      </c>
      <c r="M81" s="14">
        <f t="shared" si="34"/>
        <v>49.918579932</v>
      </c>
      <c r="N81" s="35">
        <f t="shared" si="26"/>
        <v>2.7579617834394905</v>
      </c>
      <c r="O81" s="107"/>
    </row>
    <row r="82" spans="1:15" s="42" customFormat="1" ht="15" customHeight="1" x14ac:dyDescent="0.25">
      <c r="A82" s="18" t="s">
        <v>200</v>
      </c>
      <c r="B82" s="18" t="s">
        <v>81</v>
      </c>
      <c r="C82" s="18">
        <v>20147</v>
      </c>
      <c r="D82" s="18" t="s">
        <v>34</v>
      </c>
      <c r="E82" s="43" t="s">
        <v>181</v>
      </c>
      <c r="F82" s="18" t="s">
        <v>21</v>
      </c>
      <c r="G82" s="18">
        <v>15</v>
      </c>
      <c r="H82" s="81">
        <v>5.6</v>
      </c>
      <c r="I82" s="14">
        <f t="shared" si="28"/>
        <v>0.85792000000000002</v>
      </c>
      <c r="J82" s="14">
        <f t="shared" si="32"/>
        <v>6.4579199999999997</v>
      </c>
      <c r="K82" s="14">
        <f t="shared" si="30"/>
        <v>1.9373759999999998E-3</v>
      </c>
      <c r="L82" s="14">
        <f t="shared" si="33"/>
        <v>6.4559826239999998</v>
      </c>
      <c r="M82" s="14">
        <f t="shared" si="34"/>
        <v>96.839739359999996</v>
      </c>
      <c r="N82" s="35">
        <f t="shared" si="26"/>
        <v>1.9399538106235565</v>
      </c>
      <c r="O82" s="107"/>
    </row>
    <row r="83" spans="1:15" s="46" customFormat="1" ht="15" customHeight="1" x14ac:dyDescent="0.25">
      <c r="A83" s="59" t="s">
        <v>201</v>
      </c>
      <c r="B83" s="18" t="s">
        <v>81</v>
      </c>
      <c r="C83" s="18">
        <v>3524</v>
      </c>
      <c r="D83" s="18" t="s">
        <v>34</v>
      </c>
      <c r="E83" s="73" t="s">
        <v>182</v>
      </c>
      <c r="F83" s="18" t="s">
        <v>21</v>
      </c>
      <c r="G83" s="60">
        <v>10</v>
      </c>
      <c r="H83" s="81">
        <v>8.42</v>
      </c>
      <c r="I83" s="14">
        <f t="shared" si="28"/>
        <v>1.289944</v>
      </c>
      <c r="J83" s="14">
        <f t="shared" si="32"/>
        <v>9.7099440000000001</v>
      </c>
      <c r="K83" s="14">
        <f t="shared" si="30"/>
        <v>2.9129831999999997E-3</v>
      </c>
      <c r="L83" s="14">
        <f t="shared" si="33"/>
        <v>9.7070310168000002</v>
      </c>
      <c r="M83" s="14">
        <f t="shared" si="34"/>
        <v>97.070310168000006</v>
      </c>
      <c r="N83" s="35">
        <f t="shared" si="26"/>
        <v>1.0023809523809526</v>
      </c>
      <c r="O83" s="107"/>
    </row>
    <row r="84" spans="1:15" s="42" customFormat="1" ht="15" customHeight="1" x14ac:dyDescent="0.25">
      <c r="A84" s="59" t="s">
        <v>202</v>
      </c>
      <c r="B84" s="18" t="s">
        <v>81</v>
      </c>
      <c r="C84" s="18">
        <v>3529</v>
      </c>
      <c r="D84" s="18" t="s">
        <v>34</v>
      </c>
      <c r="E84" s="43" t="s">
        <v>112</v>
      </c>
      <c r="F84" s="18" t="s">
        <v>21</v>
      </c>
      <c r="G84" s="18">
        <v>30</v>
      </c>
      <c r="H84" s="81">
        <v>0.76</v>
      </c>
      <c r="I84" s="14">
        <f t="shared" si="28"/>
        <v>0.11643200000000001</v>
      </c>
      <c r="J84" s="14">
        <f t="shared" si="32"/>
        <v>0.87643199999999999</v>
      </c>
      <c r="K84" s="14">
        <f t="shared" si="30"/>
        <v>2.6292959999999995E-4</v>
      </c>
      <c r="L84" s="14">
        <f t="shared" si="33"/>
        <v>0.87616907040000003</v>
      </c>
      <c r="M84" s="14">
        <f t="shared" si="34"/>
        <v>26.285072112000002</v>
      </c>
      <c r="N84" s="35">
        <f t="shared" si="26"/>
        <v>0.27078384798099764</v>
      </c>
      <c r="O84" s="107"/>
    </row>
    <row r="85" spans="1:15" s="42" customFormat="1" ht="15" customHeight="1" x14ac:dyDescent="0.25">
      <c r="A85" s="59" t="s">
        <v>203</v>
      </c>
      <c r="B85" s="18" t="s">
        <v>81</v>
      </c>
      <c r="C85" s="18">
        <v>3536</v>
      </c>
      <c r="D85" s="18" t="s">
        <v>34</v>
      </c>
      <c r="E85" s="43" t="s">
        <v>113</v>
      </c>
      <c r="F85" s="18" t="s">
        <v>21</v>
      </c>
      <c r="G85" s="18">
        <v>10</v>
      </c>
      <c r="H85" s="81">
        <v>2.5299999999999998</v>
      </c>
      <c r="I85" s="14">
        <f t="shared" si="28"/>
        <v>0.387596</v>
      </c>
      <c r="J85" s="14">
        <f t="shared" si="32"/>
        <v>2.9175959999999996</v>
      </c>
      <c r="K85" s="14">
        <f t="shared" si="30"/>
        <v>8.7527879999999979E-4</v>
      </c>
      <c r="L85" s="14">
        <f t="shared" si="33"/>
        <v>2.9167207211999995</v>
      </c>
      <c r="M85" s="14">
        <f t="shared" si="34"/>
        <v>29.167207211999994</v>
      </c>
      <c r="N85" s="35">
        <f t="shared" si="26"/>
        <v>1.1096491228070173</v>
      </c>
      <c r="O85" s="107"/>
    </row>
    <row r="86" spans="1:15" s="42" customFormat="1" ht="15" customHeight="1" x14ac:dyDescent="0.25">
      <c r="A86" s="59" t="s">
        <v>204</v>
      </c>
      <c r="B86" s="18" t="s">
        <v>81</v>
      </c>
      <c r="C86" s="18">
        <v>3540</v>
      </c>
      <c r="D86" s="18" t="s">
        <v>34</v>
      </c>
      <c r="E86" s="43" t="s">
        <v>184</v>
      </c>
      <c r="F86" s="18" t="s">
        <v>21</v>
      </c>
      <c r="G86" s="18">
        <v>10</v>
      </c>
      <c r="H86" s="81">
        <v>5.22</v>
      </c>
      <c r="I86" s="14">
        <f t="shared" si="28"/>
        <v>0.79970399999999997</v>
      </c>
      <c r="J86" s="14">
        <f t="shared" si="32"/>
        <v>6.0197039999999999</v>
      </c>
      <c r="K86" s="14">
        <f t="shared" si="30"/>
        <v>1.8059111999999997E-3</v>
      </c>
      <c r="L86" s="14">
        <f t="shared" si="33"/>
        <v>6.0178980888</v>
      </c>
      <c r="M86" s="14">
        <f t="shared" si="34"/>
        <v>60.178980887999998</v>
      </c>
      <c r="N86" s="35">
        <f t="shared" si="26"/>
        <v>2.0632411067193681</v>
      </c>
      <c r="O86" s="107"/>
    </row>
    <row r="87" spans="1:15" s="42" customFormat="1" ht="15" customHeight="1" x14ac:dyDescent="0.25">
      <c r="A87" s="59" t="s">
        <v>127</v>
      </c>
      <c r="B87" s="18" t="s">
        <v>81</v>
      </c>
      <c r="C87" s="18">
        <v>3539</v>
      </c>
      <c r="D87" s="18" t="s">
        <v>34</v>
      </c>
      <c r="E87" s="43" t="s">
        <v>185</v>
      </c>
      <c r="F87" s="18" t="s">
        <v>21</v>
      </c>
      <c r="G87" s="18">
        <v>10</v>
      </c>
      <c r="H87" s="81">
        <v>30.25</v>
      </c>
      <c r="I87" s="14">
        <f t="shared" si="28"/>
        <v>4.6342999999999996</v>
      </c>
      <c r="J87" s="14">
        <f t="shared" si="32"/>
        <v>34.884299999999996</v>
      </c>
      <c r="K87" s="14">
        <f t="shared" si="30"/>
        <v>1.0465289999999999E-2</v>
      </c>
      <c r="L87" s="14">
        <f t="shared" si="33"/>
        <v>34.873834709999997</v>
      </c>
      <c r="M87" s="14">
        <f t="shared" si="34"/>
        <v>348.73834709999994</v>
      </c>
      <c r="N87" s="35">
        <f t="shared" si="26"/>
        <v>5.795019157088122</v>
      </c>
      <c r="O87" s="107"/>
    </row>
    <row r="88" spans="1:15" s="42" customFormat="1" ht="17.25" customHeight="1" x14ac:dyDescent="0.25">
      <c r="A88" s="59" t="s">
        <v>205</v>
      </c>
      <c r="B88" s="18" t="s">
        <v>81</v>
      </c>
      <c r="C88" s="48">
        <v>3513</v>
      </c>
      <c r="D88" s="48" t="s">
        <v>34</v>
      </c>
      <c r="E88" s="70" t="s">
        <v>186</v>
      </c>
      <c r="F88" s="18" t="s">
        <v>21</v>
      </c>
      <c r="G88" s="48">
        <v>10</v>
      </c>
      <c r="H88" s="86">
        <v>106.56</v>
      </c>
      <c r="I88" s="14">
        <f t="shared" si="28"/>
        <v>16.324992000000002</v>
      </c>
      <c r="J88" s="14">
        <f t="shared" si="32"/>
        <v>122.88499200000001</v>
      </c>
      <c r="K88" s="14">
        <f t="shared" si="30"/>
        <v>3.6865497599999998E-2</v>
      </c>
      <c r="L88" s="14">
        <f t="shared" si="33"/>
        <v>122.84812650240001</v>
      </c>
      <c r="M88" s="14">
        <f t="shared" si="34"/>
        <v>1228.4812650240001</v>
      </c>
      <c r="N88" s="35">
        <f t="shared" si="26"/>
        <v>3.5226446280991746</v>
      </c>
      <c r="O88" s="107"/>
    </row>
    <row r="89" spans="1:15" s="19" customFormat="1" ht="17.100000000000001" customHeight="1" x14ac:dyDescent="0.2">
      <c r="A89" s="18" t="s">
        <v>206</v>
      </c>
      <c r="B89" s="18" t="s">
        <v>81</v>
      </c>
      <c r="C89" s="18">
        <v>3904</v>
      </c>
      <c r="D89" s="18" t="s">
        <v>34</v>
      </c>
      <c r="E89" s="71" t="s">
        <v>187</v>
      </c>
      <c r="F89" s="18" t="s">
        <v>21</v>
      </c>
      <c r="G89" s="18">
        <v>20</v>
      </c>
      <c r="H89" s="80">
        <v>0.86</v>
      </c>
      <c r="I89" s="14">
        <f t="shared" si="28"/>
        <v>0.13175200000000001</v>
      </c>
      <c r="J89" s="14">
        <f t="shared" si="32"/>
        <v>0.99175199999999997</v>
      </c>
      <c r="K89" s="14">
        <f t="shared" si="30"/>
        <v>2.9752559999999997E-4</v>
      </c>
      <c r="L89" s="14">
        <f t="shared" si="33"/>
        <v>0.99145447440000001</v>
      </c>
      <c r="M89" s="14">
        <f t="shared" si="34"/>
        <v>19.829089488000001</v>
      </c>
      <c r="N89" s="35">
        <f t="shared" si="26"/>
        <v>1.6141141141141142E-2</v>
      </c>
      <c r="O89" s="107"/>
    </row>
    <row r="90" spans="1:15" s="19" customFormat="1" ht="17.100000000000001" customHeight="1" x14ac:dyDescent="0.2">
      <c r="A90" s="59" t="s">
        <v>207</v>
      </c>
      <c r="B90" s="18" t="s">
        <v>81</v>
      </c>
      <c r="C90" s="18">
        <v>3903</v>
      </c>
      <c r="D90" s="18" t="s">
        <v>34</v>
      </c>
      <c r="E90" s="43" t="s">
        <v>188</v>
      </c>
      <c r="F90" s="18" t="s">
        <v>21</v>
      </c>
      <c r="G90" s="18">
        <v>15</v>
      </c>
      <c r="H90" s="81">
        <v>2.09</v>
      </c>
      <c r="I90" s="14">
        <f t="shared" si="28"/>
        <v>0.32018799999999997</v>
      </c>
      <c r="J90" s="14">
        <f t="shared" si="32"/>
        <v>2.4101879999999998</v>
      </c>
      <c r="K90" s="14">
        <f t="shared" si="30"/>
        <v>7.2305639999999984E-4</v>
      </c>
      <c r="L90" s="14">
        <f t="shared" si="33"/>
        <v>2.4094649435999997</v>
      </c>
      <c r="M90" s="14">
        <f t="shared" si="34"/>
        <v>36.141974153999996</v>
      </c>
      <c r="N90" s="35">
        <f t="shared" si="26"/>
        <v>1.8226744186046508</v>
      </c>
      <c r="O90" s="107"/>
    </row>
    <row r="91" spans="1:15" s="19" customFormat="1" ht="17.100000000000001" customHeight="1" x14ac:dyDescent="0.2">
      <c r="A91" s="59" t="s">
        <v>208</v>
      </c>
      <c r="B91" s="18" t="s">
        <v>81</v>
      </c>
      <c r="C91" s="18">
        <v>3863</v>
      </c>
      <c r="D91" s="18" t="s">
        <v>34</v>
      </c>
      <c r="E91" s="24" t="s">
        <v>189</v>
      </c>
      <c r="F91" s="18" t="s">
        <v>21</v>
      </c>
      <c r="G91" s="18">
        <v>10</v>
      </c>
      <c r="H91" s="80">
        <v>4.5599999999999996</v>
      </c>
      <c r="I91" s="14">
        <f t="shared" si="28"/>
        <v>0.69859199999999999</v>
      </c>
      <c r="J91" s="14">
        <f t="shared" si="32"/>
        <v>5.2585919999999993</v>
      </c>
      <c r="K91" s="14">
        <f t="shared" si="30"/>
        <v>1.5775775999999997E-3</v>
      </c>
      <c r="L91" s="14">
        <f t="shared" si="33"/>
        <v>5.2570144223999993</v>
      </c>
      <c r="M91" s="14">
        <f t="shared" si="34"/>
        <v>52.570144223999989</v>
      </c>
      <c r="N91" s="35">
        <f t="shared" si="26"/>
        <v>1.4545454545454544</v>
      </c>
      <c r="O91" s="107"/>
    </row>
    <row r="92" spans="1:15" s="19" customFormat="1" ht="17.100000000000001" customHeight="1" x14ac:dyDescent="0.2">
      <c r="A92" s="59" t="s">
        <v>209</v>
      </c>
      <c r="B92" s="18" t="s">
        <v>81</v>
      </c>
      <c r="C92" s="18">
        <v>3865</v>
      </c>
      <c r="D92" s="18" t="s">
        <v>34</v>
      </c>
      <c r="E92" s="43" t="s">
        <v>191</v>
      </c>
      <c r="F92" s="18" t="s">
        <v>21</v>
      </c>
      <c r="G92" s="18">
        <v>5</v>
      </c>
      <c r="H92" s="81">
        <v>20.41</v>
      </c>
      <c r="I92" s="14">
        <f t="shared" si="28"/>
        <v>3.1268120000000001</v>
      </c>
      <c r="J92" s="14">
        <f t="shared" si="32"/>
        <v>23.536812000000001</v>
      </c>
      <c r="K92" s="14">
        <f t="shared" si="30"/>
        <v>7.0610435999999997E-3</v>
      </c>
      <c r="L92" s="14">
        <f t="shared" si="33"/>
        <v>23.529750956400001</v>
      </c>
      <c r="M92" s="14">
        <f t="shared" si="34"/>
        <v>117.648754782</v>
      </c>
      <c r="N92" s="35">
        <f t="shared" si="26"/>
        <v>2.2379385964912286</v>
      </c>
      <c r="O92" s="107"/>
    </row>
    <row r="93" spans="1:15" s="19" customFormat="1" ht="17.100000000000001" customHeight="1" x14ac:dyDescent="0.2">
      <c r="A93" s="59" t="s">
        <v>210</v>
      </c>
      <c r="B93" s="18" t="s">
        <v>81</v>
      </c>
      <c r="C93" s="23">
        <v>3873</v>
      </c>
      <c r="D93" s="18" t="s">
        <v>34</v>
      </c>
      <c r="E93" s="24" t="s">
        <v>192</v>
      </c>
      <c r="F93" s="18" t="s">
        <v>21</v>
      </c>
      <c r="G93" s="18">
        <v>15</v>
      </c>
      <c r="H93" s="80">
        <v>12.9</v>
      </c>
      <c r="I93" s="14">
        <f t="shared" si="28"/>
        <v>1.97628</v>
      </c>
      <c r="J93" s="14">
        <f t="shared" si="32"/>
        <v>14.876280000000001</v>
      </c>
      <c r="K93" s="14">
        <f t="shared" si="30"/>
        <v>4.4628840000000003E-3</v>
      </c>
      <c r="L93" s="14">
        <f t="shared" si="33"/>
        <v>14.871817116000001</v>
      </c>
      <c r="M93" s="14">
        <f t="shared" si="34"/>
        <v>223.07725674000002</v>
      </c>
      <c r="N93" s="35">
        <f t="shared" si="26"/>
        <v>1.8961293483586479</v>
      </c>
      <c r="O93" s="107"/>
    </row>
    <row r="94" spans="1:15" s="42" customFormat="1" ht="17.25" customHeight="1" x14ac:dyDescent="0.25">
      <c r="A94" s="59" t="s">
        <v>211</v>
      </c>
      <c r="B94" s="18" t="s">
        <v>81</v>
      </c>
      <c r="C94" s="48">
        <v>38021</v>
      </c>
      <c r="D94" s="48" t="s">
        <v>34</v>
      </c>
      <c r="E94" s="70" t="s">
        <v>193</v>
      </c>
      <c r="F94" s="18" t="s">
        <v>21</v>
      </c>
      <c r="G94" s="48">
        <v>10</v>
      </c>
      <c r="H94" s="86">
        <v>22.9</v>
      </c>
      <c r="I94" s="14">
        <f t="shared" si="28"/>
        <v>3.5082800000000001</v>
      </c>
      <c r="J94" s="14">
        <f t="shared" si="32"/>
        <v>26.408279999999998</v>
      </c>
      <c r="K94" s="14">
        <f t="shared" si="30"/>
        <v>7.9224839999999987E-3</v>
      </c>
      <c r="L94" s="14">
        <f t="shared" si="33"/>
        <v>26.400357515999996</v>
      </c>
      <c r="M94" s="14">
        <f t="shared" si="34"/>
        <v>264.00357515999997</v>
      </c>
      <c r="N94" s="35">
        <f t="shared" si="26"/>
        <v>1.1834625322997414</v>
      </c>
      <c r="O94" s="107"/>
    </row>
    <row r="95" spans="1:15" s="19" customFormat="1" ht="17.100000000000001" customHeight="1" x14ac:dyDescent="0.2">
      <c r="A95" s="18" t="s">
        <v>212</v>
      </c>
      <c r="B95" s="18" t="s">
        <v>81</v>
      </c>
      <c r="C95" s="18">
        <v>3847</v>
      </c>
      <c r="D95" s="18" t="s">
        <v>34</v>
      </c>
      <c r="E95" s="43" t="s">
        <v>195</v>
      </c>
      <c r="F95" s="18" t="s">
        <v>21</v>
      </c>
      <c r="G95" s="18">
        <v>10</v>
      </c>
      <c r="H95" s="81">
        <v>29.84</v>
      </c>
      <c r="I95" s="14">
        <f t="shared" si="28"/>
        <v>4.5714880000000004</v>
      </c>
      <c r="J95" s="14">
        <f t="shared" si="32"/>
        <v>34.411487999999999</v>
      </c>
      <c r="K95" s="14">
        <f t="shared" si="30"/>
        <v>1.0323446399999998E-2</v>
      </c>
      <c r="L95" s="14">
        <f t="shared" si="33"/>
        <v>34.401164553599997</v>
      </c>
      <c r="M95" s="14">
        <f t="shared" si="34"/>
        <v>344.01164553599995</v>
      </c>
      <c r="N95" s="35">
        <f t="shared" si="26"/>
        <v>1.303056768558952</v>
      </c>
      <c r="O95" s="107"/>
    </row>
    <row r="96" spans="1:15" s="19" customFormat="1" ht="17.100000000000001" customHeight="1" x14ac:dyDescent="0.2">
      <c r="A96" s="59" t="s">
        <v>217</v>
      </c>
      <c r="B96" s="18" t="s">
        <v>81</v>
      </c>
      <c r="C96" s="18">
        <v>7145</v>
      </c>
      <c r="D96" s="18" t="s">
        <v>34</v>
      </c>
      <c r="E96" s="43" t="s">
        <v>213</v>
      </c>
      <c r="F96" s="18" t="s">
        <v>21</v>
      </c>
      <c r="G96" s="18">
        <v>4</v>
      </c>
      <c r="H96" s="81">
        <v>81.599999999999994</v>
      </c>
      <c r="I96" s="14">
        <f t="shared" si="28"/>
        <v>12.50112</v>
      </c>
      <c r="J96" s="14">
        <f t="shared" ref="J96:J100" si="35">H96+I96</f>
        <v>94.101119999999995</v>
      </c>
      <c r="K96" s="14">
        <f t="shared" si="30"/>
        <v>2.8230335999999995E-2</v>
      </c>
      <c r="L96" s="14">
        <f t="shared" ref="L96:L100" si="36">J96-K96</f>
        <v>94.072889664000002</v>
      </c>
      <c r="M96" s="14">
        <f t="shared" ref="M96:M99" si="37">L96*G96</f>
        <v>376.29155865600001</v>
      </c>
      <c r="N96" s="35">
        <f t="shared" si="26"/>
        <v>1.0938337801608582</v>
      </c>
      <c r="O96" s="107"/>
    </row>
    <row r="97" spans="1:15" s="19" customFormat="1" ht="17.100000000000001" customHeight="1" x14ac:dyDescent="0.2">
      <c r="A97" s="59" t="s">
        <v>218</v>
      </c>
      <c r="B97" s="18" t="s">
        <v>81</v>
      </c>
      <c r="C97" s="18">
        <v>9868</v>
      </c>
      <c r="D97" s="18" t="s">
        <v>34</v>
      </c>
      <c r="E97" s="47" t="s">
        <v>214</v>
      </c>
      <c r="F97" s="18" t="s">
        <v>102</v>
      </c>
      <c r="G97" s="18">
        <v>90</v>
      </c>
      <c r="H97" s="81">
        <v>4.34</v>
      </c>
      <c r="I97" s="14">
        <f t="shared" si="28"/>
        <v>0.66488800000000003</v>
      </c>
      <c r="J97" s="14">
        <f t="shared" si="35"/>
        <v>5.0048880000000002</v>
      </c>
      <c r="K97" s="14">
        <f t="shared" si="30"/>
        <v>1.5014663999999998E-3</v>
      </c>
      <c r="L97" s="14">
        <f t="shared" si="36"/>
        <v>5.0033865336000005</v>
      </c>
      <c r="M97" s="14">
        <f t="shared" si="37"/>
        <v>450.30478802400006</v>
      </c>
      <c r="N97" s="35">
        <f t="shared" si="26"/>
        <v>1.1966911764705883</v>
      </c>
      <c r="O97" s="107"/>
    </row>
    <row r="98" spans="1:15" s="19" customFormat="1" ht="17.100000000000001" customHeight="1" x14ac:dyDescent="0.2">
      <c r="A98" s="59" t="s">
        <v>219</v>
      </c>
      <c r="B98" s="18" t="s">
        <v>81</v>
      </c>
      <c r="C98" s="18">
        <v>9871</v>
      </c>
      <c r="D98" s="18" t="s">
        <v>34</v>
      </c>
      <c r="E98" s="43" t="s">
        <v>215</v>
      </c>
      <c r="F98" s="18" t="s">
        <v>102</v>
      </c>
      <c r="G98" s="18">
        <v>18</v>
      </c>
      <c r="H98" s="81">
        <v>43.98</v>
      </c>
      <c r="I98" s="14">
        <f t="shared" si="28"/>
        <v>6.7377359999999999</v>
      </c>
      <c r="J98" s="14">
        <f t="shared" si="35"/>
        <v>50.717735999999995</v>
      </c>
      <c r="K98" s="14">
        <f t="shared" si="30"/>
        <v>1.5215320799999998E-2</v>
      </c>
      <c r="L98" s="14">
        <f t="shared" si="36"/>
        <v>50.702520679199992</v>
      </c>
      <c r="M98" s="14">
        <f t="shared" si="37"/>
        <v>912.64537222559989</v>
      </c>
      <c r="N98" s="35">
        <f t="shared" si="26"/>
        <v>2.0267281105990778</v>
      </c>
      <c r="O98" s="107"/>
    </row>
    <row r="99" spans="1:15" s="19" customFormat="1" ht="17.100000000000001" customHeight="1" x14ac:dyDescent="0.2">
      <c r="A99" s="59" t="s">
        <v>220</v>
      </c>
      <c r="B99" s="18" t="s">
        <v>81</v>
      </c>
      <c r="C99" s="18">
        <v>9872</v>
      </c>
      <c r="D99" s="18" t="s">
        <v>34</v>
      </c>
      <c r="E99" s="43" t="s">
        <v>216</v>
      </c>
      <c r="F99" s="18" t="s">
        <v>102</v>
      </c>
      <c r="G99" s="18">
        <v>18</v>
      </c>
      <c r="H99" s="81">
        <v>61.18</v>
      </c>
      <c r="I99" s="14">
        <f t="shared" si="28"/>
        <v>9.372776</v>
      </c>
      <c r="J99" s="14">
        <f t="shared" si="35"/>
        <v>70.552775999999994</v>
      </c>
      <c r="K99" s="14">
        <f t="shared" si="30"/>
        <v>2.1165832799999996E-2</v>
      </c>
      <c r="L99" s="14">
        <f t="shared" si="36"/>
        <v>70.5316101672</v>
      </c>
      <c r="M99" s="14">
        <f t="shared" si="37"/>
        <v>1269.5689830096001</v>
      </c>
      <c r="N99" s="35">
        <f t="shared" si="26"/>
        <v>1.3910868576625741</v>
      </c>
      <c r="O99" s="107"/>
    </row>
    <row r="100" spans="1:15" s="19" customFormat="1" ht="17.100000000000001" customHeight="1" x14ac:dyDescent="0.2">
      <c r="A100" s="18" t="s">
        <v>243</v>
      </c>
      <c r="B100" s="18" t="s">
        <v>81</v>
      </c>
      <c r="C100" s="18">
        <v>8625</v>
      </c>
      <c r="D100" s="18" t="s">
        <v>111</v>
      </c>
      <c r="E100" s="43" t="s">
        <v>221</v>
      </c>
      <c r="F100" s="18" t="s">
        <v>222</v>
      </c>
      <c r="G100" s="18">
        <v>15</v>
      </c>
      <c r="H100" s="81">
        <v>70</v>
      </c>
      <c r="I100" s="14">
        <f t="shared" si="28"/>
        <v>10.724</v>
      </c>
      <c r="J100" s="14">
        <f t="shared" si="35"/>
        <v>80.724000000000004</v>
      </c>
      <c r="K100" s="14">
        <f t="shared" si="30"/>
        <v>2.4217199999999998E-2</v>
      </c>
      <c r="L100" s="14">
        <f t="shared" si="36"/>
        <v>80.699782800000008</v>
      </c>
      <c r="M100" s="14">
        <f t="shared" ref="M100" si="38">L100*G100</f>
        <v>1210.496742</v>
      </c>
      <c r="N100" s="35">
        <f t="shared" si="26"/>
        <v>0.95347063310450042</v>
      </c>
      <c r="O100" s="107"/>
    </row>
    <row r="101" spans="1:15" s="42" customFormat="1" ht="17.25" customHeight="1" x14ac:dyDescent="0.25">
      <c r="A101" s="18"/>
      <c r="B101" s="18"/>
      <c r="C101" s="48"/>
      <c r="D101" s="48"/>
      <c r="E101" s="70"/>
      <c r="F101" s="18"/>
      <c r="G101" s="48"/>
      <c r="H101" s="49"/>
      <c r="I101" s="14"/>
      <c r="J101" s="14"/>
      <c r="K101" s="14"/>
      <c r="L101" s="14"/>
      <c r="M101" s="14"/>
      <c r="N101" s="14"/>
      <c r="O101" s="107"/>
    </row>
    <row r="102" spans="1:15" s="42" customFormat="1" ht="17.25" customHeight="1" x14ac:dyDescent="0.25">
      <c r="A102" s="18"/>
      <c r="B102" s="18"/>
      <c r="C102" s="48"/>
      <c r="D102" s="48"/>
      <c r="E102" s="70"/>
      <c r="F102" s="18"/>
      <c r="G102" s="48"/>
      <c r="H102" s="49"/>
      <c r="I102" s="14"/>
      <c r="J102" s="14"/>
      <c r="K102" s="14"/>
      <c r="L102" s="14"/>
      <c r="M102" s="14"/>
      <c r="N102" s="14"/>
      <c r="O102" s="107"/>
    </row>
    <row r="103" spans="1:15" s="42" customFormat="1" ht="17.25" customHeight="1" x14ac:dyDescent="0.25">
      <c r="A103" s="18"/>
      <c r="B103" s="18"/>
      <c r="C103" s="18"/>
      <c r="D103" s="18"/>
      <c r="E103" s="43"/>
      <c r="F103" s="18"/>
      <c r="G103" s="18"/>
      <c r="H103" s="41"/>
      <c r="I103" s="14"/>
      <c r="J103" s="14"/>
      <c r="K103" s="14"/>
      <c r="L103" s="14"/>
      <c r="M103" s="14"/>
      <c r="N103" s="14"/>
      <c r="O103" s="107"/>
    </row>
    <row r="104" spans="1:15" s="19" customFormat="1" ht="17.25" customHeight="1" x14ac:dyDescent="0.2">
      <c r="A104" s="18"/>
      <c r="B104" s="18"/>
      <c r="C104" s="23"/>
      <c r="D104" s="18"/>
      <c r="E104" s="24"/>
      <c r="F104" s="18"/>
      <c r="G104" s="18"/>
      <c r="H104" s="26"/>
      <c r="I104" s="14"/>
      <c r="J104" s="14"/>
      <c r="K104" s="14"/>
      <c r="L104" s="14"/>
      <c r="M104" s="14"/>
      <c r="N104" s="14"/>
      <c r="O104" s="107"/>
    </row>
    <row r="105" spans="1:15" s="27" customFormat="1" ht="17.100000000000001" customHeight="1" x14ac:dyDescent="0.25">
      <c r="A105" s="102" t="s">
        <v>16</v>
      </c>
      <c r="B105" s="104" t="s">
        <v>17</v>
      </c>
      <c r="C105" s="104" t="s">
        <v>18</v>
      </c>
      <c r="D105" s="104" t="s">
        <v>19</v>
      </c>
      <c r="E105" s="104" t="s">
        <v>20</v>
      </c>
      <c r="F105" s="104" t="s">
        <v>21</v>
      </c>
      <c r="G105" s="104" t="s">
        <v>22</v>
      </c>
      <c r="H105" s="162" t="s">
        <v>23</v>
      </c>
      <c r="I105" s="162"/>
      <c r="J105" s="162"/>
      <c r="K105" s="162"/>
      <c r="L105" s="163"/>
      <c r="M105" s="104" t="s">
        <v>24</v>
      </c>
      <c r="N105" s="104" t="s">
        <v>25</v>
      </c>
      <c r="O105" s="106"/>
    </row>
    <row r="106" spans="1:15" s="27" customFormat="1" ht="17.100000000000001" customHeight="1" x14ac:dyDescent="0.25">
      <c r="A106" s="103"/>
      <c r="B106" s="105"/>
      <c r="C106" s="105"/>
      <c r="D106" s="105"/>
      <c r="E106" s="105"/>
      <c r="F106" s="105"/>
      <c r="G106" s="105"/>
      <c r="H106" s="4" t="s">
        <v>27</v>
      </c>
      <c r="I106" s="4" t="s">
        <v>28</v>
      </c>
      <c r="J106" s="4" t="s">
        <v>29</v>
      </c>
      <c r="K106" s="4" t="s">
        <v>53</v>
      </c>
      <c r="L106" s="4" t="s">
        <v>30</v>
      </c>
      <c r="M106" s="105"/>
      <c r="N106" s="105"/>
      <c r="O106" s="106"/>
    </row>
    <row r="107" spans="1:15" s="28" customFormat="1" ht="17.100000000000001" customHeight="1" x14ac:dyDescent="0.2">
      <c r="A107" s="29">
        <v>3</v>
      </c>
      <c r="B107" s="108" t="s">
        <v>38</v>
      </c>
      <c r="C107" s="109"/>
      <c r="D107" s="109"/>
      <c r="E107" s="109"/>
      <c r="F107" s="110"/>
      <c r="G107" s="30"/>
      <c r="H107" s="30"/>
      <c r="I107" s="30"/>
      <c r="J107" s="30"/>
      <c r="K107" s="30"/>
      <c r="L107" s="30"/>
      <c r="M107" s="31">
        <f>SUM(M108:M123)</f>
        <v>43646.200618477596</v>
      </c>
      <c r="N107" s="30"/>
      <c r="O107" s="106"/>
    </row>
    <row r="108" spans="1:15" s="28" customFormat="1" ht="26.25" customHeight="1" x14ac:dyDescent="0.2">
      <c r="A108" s="32" t="s">
        <v>76</v>
      </c>
      <c r="B108" s="32" t="s">
        <v>33</v>
      </c>
      <c r="C108" s="32" t="s">
        <v>58</v>
      </c>
      <c r="D108" s="32" t="s">
        <v>34</v>
      </c>
      <c r="E108" s="33" t="s">
        <v>59</v>
      </c>
      <c r="F108" s="34" t="s">
        <v>35</v>
      </c>
      <c r="G108" s="11">
        <v>180</v>
      </c>
      <c r="H108" s="76">
        <v>34.08</v>
      </c>
      <c r="I108" s="35">
        <f>H108*0.2232</f>
        <v>7.6066560000000001</v>
      </c>
      <c r="J108" s="35">
        <f>H108+I108</f>
        <v>41.686655999999999</v>
      </c>
      <c r="K108" s="35">
        <f>J108*(0.03%)</f>
        <v>1.2505996799999999E-2</v>
      </c>
      <c r="L108" s="35">
        <f>J108-K108</f>
        <v>41.674150003199998</v>
      </c>
      <c r="M108" s="35">
        <f>L108*G108</f>
        <v>7501.3470005759991</v>
      </c>
      <c r="N108" s="35">
        <f>M108/M$16</f>
        <v>0.13197826695909115</v>
      </c>
      <c r="O108" s="107"/>
    </row>
    <row r="109" spans="1:15" s="28" customFormat="1" ht="23.25" customHeight="1" x14ac:dyDescent="0.2">
      <c r="A109" s="32" t="s">
        <v>78</v>
      </c>
      <c r="B109" s="32" t="s">
        <v>33</v>
      </c>
      <c r="C109" s="32" t="s">
        <v>60</v>
      </c>
      <c r="D109" s="32" t="s">
        <v>34</v>
      </c>
      <c r="E109" s="33" t="s">
        <v>61</v>
      </c>
      <c r="F109" s="34" t="s">
        <v>35</v>
      </c>
      <c r="G109" s="11">
        <v>180</v>
      </c>
      <c r="H109" s="76">
        <v>32.08</v>
      </c>
      <c r="I109" s="35">
        <f>H109*0.2232</f>
        <v>7.1602559999999995</v>
      </c>
      <c r="J109" s="35">
        <f>H109+I109</f>
        <v>39.240255999999995</v>
      </c>
      <c r="K109" s="35">
        <f>J109*(0.03%)</f>
        <v>1.1772076799999998E-2</v>
      </c>
      <c r="L109" s="35">
        <f>J109-K109</f>
        <v>39.228483923199995</v>
      </c>
      <c r="M109" s="35">
        <f>L109*G109</f>
        <v>7061.127106175999</v>
      </c>
      <c r="N109" s="35">
        <f>M109/M$16</f>
        <v>0.12423306349905057</v>
      </c>
      <c r="O109" s="107"/>
    </row>
    <row r="110" spans="1:15" s="28" customFormat="1" ht="23.25" customHeight="1" x14ac:dyDescent="0.2">
      <c r="A110" s="11" t="s">
        <v>77</v>
      </c>
      <c r="B110" s="11" t="s">
        <v>33</v>
      </c>
      <c r="C110" s="11">
        <v>88310</v>
      </c>
      <c r="D110" s="11" t="s">
        <v>34</v>
      </c>
      <c r="E110" s="20" t="s">
        <v>79</v>
      </c>
      <c r="F110" s="13" t="s">
        <v>35</v>
      </c>
      <c r="G110" s="11">
        <v>180</v>
      </c>
      <c r="H110" s="76">
        <v>36.82</v>
      </c>
      <c r="I110" s="14">
        <f>H110*0.2232</f>
        <v>8.2182240000000011</v>
      </c>
      <c r="J110" s="14">
        <f>H110+I110</f>
        <v>45.038224</v>
      </c>
      <c r="K110" s="14">
        <f>J110*(0.03%)</f>
        <v>1.3511467199999998E-2</v>
      </c>
      <c r="L110" s="14">
        <f>J110-K110</f>
        <v>45.024712532800002</v>
      </c>
      <c r="M110" s="14">
        <f>L110*G110</f>
        <v>8104.4482559040007</v>
      </c>
      <c r="N110" s="14">
        <f>M110/M$16</f>
        <v>0.14258919569934672</v>
      </c>
      <c r="O110" s="107"/>
    </row>
    <row r="111" spans="1:15" s="28" customFormat="1" ht="23.25" customHeight="1" x14ac:dyDescent="0.2">
      <c r="A111" s="95" t="s">
        <v>225</v>
      </c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107"/>
    </row>
    <row r="112" spans="1:15" s="28" customFormat="1" ht="23.25" customHeight="1" x14ac:dyDescent="0.2">
      <c r="A112" s="11" t="s">
        <v>80</v>
      </c>
      <c r="B112" s="11" t="s">
        <v>33</v>
      </c>
      <c r="C112" s="11">
        <v>104757</v>
      </c>
      <c r="D112" s="11" t="s">
        <v>34</v>
      </c>
      <c r="E112" s="20" t="s">
        <v>223</v>
      </c>
      <c r="F112" s="13" t="s">
        <v>224</v>
      </c>
      <c r="G112" s="11">
        <v>61</v>
      </c>
      <c r="H112" s="76">
        <v>121.34</v>
      </c>
      <c r="I112" s="40">
        <f t="shared" ref="I112" si="39">H112*0.2232</f>
        <v>27.083088000000004</v>
      </c>
      <c r="J112" s="40">
        <f t="shared" ref="J112" si="40">H112+I112</f>
        <v>148.42308800000001</v>
      </c>
      <c r="K112" s="40">
        <f t="shared" ref="K112" si="41">J112*(0.03%)</f>
        <v>4.45269264E-2</v>
      </c>
      <c r="L112" s="40">
        <f t="shared" ref="L112" si="42">J112-K112</f>
        <v>148.3785610736</v>
      </c>
      <c r="M112" s="40">
        <f t="shared" ref="M112" si="43">L112*G112</f>
        <v>9051.0922254895995</v>
      </c>
      <c r="N112" s="35">
        <f t="shared" ref="N112" si="44">M112/M$16</f>
        <v>0.1592443951620017</v>
      </c>
      <c r="O112" s="107"/>
    </row>
    <row r="113" spans="1:16" s="28" customFormat="1" ht="23.25" customHeight="1" x14ac:dyDescent="0.2">
      <c r="A113" s="91" t="s">
        <v>226</v>
      </c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2"/>
      <c r="N113" s="14"/>
      <c r="O113" s="107"/>
    </row>
    <row r="114" spans="1:16" s="28" customFormat="1" ht="23.25" customHeight="1" x14ac:dyDescent="0.2">
      <c r="A114" s="40" t="s">
        <v>235</v>
      </c>
      <c r="B114" s="32" t="s">
        <v>33</v>
      </c>
      <c r="C114" s="57">
        <v>99822</v>
      </c>
      <c r="D114" s="57" t="s">
        <v>34</v>
      </c>
      <c r="E114" s="58" t="s">
        <v>227</v>
      </c>
      <c r="F114" s="13" t="s">
        <v>224</v>
      </c>
      <c r="G114" s="57">
        <f>15*2.1*2</f>
        <v>63</v>
      </c>
      <c r="H114" s="77">
        <v>1.39</v>
      </c>
      <c r="I114" s="40">
        <f t="shared" ref="I114" si="45">H114*0.2232</f>
        <v>0.31024799999999997</v>
      </c>
      <c r="J114" s="40">
        <f t="shared" ref="J114" si="46">H114+I114</f>
        <v>1.7002479999999998</v>
      </c>
      <c r="K114" s="40">
        <f t="shared" ref="K114" si="47">J114*(0.03%)</f>
        <v>5.1007439999999993E-4</v>
      </c>
      <c r="L114" s="40">
        <f t="shared" ref="L114" si="48">J114-K114</f>
        <v>1.6997379255999998</v>
      </c>
      <c r="M114" s="40">
        <f t="shared" ref="M114" si="49">L114*G114</f>
        <v>107.08348931279998</v>
      </c>
      <c r="N114" s="14">
        <f>M108/M107</f>
        <v>0.17186712461291093</v>
      </c>
      <c r="O114" s="107"/>
    </row>
    <row r="115" spans="1:16" s="28" customFormat="1" ht="23.25" customHeight="1" x14ac:dyDescent="0.2">
      <c r="A115" s="40" t="s">
        <v>236</v>
      </c>
      <c r="B115" s="32" t="s">
        <v>33</v>
      </c>
      <c r="C115" s="57">
        <v>99820</v>
      </c>
      <c r="D115" s="57" t="s">
        <v>34</v>
      </c>
      <c r="E115" s="58" t="s">
        <v>228</v>
      </c>
      <c r="F115" s="51" t="s">
        <v>224</v>
      </c>
      <c r="G115" s="57">
        <v>26</v>
      </c>
      <c r="H115" s="77">
        <v>2.56</v>
      </c>
      <c r="I115" s="40">
        <f t="shared" ref="I115" si="50">H115*0.2232</f>
        <v>0.57139200000000001</v>
      </c>
      <c r="J115" s="40">
        <f t="shared" ref="J115" si="51">H115+I115</f>
        <v>3.131392</v>
      </c>
      <c r="K115" s="40">
        <f t="shared" ref="K115" si="52">J115*(0.03%)</f>
        <v>9.3941759999999989E-4</v>
      </c>
      <c r="L115" s="40">
        <f t="shared" ref="L115" si="53">J115-K115</f>
        <v>3.1304525823999998</v>
      </c>
      <c r="M115" s="40">
        <f t="shared" ref="M115" si="54">L115*G115</f>
        <v>81.391767142399999</v>
      </c>
      <c r="N115" s="14">
        <f t="shared" ref="N115:N123" si="55">M109/M108</f>
        <v>0.94131455399061026</v>
      </c>
      <c r="O115" s="107"/>
    </row>
    <row r="116" spans="1:16" s="28" customFormat="1" ht="23.25" customHeight="1" x14ac:dyDescent="0.2">
      <c r="A116" s="40" t="s">
        <v>103</v>
      </c>
      <c r="B116" s="32" t="s">
        <v>33</v>
      </c>
      <c r="C116" s="57">
        <v>99801</v>
      </c>
      <c r="D116" s="57" t="s">
        <v>34</v>
      </c>
      <c r="E116" s="72" t="s">
        <v>229</v>
      </c>
      <c r="F116" s="51" t="s">
        <v>224</v>
      </c>
      <c r="G116" s="57">
        <v>600</v>
      </c>
      <c r="H116" s="77">
        <v>5.79</v>
      </c>
      <c r="I116" s="40">
        <f t="shared" ref="I116:I123" si="56">H116*0.2232</f>
        <v>1.2923280000000001</v>
      </c>
      <c r="J116" s="40">
        <f t="shared" ref="J116:J123" si="57">H116+I116</f>
        <v>7.0823280000000004</v>
      </c>
      <c r="K116" s="40">
        <f t="shared" ref="K116:K123" si="58">J116*(0.03%)</f>
        <v>2.1246984000000001E-3</v>
      </c>
      <c r="L116" s="40">
        <f t="shared" ref="L116:L123" si="59">J116-K116</f>
        <v>7.0802033016000001</v>
      </c>
      <c r="M116" s="40">
        <f t="shared" ref="M116:M123" si="60">L116*G116</f>
        <v>4248.1219809599997</v>
      </c>
      <c r="N116" s="14">
        <f t="shared" si="55"/>
        <v>1.1477556109725688</v>
      </c>
      <c r="O116" s="107"/>
    </row>
    <row r="117" spans="1:16" s="28" customFormat="1" ht="23.25" customHeight="1" x14ac:dyDescent="0.2">
      <c r="A117" s="40" t="s">
        <v>104</v>
      </c>
      <c r="B117" s="32" t="s">
        <v>33</v>
      </c>
      <c r="C117" s="48">
        <v>99819</v>
      </c>
      <c r="D117" s="48" t="s">
        <v>34</v>
      </c>
      <c r="E117" s="63" t="s">
        <v>230</v>
      </c>
      <c r="F117" s="51" t="s">
        <v>224</v>
      </c>
      <c r="G117" s="48">
        <v>64</v>
      </c>
      <c r="H117" s="78">
        <v>23.34</v>
      </c>
      <c r="I117" s="40">
        <f t="shared" si="56"/>
        <v>5.2094880000000003</v>
      </c>
      <c r="J117" s="40">
        <f t="shared" si="57"/>
        <v>28.549488</v>
      </c>
      <c r="K117" s="40">
        <f t="shared" si="58"/>
        <v>8.5648463999999994E-3</v>
      </c>
      <c r="L117" s="40">
        <f t="shared" si="59"/>
        <v>28.540923153600001</v>
      </c>
      <c r="M117" s="40">
        <f t="shared" si="60"/>
        <v>1826.6190818304001</v>
      </c>
      <c r="N117" s="14">
        <f t="shared" si="55"/>
        <v>0</v>
      </c>
      <c r="O117" s="107"/>
    </row>
    <row r="118" spans="1:16" s="28" customFormat="1" ht="23.25" customHeight="1" x14ac:dyDescent="0.2">
      <c r="A118" s="40" t="s">
        <v>237</v>
      </c>
      <c r="B118" s="32" t="s">
        <v>33</v>
      </c>
      <c r="C118" s="51">
        <v>99817</v>
      </c>
      <c r="D118" s="11" t="s">
        <v>34</v>
      </c>
      <c r="E118" s="52" t="s">
        <v>231</v>
      </c>
      <c r="F118" s="51" t="s">
        <v>21</v>
      </c>
      <c r="G118" s="51">
        <v>20</v>
      </c>
      <c r="H118" s="79">
        <v>6.86</v>
      </c>
      <c r="I118" s="14">
        <f t="shared" si="56"/>
        <v>1.5311520000000001</v>
      </c>
      <c r="J118" s="14">
        <f t="shared" si="57"/>
        <v>8.3911519999999999</v>
      </c>
      <c r="K118" s="14">
        <f t="shared" si="58"/>
        <v>2.5173455999999996E-3</v>
      </c>
      <c r="L118" s="14">
        <f t="shared" si="59"/>
        <v>8.3886346544000006</v>
      </c>
      <c r="M118" s="14">
        <f t="shared" si="60"/>
        <v>167.77269308800001</v>
      </c>
      <c r="N118" s="14">
        <f>M118/M107</f>
        <v>3.8439243441724348E-3</v>
      </c>
      <c r="O118" s="107"/>
    </row>
    <row r="119" spans="1:16" s="28" customFormat="1" ht="23.25" customHeight="1" x14ac:dyDescent="0.2">
      <c r="A119" s="40" t="s">
        <v>105</v>
      </c>
      <c r="B119" s="32" t="s">
        <v>33</v>
      </c>
      <c r="C119" s="51">
        <v>99807</v>
      </c>
      <c r="D119" s="11" t="s">
        <v>34</v>
      </c>
      <c r="E119" s="52" t="s">
        <v>232</v>
      </c>
      <c r="F119" s="51" t="s">
        <v>224</v>
      </c>
      <c r="G119" s="51">
        <v>102</v>
      </c>
      <c r="H119" s="79">
        <v>2.25</v>
      </c>
      <c r="I119" s="14">
        <f t="shared" si="56"/>
        <v>0.50219999999999998</v>
      </c>
      <c r="J119" s="14">
        <f t="shared" si="57"/>
        <v>2.7522000000000002</v>
      </c>
      <c r="K119" s="14">
        <f t="shared" si="58"/>
        <v>8.2565999999999998E-4</v>
      </c>
      <c r="L119" s="14">
        <f t="shared" si="59"/>
        <v>2.7513743400000004</v>
      </c>
      <c r="M119" s="14">
        <f t="shared" si="60"/>
        <v>280.64018268000001</v>
      </c>
      <c r="N119" s="14">
        <f t="shared" si="55"/>
        <v>0</v>
      </c>
      <c r="O119" s="107"/>
    </row>
    <row r="120" spans="1:16" s="28" customFormat="1" ht="23.25" customHeight="1" x14ac:dyDescent="0.2">
      <c r="A120" s="40" t="s">
        <v>106</v>
      </c>
      <c r="B120" s="32" t="s">
        <v>33</v>
      </c>
      <c r="C120" s="51">
        <v>99821</v>
      </c>
      <c r="D120" s="11" t="s">
        <v>34</v>
      </c>
      <c r="E120" s="52" t="s">
        <v>233</v>
      </c>
      <c r="F120" s="51" t="s">
        <v>224</v>
      </c>
      <c r="G120" s="51">
        <v>180</v>
      </c>
      <c r="H120" s="79">
        <v>3.93</v>
      </c>
      <c r="I120" s="14">
        <f t="shared" si="56"/>
        <v>0.87717600000000007</v>
      </c>
      <c r="J120" s="14">
        <f t="shared" si="57"/>
        <v>4.8071760000000001</v>
      </c>
      <c r="K120" s="14">
        <f t="shared" si="58"/>
        <v>1.4421528E-3</v>
      </c>
      <c r="L120" s="14">
        <f t="shared" si="59"/>
        <v>4.8057338472</v>
      </c>
      <c r="M120" s="14">
        <f t="shared" si="60"/>
        <v>865.03209249600002</v>
      </c>
      <c r="N120" s="14">
        <f>M120/M107</f>
        <v>1.9819184264340962E-2</v>
      </c>
      <c r="O120" s="107"/>
    </row>
    <row r="121" spans="1:16" s="28" customFormat="1" ht="23.25" customHeight="1" x14ac:dyDescent="0.2">
      <c r="A121" s="40" t="s">
        <v>238</v>
      </c>
      <c r="B121" s="32" t="s">
        <v>33</v>
      </c>
      <c r="C121" s="51">
        <v>99818</v>
      </c>
      <c r="D121" s="11" t="s">
        <v>34</v>
      </c>
      <c r="E121" s="52" t="s">
        <v>234</v>
      </c>
      <c r="F121" s="51" t="s">
        <v>21</v>
      </c>
      <c r="G121" s="51">
        <v>6</v>
      </c>
      <c r="H121" s="79">
        <v>6.86</v>
      </c>
      <c r="I121" s="14">
        <f t="shared" si="56"/>
        <v>1.5311520000000001</v>
      </c>
      <c r="J121" s="14">
        <f t="shared" si="57"/>
        <v>8.3911519999999999</v>
      </c>
      <c r="K121" s="14">
        <f t="shared" si="58"/>
        <v>2.5173455999999996E-3</v>
      </c>
      <c r="L121" s="14">
        <f t="shared" si="59"/>
        <v>8.3886346544000006</v>
      </c>
      <c r="M121" s="14">
        <f t="shared" si="60"/>
        <v>50.331807926400003</v>
      </c>
      <c r="N121" s="14">
        <f t="shared" si="55"/>
        <v>0.76007765216398326</v>
      </c>
      <c r="O121" s="107"/>
    </row>
    <row r="122" spans="1:16" s="28" customFormat="1" ht="23.25" customHeight="1" x14ac:dyDescent="0.2">
      <c r="A122" s="40" t="s">
        <v>241</v>
      </c>
      <c r="B122" s="32" t="s">
        <v>33</v>
      </c>
      <c r="C122" s="51">
        <v>2451</v>
      </c>
      <c r="D122" s="11" t="s">
        <v>111</v>
      </c>
      <c r="E122" s="52" t="s">
        <v>239</v>
      </c>
      <c r="F122" s="51" t="s">
        <v>224</v>
      </c>
      <c r="G122" s="51">
        <v>158</v>
      </c>
      <c r="H122" s="79">
        <v>12.12</v>
      </c>
      <c r="I122" s="14">
        <f t="shared" si="56"/>
        <v>2.705184</v>
      </c>
      <c r="J122" s="14">
        <f t="shared" si="57"/>
        <v>14.825184</v>
      </c>
      <c r="K122" s="14">
        <f t="shared" si="58"/>
        <v>4.4475551999999998E-3</v>
      </c>
      <c r="L122" s="14">
        <f t="shared" si="59"/>
        <v>14.8207364448</v>
      </c>
      <c r="M122" s="14">
        <f t="shared" si="60"/>
        <v>2341.6763582784001</v>
      </c>
      <c r="N122" s="14">
        <f t="shared" si="55"/>
        <v>52.193509615384613</v>
      </c>
      <c r="O122" s="107"/>
    </row>
    <row r="123" spans="1:16" s="28" customFormat="1" ht="23.25" customHeight="1" x14ac:dyDescent="0.2">
      <c r="A123" s="40" t="s">
        <v>242</v>
      </c>
      <c r="B123" s="32" t="s">
        <v>33</v>
      </c>
      <c r="C123" s="51">
        <v>13171</v>
      </c>
      <c r="D123" s="11" t="s">
        <v>111</v>
      </c>
      <c r="E123" s="52" t="s">
        <v>240</v>
      </c>
      <c r="F123" s="51" t="s">
        <v>224</v>
      </c>
      <c r="G123" s="51">
        <v>236</v>
      </c>
      <c r="H123" s="79">
        <v>6.79</v>
      </c>
      <c r="I123" s="14">
        <f t="shared" si="56"/>
        <v>1.515528</v>
      </c>
      <c r="J123" s="14">
        <f t="shared" si="57"/>
        <v>8.3055280000000007</v>
      </c>
      <c r="K123" s="14">
        <f t="shared" si="58"/>
        <v>2.4916584E-3</v>
      </c>
      <c r="L123" s="14">
        <f t="shared" si="59"/>
        <v>8.3030363416000004</v>
      </c>
      <c r="M123" s="14">
        <f t="shared" si="60"/>
        <v>1959.5165766176001</v>
      </c>
      <c r="N123" s="14">
        <f t="shared" si="55"/>
        <v>0.42998272884283251</v>
      </c>
      <c r="O123" s="107"/>
    </row>
    <row r="124" spans="1:16" s="28" customFormat="1" ht="23.25" customHeight="1" x14ac:dyDescent="0.2">
      <c r="A124" s="50"/>
      <c r="B124" s="11"/>
      <c r="C124" s="51"/>
      <c r="D124" s="11"/>
      <c r="E124" s="52"/>
      <c r="F124" s="51"/>
      <c r="G124" s="51"/>
      <c r="H124" s="53"/>
      <c r="I124" s="14"/>
      <c r="J124" s="14"/>
      <c r="K124" s="14"/>
      <c r="L124" s="14"/>
      <c r="M124" s="14"/>
      <c r="N124" s="14"/>
      <c r="O124" s="107"/>
    </row>
    <row r="125" spans="1:16" s="39" customFormat="1" ht="17.100000000000001" customHeight="1" x14ac:dyDescent="0.2">
      <c r="A125" s="36"/>
      <c r="B125" s="36"/>
      <c r="C125" s="36"/>
      <c r="D125" s="36"/>
      <c r="E125" s="36"/>
      <c r="F125" s="36"/>
      <c r="G125" s="36"/>
      <c r="H125" s="56"/>
      <c r="I125" s="36"/>
      <c r="J125" s="36"/>
      <c r="K125" s="36"/>
      <c r="L125" s="36"/>
      <c r="M125" s="36"/>
      <c r="N125" s="36"/>
      <c r="O125" s="107"/>
    </row>
    <row r="126" spans="1:16" s="39" customFormat="1" ht="17.100000000000001" customHeight="1" x14ac:dyDescent="0.2">
      <c r="A126" s="111"/>
      <c r="B126" s="112"/>
      <c r="C126" s="112"/>
      <c r="D126" s="112"/>
      <c r="E126" s="112"/>
      <c r="F126" s="112"/>
      <c r="G126" s="112"/>
      <c r="H126" s="37" t="s">
        <v>39</v>
      </c>
      <c r="I126" s="38"/>
      <c r="J126" s="113">
        <f>M16+M36+M107</f>
        <v>143984.54844136944</v>
      </c>
      <c r="K126" s="114"/>
      <c r="L126" s="114"/>
      <c r="M126" s="114"/>
      <c r="N126" s="115"/>
      <c r="O126" s="106"/>
      <c r="P126" s="44"/>
    </row>
    <row r="127" spans="1:16" ht="17.100000000000001" customHeight="1" x14ac:dyDescent="0.25">
      <c r="A127" s="116" t="s">
        <v>110</v>
      </c>
      <c r="B127" s="117"/>
      <c r="C127" s="117"/>
      <c r="D127" s="117"/>
      <c r="E127" s="117"/>
      <c r="F127" s="117"/>
      <c r="G127" s="117"/>
      <c r="H127" s="118"/>
      <c r="I127" s="118"/>
      <c r="J127" s="118"/>
      <c r="K127" s="118"/>
      <c r="L127" s="118"/>
      <c r="M127" s="118"/>
      <c r="N127" s="119"/>
      <c r="O127" s="106"/>
    </row>
    <row r="128" spans="1:16" ht="17.100000000000001" customHeight="1" x14ac:dyDescent="0.25">
      <c r="A128" s="120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21"/>
      <c r="O128" s="106"/>
    </row>
    <row r="129" spans="1:15" ht="17.100000000000001" customHeight="1" x14ac:dyDescent="0.25">
      <c r="A129" s="120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21"/>
      <c r="O129" s="106"/>
    </row>
    <row r="130" spans="1:15" ht="17.100000000000001" customHeight="1" x14ac:dyDescent="0.25">
      <c r="A130" s="120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21"/>
      <c r="O130" s="106"/>
    </row>
    <row r="131" spans="1:15" ht="17.100000000000001" customHeight="1" x14ac:dyDescent="0.25">
      <c r="A131" s="120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21"/>
      <c r="O131" s="106"/>
    </row>
    <row r="132" spans="1:15" ht="17.100000000000001" customHeight="1" x14ac:dyDescent="0.25">
      <c r="A132" s="120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21"/>
      <c r="O132" s="106"/>
    </row>
    <row r="133" spans="1:15" ht="17.100000000000001" customHeight="1" x14ac:dyDescent="0.25">
      <c r="A133" s="122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4"/>
      <c r="O133" s="106"/>
    </row>
    <row r="134" spans="1:15" ht="17.100000000000001" customHeight="1" x14ac:dyDescent="0.25">
      <c r="A134" s="14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43"/>
    </row>
    <row r="135" spans="1:15" ht="17.100000000000001" customHeight="1" x14ac:dyDescent="0.25">
      <c r="A135" s="144" t="s">
        <v>40</v>
      </c>
      <c r="B135" s="145"/>
      <c r="C135" s="145"/>
      <c r="D135" s="145"/>
      <c r="E135" s="145"/>
      <c r="F135" s="145"/>
      <c r="G135" s="146" t="s">
        <v>41</v>
      </c>
      <c r="H135" s="146"/>
      <c r="I135" s="146"/>
      <c r="J135" s="146"/>
      <c r="K135" s="147"/>
      <c r="L135" s="148"/>
      <c r="M135" s="148"/>
      <c r="N135" s="149"/>
      <c r="O135" s="106" t="s">
        <v>42</v>
      </c>
    </row>
    <row r="136" spans="1:15" ht="17.100000000000001" customHeight="1" x14ac:dyDescent="0.25">
      <c r="A136" s="154" t="s">
        <v>43</v>
      </c>
      <c r="B136" s="155"/>
      <c r="C136" s="155"/>
      <c r="D136" s="155"/>
      <c r="E136" s="155"/>
      <c r="F136" s="156"/>
      <c r="G136" s="160" t="s">
        <v>44</v>
      </c>
      <c r="H136" s="155"/>
      <c r="I136" s="155"/>
      <c r="J136" s="156"/>
      <c r="K136" s="150"/>
      <c r="L136" s="151"/>
      <c r="M136" s="151"/>
      <c r="N136" s="152"/>
      <c r="O136" s="106"/>
    </row>
    <row r="137" spans="1:15" ht="17.100000000000001" customHeight="1" x14ac:dyDescent="0.25">
      <c r="A137" s="157"/>
      <c r="B137" s="158"/>
      <c r="C137" s="158"/>
      <c r="D137" s="158"/>
      <c r="E137" s="158"/>
      <c r="F137" s="159"/>
      <c r="G137" s="161"/>
      <c r="H137" s="158"/>
      <c r="I137" s="158"/>
      <c r="J137" s="159"/>
      <c r="K137" s="150"/>
      <c r="L137" s="151"/>
      <c r="M137" s="151"/>
      <c r="N137" s="152"/>
      <c r="O137" s="106"/>
    </row>
    <row r="138" spans="1:15" ht="17.100000000000001" customHeight="1" x14ac:dyDescent="0.25">
      <c r="A138" s="157"/>
      <c r="B138" s="158"/>
      <c r="C138" s="158"/>
      <c r="D138" s="158"/>
      <c r="E138" s="158"/>
      <c r="F138" s="159"/>
      <c r="G138" s="161"/>
      <c r="H138" s="158"/>
      <c r="I138" s="158"/>
      <c r="J138" s="159"/>
      <c r="K138" s="150"/>
      <c r="L138" s="151"/>
      <c r="M138" s="151"/>
      <c r="N138" s="152"/>
      <c r="O138" s="106"/>
    </row>
    <row r="139" spans="1:15" ht="17.100000000000001" customHeight="1" x14ac:dyDescent="0.25">
      <c r="A139" s="157"/>
      <c r="B139" s="158"/>
      <c r="C139" s="158"/>
      <c r="D139" s="158"/>
      <c r="E139" s="158"/>
      <c r="F139" s="159"/>
      <c r="G139" s="161"/>
      <c r="H139" s="158"/>
      <c r="I139" s="158"/>
      <c r="J139" s="159"/>
      <c r="K139" s="150"/>
      <c r="L139" s="151"/>
      <c r="M139" s="151"/>
      <c r="N139" s="152"/>
      <c r="O139" s="106"/>
    </row>
    <row r="140" spans="1:15" ht="17.100000000000001" customHeight="1" x14ac:dyDescent="0.25">
      <c r="A140" s="157"/>
      <c r="B140" s="158"/>
      <c r="C140" s="158"/>
      <c r="D140" s="158"/>
      <c r="E140" s="158"/>
      <c r="F140" s="159"/>
      <c r="G140" s="161"/>
      <c r="H140" s="158"/>
      <c r="I140" s="158"/>
      <c r="J140" s="159"/>
      <c r="K140" s="150"/>
      <c r="L140" s="151"/>
      <c r="M140" s="151"/>
      <c r="N140" s="152"/>
      <c r="O140" s="106"/>
    </row>
    <row r="141" spans="1:15" ht="17.100000000000001" customHeight="1" x14ac:dyDescent="0.25">
      <c r="A141" s="157"/>
      <c r="B141" s="158"/>
      <c r="C141" s="158"/>
      <c r="D141" s="158"/>
      <c r="E141" s="158"/>
      <c r="F141" s="159"/>
      <c r="G141" s="161"/>
      <c r="H141" s="158"/>
      <c r="I141" s="158"/>
      <c r="J141" s="159"/>
      <c r="K141" s="150"/>
      <c r="L141" s="151"/>
      <c r="M141" s="151"/>
      <c r="N141" s="152"/>
      <c r="O141" s="106"/>
    </row>
    <row r="142" spans="1:15" ht="17.100000000000001" customHeight="1" x14ac:dyDescent="0.25">
      <c r="A142" s="157"/>
      <c r="B142" s="158"/>
      <c r="C142" s="158"/>
      <c r="D142" s="158"/>
      <c r="E142" s="158"/>
      <c r="F142" s="159"/>
      <c r="G142" s="161"/>
      <c r="H142" s="158"/>
      <c r="I142" s="158"/>
      <c r="J142" s="159"/>
      <c r="K142" s="150"/>
      <c r="L142" s="151"/>
      <c r="M142" s="151"/>
      <c r="N142" s="152"/>
      <c r="O142" s="106"/>
    </row>
    <row r="143" spans="1:15" ht="17.100000000000001" customHeight="1" thickBot="1" x14ac:dyDescent="0.3">
      <c r="A143" s="157"/>
      <c r="B143" s="158"/>
      <c r="C143" s="158"/>
      <c r="D143" s="158"/>
      <c r="E143" s="158"/>
      <c r="F143" s="159"/>
      <c r="G143" s="161"/>
      <c r="H143" s="158"/>
      <c r="I143" s="158"/>
      <c r="J143" s="159"/>
      <c r="K143" s="150"/>
      <c r="L143" s="151"/>
      <c r="M143" s="151"/>
      <c r="N143" s="152"/>
      <c r="O143" s="153"/>
    </row>
    <row r="144" spans="1:15" ht="17.100000000000001" customHeight="1" thickBot="1" x14ac:dyDescent="0.3">
      <c r="A144" s="126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8"/>
    </row>
    <row r="145" spans="1:19" ht="17.100000000000001" customHeight="1" x14ac:dyDescent="0.25">
      <c r="A145" s="116" t="s">
        <v>45</v>
      </c>
      <c r="B145" s="117"/>
      <c r="C145" s="117"/>
      <c r="D145" s="121"/>
      <c r="E145" s="129" t="s">
        <v>46</v>
      </c>
      <c r="F145" s="117"/>
      <c r="G145" s="117"/>
      <c r="H145" s="117"/>
      <c r="I145" s="117"/>
      <c r="J145" s="117"/>
      <c r="K145" s="131" t="s">
        <v>47</v>
      </c>
      <c r="L145" s="132"/>
      <c r="M145" s="132"/>
      <c r="N145" s="132"/>
      <c r="O145" s="136" t="s">
        <v>48</v>
      </c>
    </row>
    <row r="146" spans="1:19" ht="17.100000000000001" customHeight="1" x14ac:dyDescent="0.25">
      <c r="A146" s="122"/>
      <c r="B146" s="123"/>
      <c r="C146" s="123"/>
      <c r="D146" s="124"/>
      <c r="E146" s="130"/>
      <c r="F146" s="123"/>
      <c r="G146" s="123"/>
      <c r="H146" s="123"/>
      <c r="I146" s="123"/>
      <c r="J146" s="123"/>
      <c r="K146" s="133"/>
      <c r="L146" s="132"/>
      <c r="M146" s="132"/>
      <c r="N146" s="132"/>
      <c r="O146" s="137"/>
    </row>
    <row r="147" spans="1:19" ht="17.100000000000001" customHeight="1" x14ac:dyDescent="0.25">
      <c r="A147" s="139" t="s">
        <v>49</v>
      </c>
      <c r="B147" s="118"/>
      <c r="C147" s="118"/>
      <c r="D147" s="118"/>
      <c r="E147" s="118"/>
      <c r="F147" s="118"/>
      <c r="G147" s="118"/>
      <c r="H147" s="118"/>
      <c r="I147" s="118"/>
      <c r="J147" s="118"/>
      <c r="K147" s="133"/>
      <c r="L147" s="132"/>
      <c r="M147" s="132"/>
      <c r="N147" s="132"/>
      <c r="O147" s="137"/>
    </row>
    <row r="148" spans="1:19" ht="17.100000000000001" customHeight="1" x14ac:dyDescent="0.25">
      <c r="A148" s="120"/>
      <c r="B148" s="117"/>
      <c r="C148" s="117"/>
      <c r="D148" s="117"/>
      <c r="E148" s="117"/>
      <c r="F148" s="117"/>
      <c r="G148" s="117"/>
      <c r="H148" s="117"/>
      <c r="I148" s="117"/>
      <c r="J148" s="117"/>
      <c r="K148" s="133"/>
      <c r="L148" s="132"/>
      <c r="M148" s="132"/>
      <c r="N148" s="132"/>
      <c r="O148" s="137"/>
    </row>
    <row r="149" spans="1:19" ht="17.100000000000001" customHeight="1" x14ac:dyDescent="0.25">
      <c r="A149" s="120"/>
      <c r="B149" s="117"/>
      <c r="C149" s="117"/>
      <c r="D149" s="117"/>
      <c r="E149" s="117"/>
      <c r="F149" s="117"/>
      <c r="G149" s="117"/>
      <c r="H149" s="117"/>
      <c r="I149" s="117"/>
      <c r="J149" s="117"/>
      <c r="K149" s="133"/>
      <c r="L149" s="132"/>
      <c r="M149" s="132"/>
      <c r="N149" s="132"/>
      <c r="O149" s="137"/>
    </row>
    <row r="150" spans="1:19" ht="17.100000000000001" customHeight="1" x14ac:dyDescent="0.25">
      <c r="A150" s="120"/>
      <c r="B150" s="117"/>
      <c r="C150" s="117"/>
      <c r="D150" s="117"/>
      <c r="E150" s="117"/>
      <c r="F150" s="117"/>
      <c r="G150" s="117"/>
      <c r="H150" s="117"/>
      <c r="I150" s="117"/>
      <c r="J150" s="117"/>
      <c r="K150" s="133"/>
      <c r="L150" s="132"/>
      <c r="M150" s="132"/>
      <c r="N150" s="132"/>
      <c r="O150" s="137"/>
    </row>
    <row r="151" spans="1:19" ht="17.100000000000001" customHeight="1" thickBot="1" x14ac:dyDescent="0.3">
      <c r="A151" s="140"/>
      <c r="B151" s="141"/>
      <c r="C151" s="141"/>
      <c r="D151" s="141"/>
      <c r="E151" s="141"/>
      <c r="F151" s="141"/>
      <c r="G151" s="141"/>
      <c r="H151" s="141"/>
      <c r="I151" s="141"/>
      <c r="J151" s="141"/>
      <c r="K151" s="134"/>
      <c r="L151" s="135"/>
      <c r="M151" s="135"/>
      <c r="N151" s="135"/>
      <c r="O151" s="138"/>
    </row>
    <row r="152" spans="1:19" ht="14.1" customHeight="1" x14ac:dyDescent="0.25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</row>
    <row r="153" spans="1:19" ht="14.1" customHeight="1" x14ac:dyDescent="0.25"/>
    <row r="154" spans="1:19" ht="14.1" customHeight="1" x14ac:dyDescent="0.25"/>
    <row r="155" spans="1:19" ht="14.1" customHeight="1" x14ac:dyDescent="0.25"/>
  </sheetData>
  <sortState ref="A37:N81">
    <sortCondition ref="E37:E81"/>
  </sortState>
  <mergeCells count="79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N105:N106"/>
    <mergeCell ref="H105:L105"/>
    <mergeCell ref="M105:M106"/>
    <mergeCell ref="B14:B15"/>
    <mergeCell ref="C14:C15"/>
    <mergeCell ref="D14:D15"/>
    <mergeCell ref="A31:E31"/>
    <mergeCell ref="A26:E26"/>
    <mergeCell ref="A21:E21"/>
    <mergeCell ref="A20:E20"/>
    <mergeCell ref="A30:E30"/>
    <mergeCell ref="A134:O134"/>
    <mergeCell ref="A135:F135"/>
    <mergeCell ref="G135:J135"/>
    <mergeCell ref="K135:N143"/>
    <mergeCell ref="O135:O143"/>
    <mergeCell ref="A136:F143"/>
    <mergeCell ref="G136:J143"/>
    <mergeCell ref="A152:J152"/>
    <mergeCell ref="K152:S152"/>
    <mergeCell ref="A144:O144"/>
    <mergeCell ref="A145:D146"/>
    <mergeCell ref="E145:J146"/>
    <mergeCell ref="K145:N151"/>
    <mergeCell ref="O145:O151"/>
    <mergeCell ref="A147:J151"/>
    <mergeCell ref="O14:O133"/>
    <mergeCell ref="A34:A35"/>
    <mergeCell ref="B34:B35"/>
    <mergeCell ref="C34:C35"/>
    <mergeCell ref="D34:D35"/>
    <mergeCell ref="E34:E35"/>
    <mergeCell ref="F34:F35"/>
    <mergeCell ref="G34:G35"/>
    <mergeCell ref="B107:F107"/>
    <mergeCell ref="A126:G126"/>
    <mergeCell ref="J126:N126"/>
    <mergeCell ref="A127:N133"/>
    <mergeCell ref="E105:E106"/>
    <mergeCell ref="F105:F106"/>
    <mergeCell ref="G105:G106"/>
    <mergeCell ref="E14:E15"/>
    <mergeCell ref="A113:M113"/>
    <mergeCell ref="A14:A15"/>
    <mergeCell ref="A111:N111"/>
    <mergeCell ref="H34:L34"/>
    <mergeCell ref="M34:M35"/>
    <mergeCell ref="F14:F15"/>
    <mergeCell ref="G14:G15"/>
    <mergeCell ref="H14:L14"/>
    <mergeCell ref="M14:M15"/>
    <mergeCell ref="N14:N15"/>
    <mergeCell ref="N34:N35"/>
    <mergeCell ref="B36:F36"/>
    <mergeCell ref="A105:A106"/>
    <mergeCell ref="B105:B106"/>
    <mergeCell ref="C105:C106"/>
    <mergeCell ref="D105:D106"/>
  </mergeCells>
  <phoneticPr fontId="13" type="noConversion"/>
  <hyperlinks>
    <hyperlink ref="E56" r:id="rId1" display="FITA VEDA ROSCA EM ROLOS DE 18 MM X 50 M (L X C)"/>
    <hyperlink ref="E57" r:id="rId2" display="FITA VEDA ROSCA EM ROLOS DE 18 MM X 50 M (L X C)"/>
    <hyperlink ref="E58" r:id="rId3" display="VALVULA DE DESCARGA EM METAL CROMADO PARA MICTORIO COM ACIONAMENTO POR PRESSAO E FECHAMENTO AUTOMATICO"/>
    <hyperlink ref="E68" r:id="rId4" display="VALVULA DE DESCARGA EM METAL CROMADO PARA MICTORIO COM ACIONAMENTO POR PRESSAO E FECHAMENTO AUTOMATICO"/>
    <hyperlink ref="E93" r:id="rId5" display="VALVULA DE DESCARGA EM METAL CROMADO PARA MICTORIO COM ACIONAMENTO POR PRESSAO E FECHAMENTO AUTOMATICO"/>
    <hyperlink ref="E97" r:id="rId6" display="FITA VEDA ROSCA EM ROLOS DE 18 MM X 50 M (L X C)"/>
  </hyperlinks>
  <pageMargins left="0.25" right="0.25" top="0.75" bottom="0.75" header="0.3" footer="0.3"/>
  <pageSetup paperSize="9" scale="53" orientation="landscape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5"/>
  <sheetViews>
    <sheetView workbookViewId="0">
      <selection activeCell="G48" sqref="G48"/>
    </sheetView>
  </sheetViews>
  <sheetFormatPr defaultRowHeight="15" x14ac:dyDescent="0.25"/>
  <cols>
    <col min="1" max="1" width="21.85546875" bestFit="1" customWidth="1"/>
  </cols>
  <sheetData>
    <row r="1" spans="1:1" x14ac:dyDescent="0.25">
      <c r="A1" s="90">
        <v>45778</v>
      </c>
    </row>
    <row r="3" spans="1:1" x14ac:dyDescent="0.25">
      <c r="A3" t="s">
        <v>249</v>
      </c>
    </row>
    <row r="4" spans="1:1" x14ac:dyDescent="0.25">
      <c r="A4" t="s">
        <v>250</v>
      </c>
    </row>
    <row r="5" spans="1:1" x14ac:dyDescent="0.25">
      <c r="A5" t="s">
        <v>251</v>
      </c>
    </row>
    <row r="6" spans="1:1" x14ac:dyDescent="0.25">
      <c r="A6" t="s">
        <v>252</v>
      </c>
    </row>
    <row r="7" spans="1:1" x14ac:dyDescent="0.25">
      <c r="A7" t="s">
        <v>253</v>
      </c>
    </row>
    <row r="8" spans="1:1" x14ac:dyDescent="0.25">
      <c r="A8" t="s">
        <v>254</v>
      </c>
    </row>
    <row r="9" spans="1:1" x14ac:dyDescent="0.25">
      <c r="A9" t="s">
        <v>255</v>
      </c>
    </row>
    <row r="10" spans="1:1" x14ac:dyDescent="0.25">
      <c r="A10" t="s">
        <v>256</v>
      </c>
    </row>
    <row r="12" spans="1:1" x14ac:dyDescent="0.25">
      <c r="A12" t="s">
        <v>257</v>
      </c>
    </row>
    <row r="13" spans="1:1" x14ac:dyDescent="0.25">
      <c r="A13" t="s">
        <v>258</v>
      </c>
    </row>
    <row r="14" spans="1:1" x14ac:dyDescent="0.25">
      <c r="A14" t="s">
        <v>259</v>
      </c>
    </row>
    <row r="15" spans="1:1" x14ac:dyDescent="0.25">
      <c r="A15" t="s">
        <v>260</v>
      </c>
    </row>
    <row r="17" spans="1:1" x14ac:dyDescent="0.25">
      <c r="A17" t="s">
        <v>261</v>
      </c>
    </row>
    <row r="18" spans="1:1" x14ac:dyDescent="0.25">
      <c r="A18" t="s">
        <v>262</v>
      </c>
    </row>
    <row r="19" spans="1:1" x14ac:dyDescent="0.25">
      <c r="A19" t="s">
        <v>263</v>
      </c>
    </row>
    <row r="21" spans="1:1" x14ac:dyDescent="0.25">
      <c r="A21" t="s">
        <v>264</v>
      </c>
    </row>
    <row r="22" spans="1:1" x14ac:dyDescent="0.25">
      <c r="A22" t="s">
        <v>265</v>
      </c>
    </row>
    <row r="24" spans="1:1" x14ac:dyDescent="0.25">
      <c r="A24" t="s">
        <v>266</v>
      </c>
    </row>
    <row r="25" spans="1:1" x14ac:dyDescent="0.25">
      <c r="A25" t="s">
        <v>267</v>
      </c>
    </row>
    <row r="31" spans="1:1" x14ac:dyDescent="0.25">
      <c r="A31" s="90">
        <v>45809</v>
      </c>
    </row>
    <row r="33" spans="1:1" x14ac:dyDescent="0.25">
      <c r="A33" t="s">
        <v>249</v>
      </c>
    </row>
    <row r="34" spans="1:1" x14ac:dyDescent="0.25">
      <c r="A34" t="s">
        <v>250</v>
      </c>
    </row>
    <row r="35" spans="1:1" x14ac:dyDescent="0.25">
      <c r="A35" t="s">
        <v>251</v>
      </c>
    </row>
    <row r="36" spans="1:1" x14ac:dyDescent="0.25">
      <c r="A36" t="s">
        <v>268</v>
      </c>
    </row>
    <row r="37" spans="1:1" x14ac:dyDescent="0.25">
      <c r="A37" t="s">
        <v>269</v>
      </c>
    </row>
    <row r="38" spans="1:1" x14ac:dyDescent="0.25">
      <c r="A38" t="s">
        <v>270</v>
      </c>
    </row>
    <row r="39" spans="1:1" x14ac:dyDescent="0.25">
      <c r="A39" t="s">
        <v>271</v>
      </c>
    </row>
    <row r="40" spans="1:1" x14ac:dyDescent="0.25">
      <c r="A40" t="s">
        <v>256</v>
      </c>
    </row>
    <row r="42" spans="1:1" x14ac:dyDescent="0.25">
      <c r="A42" t="s">
        <v>257</v>
      </c>
    </row>
    <row r="43" spans="1:1" x14ac:dyDescent="0.25">
      <c r="A43" t="s">
        <v>258</v>
      </c>
    </row>
    <row r="44" spans="1:1" x14ac:dyDescent="0.25">
      <c r="A44" t="s">
        <v>272</v>
      </c>
    </row>
    <row r="45" spans="1:1" x14ac:dyDescent="0.25">
      <c r="A45" t="s">
        <v>260</v>
      </c>
    </row>
    <row r="47" spans="1:1" x14ac:dyDescent="0.25">
      <c r="A47" t="s">
        <v>261</v>
      </c>
    </row>
    <row r="48" spans="1:1" x14ac:dyDescent="0.25">
      <c r="A48" t="s">
        <v>273</v>
      </c>
    </row>
    <row r="49" spans="1:1" x14ac:dyDescent="0.25">
      <c r="A49" t="s">
        <v>274</v>
      </c>
    </row>
    <row r="51" spans="1:1" x14ac:dyDescent="0.25">
      <c r="A51" t="s">
        <v>264</v>
      </c>
    </row>
    <row r="52" spans="1:1" x14ac:dyDescent="0.25">
      <c r="A52" t="s">
        <v>265</v>
      </c>
    </row>
    <row r="54" spans="1:1" x14ac:dyDescent="0.25">
      <c r="A54" t="s">
        <v>266</v>
      </c>
    </row>
    <row r="55" spans="1:1" x14ac:dyDescent="0.25">
      <c r="A55" t="s">
        <v>267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132A523-BB4D-4565-80D9-AAA6C21776DF}"/>
</file>

<file path=customXml/itemProps2.xml><?xml version="1.0" encoding="utf-8"?>
<ds:datastoreItem xmlns:ds="http://schemas.openxmlformats.org/officeDocument/2006/customXml" ds:itemID="{E0C10A10-3BCC-4C8D-A2AD-FE9017AB77D2}"/>
</file>

<file path=customXml/itemProps3.xml><?xml version="1.0" encoding="utf-8"?>
<ds:datastoreItem xmlns:ds="http://schemas.openxmlformats.org/officeDocument/2006/customXml" ds:itemID="{40AA8CD1-76EA-4929-A525-29A6955A79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Folhas ponto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2025-08-18T17:50:16Z</cp:lastPrinted>
  <dcterms:created xsi:type="dcterms:W3CDTF">2022-01-02T19:12:46Z</dcterms:created>
  <dcterms:modified xsi:type="dcterms:W3CDTF">2025-08-18T18:08:07Z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