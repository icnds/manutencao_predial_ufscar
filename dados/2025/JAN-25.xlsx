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2-Janeiro-25\"/>
    </mc:Choice>
  </mc:AlternateContent>
  <xr:revisionPtr revIDLastSave="0" documentId="13_ncr:1_{DE8106E7-5B6A-4782-AA31-C8F48A0FC4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Vidros" sheetId="2" r:id="rId2"/>
  </sheets>
  <definedNames>
    <definedName name="_xlnm.Print_Area" localSheetId="0">'São Carlos'!$A$1:$O$114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0" i="1" l="1"/>
  <c r="J80" i="1" s="1"/>
  <c r="K80" i="1" s="1"/>
  <c r="I82" i="1"/>
  <c r="J82" i="1" s="1"/>
  <c r="K82" i="1" s="1"/>
  <c r="I83" i="1"/>
  <c r="J83" i="1" s="1"/>
  <c r="K83" i="1" s="1"/>
  <c r="I81" i="1"/>
  <c r="J81" i="1" s="1"/>
  <c r="I79" i="1"/>
  <c r="J79" i="1" s="1"/>
  <c r="I78" i="1"/>
  <c r="J78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K56" i="1" s="1"/>
  <c r="I55" i="1"/>
  <c r="J55" i="1" s="1"/>
  <c r="I54" i="1"/>
  <c r="J54" i="1" s="1"/>
  <c r="I53" i="1"/>
  <c r="J53" i="1" s="1"/>
  <c r="K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38" i="1"/>
  <c r="J38" i="1" s="1"/>
  <c r="I39" i="1"/>
  <c r="J39" i="1" s="1"/>
  <c r="K39" i="1" s="1"/>
  <c r="I40" i="1"/>
  <c r="J40" i="1" s="1"/>
  <c r="I37" i="1"/>
  <c r="J37" i="1" s="1"/>
  <c r="I36" i="1"/>
  <c r="J36" i="1" s="1"/>
  <c r="I35" i="1"/>
  <c r="J35" i="1" s="1"/>
  <c r="K35" i="1" s="1"/>
  <c r="L35" i="1" s="1"/>
  <c r="G35" i="1"/>
  <c r="G34" i="1"/>
  <c r="I34" i="1"/>
  <c r="J34" i="1" s="1"/>
  <c r="I33" i="1"/>
  <c r="J33" i="1" s="1"/>
  <c r="K81" i="1" l="1"/>
  <c r="L81" i="1" s="1"/>
  <c r="M81" i="1" s="1"/>
  <c r="M35" i="1"/>
  <c r="L82" i="1"/>
  <c r="M82" i="1" s="1"/>
  <c r="L80" i="1"/>
  <c r="M80" i="1" s="1"/>
  <c r="L83" i="1"/>
  <c r="M83" i="1" s="1"/>
  <c r="K79" i="1"/>
  <c r="L79" i="1" s="1"/>
  <c r="M79" i="1" s="1"/>
  <c r="K78" i="1"/>
  <c r="L78" i="1" s="1"/>
  <c r="M78" i="1" s="1"/>
  <c r="K62" i="1"/>
  <c r="L62" i="1" s="1"/>
  <c r="M62" i="1" s="1"/>
  <c r="K61" i="1"/>
  <c r="L61" i="1" s="1"/>
  <c r="M61" i="1" s="1"/>
  <c r="K60" i="1"/>
  <c r="L60" i="1" s="1"/>
  <c r="M60" i="1" s="1"/>
  <c r="K59" i="1"/>
  <c r="L59" i="1" s="1"/>
  <c r="M59" i="1" s="1"/>
  <c r="K58" i="1"/>
  <c r="L58" i="1" s="1"/>
  <c r="M58" i="1" s="1"/>
  <c r="K57" i="1"/>
  <c r="L57" i="1" s="1"/>
  <c r="M57" i="1" s="1"/>
  <c r="L56" i="1"/>
  <c r="M56" i="1" s="1"/>
  <c r="K55" i="1"/>
  <c r="L55" i="1" s="1"/>
  <c r="M55" i="1" s="1"/>
  <c r="K54" i="1"/>
  <c r="L54" i="1" s="1"/>
  <c r="M54" i="1" s="1"/>
  <c r="L53" i="1"/>
  <c r="M53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M49" i="1" s="1"/>
  <c r="K48" i="1"/>
  <c r="L48" i="1" s="1"/>
  <c r="M48" i="1" s="1"/>
  <c r="K47" i="1"/>
  <c r="L47" i="1" s="1"/>
  <c r="M47" i="1" s="1"/>
  <c r="K46" i="1"/>
  <c r="L46" i="1" s="1"/>
  <c r="M46" i="1" s="1"/>
  <c r="N46" i="1" s="1"/>
  <c r="K42" i="1"/>
  <c r="L42" i="1" s="1"/>
  <c r="M42" i="1" s="1"/>
  <c r="K45" i="1"/>
  <c r="L45" i="1" s="1"/>
  <c r="M45" i="1" s="1"/>
  <c r="K44" i="1"/>
  <c r="L44" i="1" s="1"/>
  <c r="M44" i="1" s="1"/>
  <c r="K43" i="1"/>
  <c r="L43" i="1" s="1"/>
  <c r="M43" i="1" s="1"/>
  <c r="K41" i="1"/>
  <c r="L41" i="1" s="1"/>
  <c r="M41" i="1" s="1"/>
  <c r="K40" i="1"/>
  <c r="L40" i="1" s="1"/>
  <c r="M40" i="1" s="1"/>
  <c r="K38" i="1"/>
  <c r="L38" i="1" s="1"/>
  <c r="M38" i="1" s="1"/>
  <c r="N38" i="1" s="1"/>
  <c r="L39" i="1"/>
  <c r="M39" i="1" s="1"/>
  <c r="K37" i="1"/>
  <c r="L37" i="1" s="1"/>
  <c r="M37" i="1" s="1"/>
  <c r="K36" i="1"/>
  <c r="L36" i="1" s="1"/>
  <c r="M36" i="1" s="1"/>
  <c r="N36" i="1" s="1"/>
  <c r="K34" i="1"/>
  <c r="L34" i="1" s="1"/>
  <c r="M34" i="1" s="1"/>
  <c r="K33" i="1"/>
  <c r="L33" i="1" s="1"/>
  <c r="M33" i="1" s="1"/>
  <c r="I87" i="1"/>
  <c r="J87" i="1" s="1"/>
  <c r="I86" i="1"/>
  <c r="J86" i="1" s="1"/>
  <c r="I85" i="1"/>
  <c r="J85" i="1" s="1"/>
  <c r="I37" i="2"/>
  <c r="J37" i="2"/>
  <c r="H29" i="2"/>
  <c r="H28" i="2"/>
  <c r="H27" i="2"/>
  <c r="H26" i="2"/>
  <c r="I32" i="1"/>
  <c r="J32" i="1" s="1"/>
  <c r="N51" i="1" l="1"/>
  <c r="N48" i="1"/>
  <c r="N60" i="1"/>
  <c r="N40" i="1"/>
  <c r="N58" i="1"/>
  <c r="N55" i="1"/>
  <c r="N52" i="1"/>
  <c r="N59" i="1"/>
  <c r="N37" i="1"/>
  <c r="N41" i="1"/>
  <c r="N45" i="1"/>
  <c r="N47" i="1"/>
  <c r="N50" i="1"/>
  <c r="N53" i="1"/>
  <c r="N57" i="1"/>
  <c r="N62" i="1"/>
  <c r="N49" i="1"/>
  <c r="N56" i="1"/>
  <c r="N61" i="1"/>
  <c r="N39" i="1"/>
  <c r="N42" i="1"/>
  <c r="N54" i="1"/>
  <c r="N35" i="1"/>
  <c r="N34" i="1"/>
  <c r="N44" i="1"/>
  <c r="N43" i="1"/>
  <c r="K87" i="1"/>
  <c r="L87" i="1" s="1"/>
  <c r="M87" i="1" s="1"/>
  <c r="K85" i="1"/>
  <c r="L85" i="1" s="1"/>
  <c r="M85" i="1" s="1"/>
  <c r="K86" i="1"/>
  <c r="L86" i="1" s="1"/>
  <c r="M86" i="1" s="1"/>
  <c r="H31" i="2"/>
  <c r="K32" i="1"/>
  <c r="L32" i="1" s="1"/>
  <c r="M32" i="1" s="1"/>
  <c r="N33" i="1" s="1"/>
  <c r="H22" i="2" l="1"/>
  <c r="H21" i="2"/>
  <c r="H20" i="2"/>
  <c r="H19" i="2"/>
  <c r="H18" i="2"/>
  <c r="H17" i="2"/>
  <c r="H16" i="2"/>
  <c r="H15" i="2"/>
  <c r="H14" i="2"/>
  <c r="H13" i="2"/>
  <c r="H12" i="2"/>
  <c r="H4" i="2" l="1"/>
  <c r="H5" i="2"/>
  <c r="H6" i="2"/>
  <c r="H7" i="2"/>
  <c r="H8" i="2"/>
  <c r="H9" i="2"/>
  <c r="H10" i="2"/>
  <c r="H11" i="2"/>
  <c r="H23" i="2" l="1"/>
  <c r="I76" i="1" l="1"/>
  <c r="J76" i="1" s="1"/>
  <c r="I74" i="1"/>
  <c r="J74" i="1" s="1"/>
  <c r="I75" i="1"/>
  <c r="J75" i="1" s="1"/>
  <c r="K75" i="1" s="1"/>
  <c r="K76" i="1" l="1"/>
  <c r="L76" i="1" s="1"/>
  <c r="M76" i="1" s="1"/>
  <c r="K74" i="1"/>
  <c r="L74" i="1" s="1"/>
  <c r="M74" i="1" s="1"/>
  <c r="L75" i="1"/>
  <c r="M75" i="1" s="1"/>
  <c r="M73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80" i="1" s="1"/>
  <c r="N82" i="1" l="1"/>
  <c r="N81" i="1"/>
  <c r="N83" i="1"/>
  <c r="N78" i="1"/>
  <c r="N79" i="1"/>
  <c r="N86" i="1"/>
  <c r="N85" i="1"/>
  <c r="N87" i="1"/>
  <c r="N74" i="1"/>
  <c r="N76" i="1"/>
  <c r="N75" i="1"/>
  <c r="N19" i="1"/>
  <c r="N18" i="1"/>
  <c r="N23" i="1"/>
  <c r="N21" i="1"/>
  <c r="N26" i="1"/>
  <c r="N20" i="1"/>
  <c r="N27" i="1"/>
  <c r="N25" i="1"/>
  <c r="N24" i="1"/>
  <c r="N28" i="1"/>
  <c r="N22" i="1"/>
  <c r="N17" i="1"/>
  <c r="J89" i="1"/>
  <c r="N16" i="1" l="1"/>
</calcChain>
</file>

<file path=xl/sharedStrings.xml><?xml version="1.0" encoding="utf-8"?>
<sst xmlns="http://schemas.openxmlformats.org/spreadsheetml/2006/main" count="404" uniqueCount="198">
  <si>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</si>
  <si>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</si>
  <si>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</si>
  <si>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</si>
  <si>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</si>
  <si>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</si>
  <si>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</si>
  <si>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</si>
  <si>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</si>
  <si>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</si>
  <si>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</si>
  <si>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</si>
  <si>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</si>
  <si>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</si>
  <si>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</si>
  <si>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</si>
  <si>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</si>
  <si>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</si>
  <si>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</si>
  <si>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</si>
  <si>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</si>
  <si>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</si>
  <si>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</si>
  <si>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</si>
  <si>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</si>
  <si>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</si>
  <si>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</si>
  <si>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</si>
  <si>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</si>
  <si>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</si>
  <si>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</si>
  <si>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</si>
  <si>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</si>
  <si>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</si>
  <si>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</si>
  <si>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</si>
  <si>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</si>
  <si>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</si>
  <si>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</si>
  <si>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</si>
  <si>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</si>
  <si>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</si>
  <si>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</si>
  <si>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</si>
  <si>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</si>
  <si>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</si>
  <si>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</si>
  <si>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</si>
  <si>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</si>
  <si>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</si>
  <si>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</si>
  <si>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</si>
  <si>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</si>
  <si>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</si>
  <si>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</si>
  <si>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</si>
  <si>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</si>
  <si>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</si>
  <si>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</si>
  <si>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</si>
  <si>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</si>
  <si>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</si>
  <si>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</si>
  <si>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</si>
  <si>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</si>
  <si>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</si>
  <si>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</si>
  <si>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</si>
  <si>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</si>
  <si>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</si>
  <si>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</si>
  <si>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</si>
  <si>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</si>
  <si>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</si>
  <si>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</si>
  <si>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</si>
  <si>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</si>
  <si>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</si>
  <si>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</si>
  <si>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</si>
  <si>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</si>
  <si>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</si>
  <si>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3.4</t>
  </si>
  <si>
    <t>3.5</t>
  </si>
  <si>
    <t>3.6</t>
  </si>
  <si>
    <t>3.7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</si>
  <si>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</si>
  <si>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</si>
  <si>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</si>
  <si>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</si>
  <si>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</si>
  <si>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</si>
  <si>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</si>
  <si>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</si>
  <si>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</si>
  <si>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</si>
  <si>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</si>
  <si>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</si>
  <si>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</si>
  <si>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</si>
  <si>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</si>
  <si>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</si>
  <si>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</si>
  <si>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</si>
  <si>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</si>
  <si>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ORSE</t>
  </si>
  <si>
    <t>TORNEIRA METALICA CROMADA PARA JARDIM / TANQUE, COM BICO PLASTICO, CANO LONGO, DE PAREDE, PADRAO POPULAR / USO GERAL , 1/2 " OU 3/4 " (REF 1153 / 1130)</t>
  </si>
  <si>
    <t>L</t>
  </si>
  <si>
    <t>Local</t>
  </si>
  <si>
    <t>Quant.</t>
  </si>
  <si>
    <t>largura (cm)</t>
  </si>
  <si>
    <t>Comprimento (Cm)</t>
  </si>
  <si>
    <t>total m²</t>
  </si>
  <si>
    <t>Vidro 3mm</t>
  </si>
  <si>
    <t>2.6</t>
  </si>
  <si>
    <t>2.4</t>
  </si>
  <si>
    <t>2.22</t>
  </si>
  <si>
    <t>2.2</t>
  </si>
  <si>
    <t>2.8</t>
  </si>
  <si>
    <t>2.13</t>
  </si>
  <si>
    <t>2.14</t>
  </si>
  <si>
    <t>2.16</t>
  </si>
  <si>
    <t>2.17</t>
  </si>
  <si>
    <t>2.19</t>
  </si>
  <si>
    <t>2.21</t>
  </si>
  <si>
    <t>2.26</t>
  </si>
  <si>
    <t>2.27</t>
  </si>
  <si>
    <t>letras</t>
  </si>
  <si>
    <t>Berçario</t>
  </si>
  <si>
    <t>Laboratorio Quimica</t>
  </si>
  <si>
    <t>massa vidro</t>
  </si>
  <si>
    <t>pedal bike</t>
  </si>
  <si>
    <t>Nucleo professores</t>
  </si>
  <si>
    <t>SIM</t>
  </si>
  <si>
    <t>vidro divisoria</t>
  </si>
  <si>
    <t>reitoria</t>
  </si>
  <si>
    <t>regulangem vitro caindo</t>
  </si>
  <si>
    <t>OBS</t>
  </si>
  <si>
    <t>Almoxarifado</t>
  </si>
  <si>
    <t>colocação de massa de vidro</t>
  </si>
  <si>
    <t>DEQ</t>
  </si>
  <si>
    <t>SIFAO / TUBO SINFONADO EXTENSIVEL/SANFONADO, UNIVERSAL/ SIMPLES, ENTRE *50 A 70* CM, DE PLASTICO BRANCO</t>
  </si>
  <si>
    <t>2.30</t>
  </si>
  <si>
    <t>ADAPTADOR PVC SOLDAVEL CURTO COM BOLSA E ROSCA, 25 MM X 3/4", PARA AGUA FRIA</t>
  </si>
  <si>
    <t>LUVA PVC SOLDAVEL, 25 MM, PARA AGUA FRIA PREDIAL</t>
  </si>
  <si>
    <t>TE PVC, SOLDAVEL, COM BUCHA DE LATAO NA BOLSA CENTRAL, 90 GRAUS, 25 MM X 3/4", PARA AGUA FRIA PREDIAL</t>
  </si>
  <si>
    <t>2.29</t>
  </si>
  <si>
    <t>2.31</t>
  </si>
  <si>
    <t>3.10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</si>
  <si>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</si>
  <si>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</si>
  <si>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</si>
  <si>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APLICAÇÃO MANUAL DE MASSA ACRÍLICA EM PAREDES EXTERNAS DE CASAS, DUAS DEMÃOS. AF_05/2017</t>
  </si>
  <si>
    <t>H</t>
  </si>
  <si>
    <t>3.8</t>
  </si>
  <si>
    <t>3.9</t>
  </si>
  <si>
    <t>3.12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</si>
  <si>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JANEIRO/2025</t>
    </r>
  </si>
  <si>
    <t>PINTURA REITORIA</t>
  </si>
  <si>
    <t>TELHA ESTRUTURAL DE FIBROCIMENTO 2 ABAS, DE 1,00 X 6,00 M (SEM AMIANTO)</t>
  </si>
  <si>
    <t>Redutor químico tipo 2002 acabamento (Thinner)</t>
  </si>
  <si>
    <t>TINTA ACRILICA PREMIUM PARA PISO</t>
  </si>
  <si>
    <t>VERNIZ TIPO COPAL PARA MADEIRA, BRILHANTE, USO INTERNO</t>
  </si>
  <si>
    <t>MANTA LIQUIDA DE BASE ASFALTICA MODIFICADA COM A ADICAO DE ELASTOMEROS DILUIDOS EM SOLVENTE ORGANICO, APLICACAO A FRIO (MEMBRANA IMPERMEABILIZANTE ASFALTICA)</t>
  </si>
  <si>
    <t>KG</t>
  </si>
  <si>
    <t>ANEL DE VEDACAO, PVC FLEXIVEL, 100 MM, PARA SAIDA DE BACIA / VASO SANITARIO</t>
  </si>
  <si>
    <t>ADAPTADOR CPVC, ROSCAVEL, COM FLANGES E ANEL DE VEDACAO, 22 MM, CAIXA D'AGUA PARA AGUA QUENTE</t>
  </si>
  <si>
    <t>ADAPTADOR CPVC, ROSCAVEL, COM FLANGES E ANEL DE VEDACAO, 35 MM, CAIXA D'AGUA PARA AGUA QUENTE</t>
  </si>
  <si>
    <t>TUBO CPVC, SOLDAVEL, 22 MM, AGUA QUENTE PREDIAL (NBR 15884)</t>
  </si>
  <si>
    <t>M</t>
  </si>
  <si>
    <t>TE MISTURADOR DE TRANSICAO, CPVC, COM ROSCA, 22 MM X 3/4", PARA AGUA QUENTE</t>
  </si>
  <si>
    <t>REGISTRO PRESSAO BRUTO EM LATAO FORJADO, BITOLA 3/4" (REF 1400)</t>
  </si>
  <si>
    <t>JOELHO PVC, SOLDAVEL, COM BUCHA DE LATAO, 90 GRAUS, 25 MM X 1/2", PARA AGUA FRIA PREDIAL</t>
  </si>
  <si>
    <t>6.95.48</t>
  </si>
  <si>
    <t>KIT REPARO CAIXA ACOPLADA</t>
  </si>
  <si>
    <t>BUCHA DE REDUCAO DE FERRO GALVANIZADO, COM ROSCA BSP, DE 3/4" X 1/2"</t>
  </si>
  <si>
    <t>CONJUNTO DE LIGACAO AJUSTAVEL, PARA VASO / BACIA SANITARIA, EM PLASTICO BRANCO, COM TUBO, CANOPLA E ESPUD</t>
  </si>
  <si>
    <t>ENGATE / RABICHO FLEXIVEL INOX 1/2 " X 40 CM</t>
  </si>
  <si>
    <t>TORNEIRA DE BOIA CONVENCIONAL PARA CAIXA D'AGUA, AGUA FRIA, 3/4", COM HASTE E TORNEIRA METALICOS E BALAO PLASTICO</t>
  </si>
  <si>
    <t>TORNEIRA DE BOIA CONVENCIONAL PARA CAIXA D'AGUA, 1", AGUA FRIA, COM HASTE E TORNEIRA METALICOS E BALAO PLASTICO</t>
  </si>
  <si>
    <t>TUBO PVC SERIE NORMAL, DN 100 MM, PARA ESGOTO PREDIAL (NBR 5688)</t>
  </si>
  <si>
    <t>FITA ISOLANTE ADESIVA ANTICHAMA, USO ATE 750 V, EM ROLO DE 19 MM X 20 M</t>
  </si>
  <si>
    <t>CHUVEIRO COMUM EM PLASTICO BRANCO, COM CANO, 3 TEMPERATURAS, 5500 W (110/220 V)</t>
  </si>
  <si>
    <t>BACIA SANITARIA (VASO) COM CAIXA ACOPLADA, SIFAO OCULTO / CARENADO, DE LOUCA BRANCA (SEM ASSENTO) - PADRAO ALTO</t>
  </si>
  <si>
    <t>REGISTRO DE ESFERA, PVC, COM VOLANTE, VS, SOLDAVEL, DN 25 MM, COM CORPO DIVIDIDO</t>
  </si>
  <si>
    <t>ADAPTADOR PVC SOLDAVEL CURTO COM BOLSA E ROSCA, 32 MM X 1", PARA AGUA FRIA</t>
  </si>
  <si>
    <t>BUCHA DE REDUCAO DE PVC, SOLDAVEL, CURTA, COM 32 X 25 MM, PARA AGUA FRIA PREDIAL</t>
  </si>
  <si>
    <t>SOQUETE DE PVC / TERMOPLASTICO BASE E27, COM RABICHO, PARA LAMPADAS</t>
  </si>
  <si>
    <t>REMOÇÃO CALHAS E RUFOS, DE FORMA MANUAL, SEM REAPROVEITAMENTO. AF_09/2023</t>
  </si>
  <si>
    <t>SERVIÇO DE CALHAS E MANUTENÇÃO TELHADO NAP</t>
  </si>
  <si>
    <t>RUFO EM CHAPA DE AÇO GALVANIZADO NÚMERO 24, CORTE DE 25 CM, INCLUSO TRANSPORTE VERTICAL. AF_07/2019</t>
  </si>
  <si>
    <t>TELHADISTA COM ENCARGOS COMPLEMENTARES</t>
  </si>
  <si>
    <t>SERVENTE COM ENCARGOS COMPLEMENTARES</t>
  </si>
  <si>
    <t>SOLTAR 4 EXTRAVASSORES SENDO 2 DE CADA LADO VEDAÇÕES 100% NOS PARAFUSOS MANUTENÇÃO NOS RUFOS E</t>
  </si>
  <si>
    <t>CALHAS</t>
  </si>
  <si>
    <t>CALHA EM CHAPA DE AÇO GALVANIZADO NÚMERO 24, DESENVOLVIMENTO DE 33 CM, INCLUSO TRANSPORTE VERTICAL. AF_07/2019</t>
  </si>
  <si>
    <t>CALHA EM CHAPA DE AÇO GALVANIZADO NÚMERO 24, DESENVOLVIMENTO DE 50 CM, INCLUSO TRANSPORTE VERTICAL. AF_07/2019</t>
  </si>
  <si>
    <t xml:space="preserve">74 METROS DE CALHA TIPO COCHO, INSTALAÇÕES DE MANIVELAS, RUFO,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</si>
</sst>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sz val="8"/>
      <color theme="4"/>
      <name val="Calibri"/>
      <family val="2"/>
      <scheme val="minor"/>
    </font>
    <font>
      <sz val="8"/>
      <color theme="4"/>
      <name val="Arial"/>
      <family val="2"/>
    </font>
    <font>
      <b/>
      <sz val="8"/>
      <color rgb="FFFF0000"/>
      <name val="Arial"/>
      <family val="1"/>
    </font>
    <font>
      <b/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3" fillId="0" borderId="0"/>
    <xf numFmtId="164" fontId="23" fillId="0" borderId="0" applyBorder="0" applyProtection="0"/>
    <xf numFmtId="0" fontId="24" fillId="0" borderId="0" applyBorder="0" applyProtection="0"/>
    <xf numFmtId="0" fontId="16" fillId="4" borderId="1" applyProtection="0"/>
    <xf numFmtId="0" fontId="25" fillId="0" borderId="0"/>
  </cellStyleXfs>
  <cellXfs count="172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center"/>
    </xf>
    <xf numFmtId="2" fontId="26" fillId="0" borderId="24" xfId="0" applyNumberFormat="1" applyFont="1" applyBorder="1"/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vertical="center"/>
    </xf>
    <xf numFmtId="0" fontId="9" fillId="0" borderId="24" xfId="0" applyFont="1" applyBorder="1" applyAlignment="1">
      <alignment horizontal="left" vertical="center"/>
    </xf>
    <xf numFmtId="0" fontId="15" fillId="0" borderId="24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13" fillId="0" borderId="24" xfId="4" applyFont="1" applyFill="1" applyBorder="1"/>
    <xf numFmtId="0" fontId="13" fillId="0" borderId="24" xfId="4" applyFont="1" applyFill="1" applyBorder="1" applyAlignment="1">
      <alignment horizontal="left" vertical="center"/>
    </xf>
    <xf numFmtId="0" fontId="22" fillId="0" borderId="24" xfId="0" applyFont="1" applyBorder="1"/>
    <xf numFmtId="0" fontId="27" fillId="0" borderId="0" xfId="0" applyFont="1"/>
    <xf numFmtId="4" fontId="28" fillId="0" borderId="24" xfId="2" applyNumberFormat="1" applyFont="1" applyBorder="1" applyAlignment="1" applyProtection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31" fillId="5" borderId="15" xfId="0" applyNumberFormat="1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2" fontId="28" fillId="0" borderId="24" xfId="1" applyNumberFormat="1" applyFont="1" applyFill="1" applyBorder="1" applyAlignment="1">
      <alignment horizontal="center" vertical="center"/>
    </xf>
    <xf numFmtId="2" fontId="32" fillId="0" borderId="24" xfId="1" applyNumberFormat="1" applyFont="1" applyFill="1" applyBorder="1" applyAlignment="1">
      <alignment horizontal="center" vertical="center"/>
    </xf>
    <xf numFmtId="0" fontId="28" fillId="0" borderId="24" xfId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 wrapText="1"/>
    </xf>
    <xf numFmtId="4" fontId="28" fillId="0" borderId="24" xfId="0" applyNumberFormat="1" applyFont="1" applyBorder="1" applyAlignment="1">
      <alignment horizontal="center" vertical="center" wrapText="1"/>
    </xf>
    <xf numFmtId="4" fontId="28" fillId="0" borderId="24" xfId="2" applyNumberFormat="1" applyFont="1" applyFill="1" applyBorder="1" applyAlignment="1" applyProtection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0" fillId="0" borderId="24" xfId="0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022/10%20Outubro/Notas%20Fiscais/NF01%20Jabu%20SA.pdf" TargetMode="External"/><Relationship Id="rId2" Type="http://schemas.openxmlformats.org/officeDocument/2006/relationships/hyperlink" Target="2022/10%20Outubro/Notas%20Fiscais/NF01%20Jabu%20SA.pdf" TargetMode="External"/><Relationship Id="rId1" Type="http://schemas.openxmlformats.org/officeDocument/2006/relationships/hyperlink" Target="2022/10%20Outubro/Notas%20Fiscais/NF01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topLeftCell="A77" zoomScale="25" zoomScaleNormal="25" workbookViewId="0">
      <selection activeCell="O108" sqref="A1:O114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1"/>
      <c r="J1" s="158" t="s">
        <v>1</v>
      </c>
      <c r="K1" s="158"/>
      <c r="L1" s="158"/>
      <c r="M1" s="158"/>
      <c r="N1" s="158"/>
      <c r="O1" s="159"/>
    </row>
    <row r="2" spans="1:15" ht="17.100000000000001" customHeight="1" x14ac:dyDescent="0.25">
      <c r="A2" s="152"/>
      <c r="B2" s="153"/>
      <c r="C2" s="153"/>
      <c r="D2" s="153"/>
      <c r="E2" s="153"/>
      <c r="F2" s="153"/>
      <c r="G2" s="153"/>
      <c r="H2" s="153"/>
      <c r="I2" s="154"/>
      <c r="J2" s="160" t="s">
        <v>2</v>
      </c>
      <c r="K2" s="160"/>
      <c r="L2" s="160"/>
      <c r="M2" s="160"/>
      <c r="N2" s="160"/>
      <c r="O2" s="161"/>
    </row>
    <row r="3" spans="1:15" ht="17.100000000000001" customHeight="1" x14ac:dyDescent="0.25">
      <c r="A3" s="152"/>
      <c r="B3" s="153"/>
      <c r="C3" s="153"/>
      <c r="D3" s="153"/>
      <c r="E3" s="153"/>
      <c r="F3" s="153"/>
      <c r="G3" s="153"/>
      <c r="H3" s="153"/>
      <c r="I3" s="154"/>
      <c r="J3" s="160" t="s">
        <v>3</v>
      </c>
      <c r="K3" s="160"/>
      <c r="L3" s="160"/>
      <c r="M3" s="160" t="s">
        <v>4</v>
      </c>
      <c r="N3" s="160"/>
      <c r="O3" s="1"/>
    </row>
    <row r="4" spans="1:15" ht="17.100000000000001" customHeight="1" x14ac:dyDescent="0.25">
      <c r="A4" s="152"/>
      <c r="B4" s="153"/>
      <c r="C4" s="153"/>
      <c r="D4" s="153"/>
      <c r="E4" s="153"/>
      <c r="F4" s="153"/>
      <c r="G4" s="153"/>
      <c r="H4" s="153"/>
      <c r="I4" s="154"/>
      <c r="J4" s="160" t="s">
        <v>5</v>
      </c>
      <c r="K4" s="160"/>
      <c r="L4" s="160"/>
      <c r="M4" s="160" t="s">
        <v>6</v>
      </c>
      <c r="N4" s="160"/>
      <c r="O4" s="2"/>
    </row>
    <row r="5" spans="1:15" ht="17.100000000000001" customHeight="1" x14ac:dyDescent="0.25">
      <c r="A5" s="152"/>
      <c r="B5" s="153"/>
      <c r="C5" s="153"/>
      <c r="D5" s="153"/>
      <c r="E5" s="153"/>
      <c r="F5" s="153"/>
      <c r="G5" s="153"/>
      <c r="H5" s="153"/>
      <c r="I5" s="154"/>
      <c r="J5" s="160" t="s">
        <v>7</v>
      </c>
      <c r="K5" s="160"/>
      <c r="L5" s="160"/>
      <c r="M5" s="160" t="s">
        <v>8</v>
      </c>
      <c r="N5" s="160"/>
      <c r="O5" s="1"/>
    </row>
    <row r="6" spans="1:15" ht="17.100000000000001" customHeight="1" x14ac:dyDescent="0.25">
      <c r="A6" s="155"/>
      <c r="B6" s="156"/>
      <c r="C6" s="156"/>
      <c r="D6" s="156"/>
      <c r="E6" s="156"/>
      <c r="F6" s="156"/>
      <c r="G6" s="156"/>
      <c r="H6" s="156"/>
      <c r="I6" s="157"/>
      <c r="J6" s="160" t="s">
        <v>9</v>
      </c>
      <c r="K6" s="160"/>
      <c r="L6" s="160"/>
      <c r="M6" s="160" t="s">
        <v>10</v>
      </c>
      <c r="N6" s="160"/>
      <c r="O6" s="1"/>
    </row>
    <row r="7" spans="1:15" ht="17.100000000000001" customHeight="1" x14ac:dyDescent="0.25">
      <c r="A7" s="162" t="s">
        <v>11</v>
      </c>
      <c r="B7" s="163"/>
      <c r="C7" s="163"/>
      <c r="D7" s="163"/>
      <c r="E7" s="163"/>
      <c r="F7" s="163"/>
      <c r="G7" s="163"/>
      <c r="H7" s="163"/>
      <c r="I7" s="164"/>
      <c r="J7" s="165" t="s">
        <v>51</v>
      </c>
      <c r="K7" s="166"/>
      <c r="L7" s="166"/>
      <c r="M7" s="166"/>
      <c r="N7" s="167"/>
      <c r="O7" s="76" t="s">
        <v>12</v>
      </c>
    </row>
    <row r="8" spans="1:15" ht="17.100000000000001" customHeight="1" x14ac:dyDescent="0.25">
      <c r="A8" s="137" t="s">
        <v>157</v>
      </c>
      <c r="B8" s="92"/>
      <c r="C8" s="92"/>
      <c r="D8" s="92"/>
      <c r="E8" s="92"/>
      <c r="F8" s="92"/>
      <c r="G8" s="92"/>
      <c r="H8" s="92"/>
      <c r="I8" s="93"/>
      <c r="J8" s="165" t="s">
        <v>13</v>
      </c>
      <c r="K8" s="166"/>
      <c r="L8" s="166"/>
      <c r="M8" s="166"/>
      <c r="N8" s="167"/>
      <c r="O8" s="76"/>
    </row>
    <row r="9" spans="1:15" ht="17.100000000000001" customHeight="1" x14ac:dyDescent="0.25">
      <c r="A9" s="94"/>
      <c r="B9" s="91"/>
      <c r="C9" s="91"/>
      <c r="D9" s="91"/>
      <c r="E9" s="91"/>
      <c r="F9" s="91"/>
      <c r="G9" s="91"/>
      <c r="H9" s="91"/>
      <c r="I9" s="95"/>
      <c r="J9" s="165" t="s">
        <v>14</v>
      </c>
      <c r="K9" s="166"/>
      <c r="L9" s="166"/>
      <c r="M9" s="166"/>
      <c r="N9" s="167"/>
      <c r="O9" s="76"/>
    </row>
    <row r="10" spans="1:15" ht="17.100000000000001" customHeight="1" x14ac:dyDescent="0.25">
      <c r="A10" s="94"/>
      <c r="B10" s="91"/>
      <c r="C10" s="91"/>
      <c r="D10" s="91"/>
      <c r="E10" s="91"/>
      <c r="F10" s="91"/>
      <c r="G10" s="91"/>
      <c r="H10" s="91"/>
      <c r="I10" s="95"/>
      <c r="J10" s="165" t="s">
        <v>15</v>
      </c>
      <c r="K10" s="166"/>
      <c r="L10" s="166"/>
      <c r="M10" s="166"/>
      <c r="N10" s="167"/>
      <c r="O10" s="76"/>
    </row>
    <row r="11" spans="1:15" ht="17.100000000000001" customHeight="1" x14ac:dyDescent="0.25">
      <c r="A11" s="94"/>
      <c r="B11" s="91"/>
      <c r="C11" s="91"/>
      <c r="D11" s="91"/>
      <c r="E11" s="91"/>
      <c r="F11" s="91"/>
      <c r="G11" s="91"/>
      <c r="H11" s="91"/>
      <c r="I11" s="95"/>
      <c r="J11" s="165" t="s">
        <v>50</v>
      </c>
      <c r="K11" s="166"/>
      <c r="L11" s="166"/>
      <c r="M11" s="166"/>
      <c r="N11" s="167"/>
      <c r="O11" s="76"/>
    </row>
    <row r="12" spans="1:15" ht="17.100000000000001" customHeight="1" x14ac:dyDescent="0.25">
      <c r="A12" s="94"/>
      <c r="B12" s="91"/>
      <c r="C12" s="91"/>
      <c r="D12" s="91"/>
      <c r="E12" s="91"/>
      <c r="F12" s="91"/>
      <c r="G12" s="91"/>
      <c r="H12" s="91"/>
      <c r="I12" s="95"/>
      <c r="J12" s="165" t="s">
        <v>104</v>
      </c>
      <c r="K12" s="166"/>
      <c r="L12" s="166"/>
      <c r="M12" s="166"/>
      <c r="N12" s="167"/>
      <c r="O12" s="76"/>
    </row>
    <row r="13" spans="1:15" ht="17.100000000000001" customHeight="1" x14ac:dyDescent="0.25">
      <c r="A13" s="96"/>
      <c r="B13" s="97"/>
      <c r="C13" s="97"/>
      <c r="D13" s="97"/>
      <c r="E13" s="97"/>
      <c r="F13" s="97"/>
      <c r="G13" s="97"/>
      <c r="H13" s="97"/>
      <c r="I13" s="98"/>
      <c r="J13" s="165" t="s">
        <v>103</v>
      </c>
      <c r="K13" s="166"/>
      <c r="L13" s="166"/>
      <c r="M13" s="166"/>
      <c r="N13" s="167"/>
      <c r="O13" s="76"/>
    </row>
    <row r="14" spans="1:15" ht="17.100000000000001" customHeight="1" x14ac:dyDescent="0.25">
      <c r="A14" s="78" t="s">
        <v>16</v>
      </c>
      <c r="B14" s="80" t="s">
        <v>17</v>
      </c>
      <c r="C14" s="80" t="s">
        <v>18</v>
      </c>
      <c r="D14" s="80" t="s">
        <v>19</v>
      </c>
      <c r="E14" s="80" t="s">
        <v>20</v>
      </c>
      <c r="F14" s="80" t="s">
        <v>21</v>
      </c>
      <c r="G14" s="80" t="s">
        <v>22</v>
      </c>
      <c r="H14" s="143" t="s">
        <v>23</v>
      </c>
      <c r="I14" s="143"/>
      <c r="J14" s="143"/>
      <c r="K14" s="143"/>
      <c r="L14" s="144"/>
      <c r="M14" s="80" t="s">
        <v>24</v>
      </c>
      <c r="N14" s="80" t="s">
        <v>25</v>
      </c>
      <c r="O14" s="76" t="s">
        <v>26</v>
      </c>
    </row>
    <row r="15" spans="1:15" ht="17.100000000000001" customHeight="1" x14ac:dyDescent="0.25">
      <c r="A15" s="79"/>
      <c r="B15" s="81"/>
      <c r="C15" s="81"/>
      <c r="D15" s="81"/>
      <c r="E15" s="81"/>
      <c r="F15" s="81"/>
      <c r="G15" s="81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81"/>
      <c r="N15" s="81"/>
      <c r="O15" s="76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81968.944337280001</v>
      </c>
      <c r="N16" s="10">
        <f>SUM(N17:N28)</f>
        <v>1</v>
      </c>
      <c r="O16" s="76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65">
        <v>198</v>
      </c>
      <c r="H17" s="63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11595.1719085488</v>
      </c>
      <c r="N17" s="14">
        <f>M17/M$16</f>
        <v>0.14145810955961333</v>
      </c>
      <c r="O17" s="77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65">
        <v>198</v>
      </c>
      <c r="H18" s="63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8742.987212731201</v>
      </c>
      <c r="N18" s="14">
        <f t="shared" ref="N18:N28" si="5">M18/M$16</f>
        <v>0.10666219119226639</v>
      </c>
      <c r="O18" s="77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65">
        <v>180</v>
      </c>
      <c r="H19" s="63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9.6965628356605812E-2</v>
      </c>
      <c r="O19" s="77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65">
        <v>180</v>
      </c>
      <c r="H20" s="63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7.9940923737916225E-2</v>
      </c>
      <c r="O20" s="77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65">
        <v>180</v>
      </c>
      <c r="H21" s="63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7.9940923737916225E-2</v>
      </c>
      <c r="O21" s="77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65">
        <v>180</v>
      </c>
      <c r="H22" s="63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8.7459720730397428E-2</v>
      </c>
      <c r="O22" s="77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65">
        <v>180</v>
      </c>
      <c r="H23" s="63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8.7459720730397428E-2</v>
      </c>
      <c r="O23" s="77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65">
        <v>180</v>
      </c>
      <c r="H24" s="63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8.1578947368421056E-2</v>
      </c>
      <c r="O24" s="77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65">
        <v>180</v>
      </c>
      <c r="H25" s="63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8.1578947368421056E-2</v>
      </c>
      <c r="O25" s="77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65">
        <v>180</v>
      </c>
      <c r="H26" s="63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8.1578947368421056E-2</v>
      </c>
      <c r="O26" s="77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65">
        <v>180</v>
      </c>
      <c r="H27" s="63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7.5375939849624055E-2</v>
      </c>
      <c r="O27" s="77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65">
        <v>0</v>
      </c>
      <c r="H28" s="63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77"/>
    </row>
    <row r="29" spans="1:15" x14ac:dyDescent="0.25">
      <c r="A29" s="78" t="s">
        <v>16</v>
      </c>
      <c r="B29" s="80" t="s">
        <v>17</v>
      </c>
      <c r="C29" s="80" t="s">
        <v>18</v>
      </c>
      <c r="D29" s="80" t="s">
        <v>19</v>
      </c>
      <c r="E29" s="80" t="s">
        <v>20</v>
      </c>
      <c r="F29" s="80" t="s">
        <v>21</v>
      </c>
      <c r="G29" s="80" t="s">
        <v>22</v>
      </c>
      <c r="H29" s="143" t="s">
        <v>23</v>
      </c>
      <c r="I29" s="143"/>
      <c r="J29" s="143"/>
      <c r="K29" s="143"/>
      <c r="L29" s="144"/>
      <c r="M29" s="80" t="s">
        <v>24</v>
      </c>
      <c r="N29" s="80" t="s">
        <v>25</v>
      </c>
      <c r="O29" s="77"/>
    </row>
    <row r="30" spans="1:15" ht="17.100000000000001" customHeight="1" x14ac:dyDescent="0.25">
      <c r="A30" s="79"/>
      <c r="B30" s="81"/>
      <c r="C30" s="81"/>
      <c r="D30" s="81"/>
      <c r="E30" s="81"/>
      <c r="F30" s="81"/>
      <c r="G30" s="81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81"/>
      <c r="N30" s="81"/>
      <c r="O30" s="76"/>
    </row>
    <row r="31" spans="1:15" ht="17.100000000000001" customHeight="1" x14ac:dyDescent="0.25">
      <c r="A31" s="15">
        <v>2</v>
      </c>
      <c r="B31" s="145" t="s">
        <v>37</v>
      </c>
      <c r="C31" s="145"/>
      <c r="D31" s="146"/>
      <c r="E31" s="146"/>
      <c r="F31" s="146"/>
      <c r="G31" s="16"/>
      <c r="H31" s="16"/>
      <c r="I31" s="16"/>
      <c r="J31" s="16"/>
      <c r="K31" s="16"/>
      <c r="L31" s="16"/>
      <c r="M31" s="22">
        <f>SUM(M32:M70)</f>
        <v>23680.420761894002</v>
      </c>
      <c r="N31" s="16"/>
      <c r="O31" s="77"/>
    </row>
    <row r="32" spans="1:15" s="45" customFormat="1" ht="17.25" customHeight="1" x14ac:dyDescent="0.25">
      <c r="A32" s="18" t="s">
        <v>93</v>
      </c>
      <c r="B32" s="18" t="s">
        <v>86</v>
      </c>
      <c r="C32" s="18">
        <v>7231</v>
      </c>
      <c r="D32" s="18" t="s">
        <v>34</v>
      </c>
      <c r="E32" s="47" t="s">
        <v>159</v>
      </c>
      <c r="F32" s="18" t="s">
        <v>21</v>
      </c>
      <c r="G32" s="18">
        <v>8</v>
      </c>
      <c r="H32" s="69">
        <v>479.49</v>
      </c>
      <c r="I32" s="14">
        <f>H32*0.2232</f>
        <v>107.02216800000001</v>
      </c>
      <c r="J32" s="14">
        <f t="shared" ref="J32" si="6">H32+I32</f>
        <v>586.51216799999997</v>
      </c>
      <c r="K32" s="14">
        <f t="shared" ref="K32" si="7">J32*(0.03%)</f>
        <v>0.17595365039999997</v>
      </c>
      <c r="L32" s="14">
        <f t="shared" ref="L32" si="8">J32-K32</f>
        <v>586.33621434960003</v>
      </c>
      <c r="M32" s="14">
        <f t="shared" ref="M32" si="9">L32*G32</f>
        <v>4690.6897147968002</v>
      </c>
      <c r="N32" s="14">
        <f>M32/M31</f>
        <v>0.19808303923150522</v>
      </c>
      <c r="O32" s="77"/>
    </row>
    <row r="33" spans="1:15" s="45" customFormat="1" ht="17.25" customHeight="1" x14ac:dyDescent="0.25">
      <c r="A33" s="18" t="s">
        <v>117</v>
      </c>
      <c r="B33" s="18" t="s">
        <v>86</v>
      </c>
      <c r="C33" s="11">
        <v>3157</v>
      </c>
      <c r="D33" s="18" t="s">
        <v>105</v>
      </c>
      <c r="E33" s="46" t="s">
        <v>160</v>
      </c>
      <c r="F33" s="18" t="s">
        <v>107</v>
      </c>
      <c r="G33" s="18">
        <v>5</v>
      </c>
      <c r="H33" s="71">
        <v>25.33</v>
      </c>
      <c r="I33" s="14">
        <f t="shared" ref="I33:I34" si="10">H33*0.1532</f>
        <v>3.8805559999999999</v>
      </c>
      <c r="J33" s="14">
        <f t="shared" ref="J33:J34" si="11">H33+I33</f>
        <v>29.210555999999997</v>
      </c>
      <c r="K33" s="14">
        <f t="shared" ref="K33:K34" si="12">J33*(0.03%)</f>
        <v>8.7631667999999979E-3</v>
      </c>
      <c r="L33" s="14">
        <f t="shared" ref="L33:L34" si="13">J33-K33</f>
        <v>29.201792833199995</v>
      </c>
      <c r="M33" s="14">
        <f t="shared" ref="M33:M34" si="14">L33*G33</f>
        <v>146.00896416599997</v>
      </c>
      <c r="N33" s="14">
        <f t="shared" ref="N33:N62" si="15">M33/M32</f>
        <v>3.1127397684271054E-2</v>
      </c>
      <c r="O33" s="77"/>
    </row>
    <row r="34" spans="1:15" s="45" customFormat="1" ht="17.25" customHeight="1" x14ac:dyDescent="0.25">
      <c r="A34" s="54" t="s">
        <v>94</v>
      </c>
      <c r="B34" s="18" t="s">
        <v>86</v>
      </c>
      <c r="C34" s="54">
        <v>7348</v>
      </c>
      <c r="D34" s="54" t="s">
        <v>34</v>
      </c>
      <c r="E34" s="55" t="s">
        <v>161</v>
      </c>
      <c r="F34" s="54" t="s">
        <v>107</v>
      </c>
      <c r="G34" s="54">
        <f>4*18</f>
        <v>72</v>
      </c>
      <c r="H34" s="70">
        <v>20.62</v>
      </c>
      <c r="I34" s="36">
        <f t="shared" si="10"/>
        <v>3.1589840000000002</v>
      </c>
      <c r="J34" s="36">
        <f t="shared" si="11"/>
        <v>23.778984000000001</v>
      </c>
      <c r="K34" s="36">
        <f t="shared" si="12"/>
        <v>7.1336951999999999E-3</v>
      </c>
      <c r="L34" s="36">
        <f t="shared" si="13"/>
        <v>23.771850304800001</v>
      </c>
      <c r="M34" s="36">
        <f t="shared" si="14"/>
        <v>1711.5732219456002</v>
      </c>
      <c r="N34" s="14">
        <f t="shared" si="15"/>
        <v>11.722384524279514</v>
      </c>
      <c r="O34" s="77"/>
    </row>
    <row r="35" spans="1:15" s="48" customFormat="1" ht="17.25" customHeight="1" x14ac:dyDescent="0.25">
      <c r="A35" s="18" t="s">
        <v>115</v>
      </c>
      <c r="B35" s="18" t="s">
        <v>86</v>
      </c>
      <c r="C35" s="18">
        <v>10475</v>
      </c>
      <c r="D35" s="54" t="s">
        <v>34</v>
      </c>
      <c r="E35" s="47" t="s">
        <v>162</v>
      </c>
      <c r="F35" s="18" t="s">
        <v>107</v>
      </c>
      <c r="G35" s="18">
        <f>3.6*3</f>
        <v>10.8</v>
      </c>
      <c r="H35" s="63">
        <v>33.25</v>
      </c>
      <c r="I35" s="36">
        <f t="shared" ref="I35:I36" si="16">H35*0.1532</f>
        <v>5.0938999999999997</v>
      </c>
      <c r="J35" s="36">
        <f t="shared" ref="J35:J37" si="17">H35+I35</f>
        <v>38.343899999999998</v>
      </c>
      <c r="K35" s="36">
        <f t="shared" ref="K35:K37" si="18">J35*(0.03%)</f>
        <v>1.1503169999999998E-2</v>
      </c>
      <c r="L35" s="36">
        <f t="shared" ref="L35:L37" si="19">J35-K35</f>
        <v>38.33239683</v>
      </c>
      <c r="M35" s="36">
        <f t="shared" ref="M35:M37" si="20">L35*G35</f>
        <v>413.98988576400001</v>
      </c>
      <c r="N35" s="14">
        <f t="shared" si="15"/>
        <v>0.24187681862269639</v>
      </c>
      <c r="O35" s="77"/>
    </row>
    <row r="36" spans="1:15" x14ac:dyDescent="0.25">
      <c r="A36" s="18" t="s">
        <v>87</v>
      </c>
      <c r="B36" s="18" t="s">
        <v>86</v>
      </c>
      <c r="C36" s="18">
        <v>626</v>
      </c>
      <c r="D36" s="54" t="s">
        <v>34</v>
      </c>
      <c r="E36" s="59" t="s">
        <v>163</v>
      </c>
      <c r="F36" s="18" t="s">
        <v>164</v>
      </c>
      <c r="G36" s="18">
        <v>180</v>
      </c>
      <c r="H36" s="69">
        <v>20.48</v>
      </c>
      <c r="I36" s="44">
        <f t="shared" si="16"/>
        <v>3.1375360000000003</v>
      </c>
      <c r="J36" s="44">
        <f t="shared" si="17"/>
        <v>23.617536000000001</v>
      </c>
      <c r="K36" s="44">
        <f t="shared" si="18"/>
        <v>7.0852607999999997E-3</v>
      </c>
      <c r="L36" s="44">
        <f t="shared" si="19"/>
        <v>23.610450739200001</v>
      </c>
      <c r="M36" s="44">
        <f t="shared" si="20"/>
        <v>4249.8811330560002</v>
      </c>
      <c r="N36" s="14">
        <f t="shared" si="15"/>
        <v>10.265664160401002</v>
      </c>
      <c r="O36" s="77"/>
    </row>
    <row r="37" spans="1:15" s="19" customFormat="1" ht="17.100000000000001" customHeight="1" x14ac:dyDescent="0.2">
      <c r="A37" s="54" t="s">
        <v>114</v>
      </c>
      <c r="B37" s="18" t="s">
        <v>86</v>
      </c>
      <c r="C37" s="18">
        <v>6138</v>
      </c>
      <c r="D37" s="54" t="s">
        <v>34</v>
      </c>
      <c r="E37" s="59" t="s">
        <v>165</v>
      </c>
      <c r="F37" s="18" t="s">
        <v>21</v>
      </c>
      <c r="G37" s="18">
        <v>10</v>
      </c>
      <c r="H37" s="69">
        <v>11.57</v>
      </c>
      <c r="I37" s="14">
        <f>H37*0.1532</f>
        <v>1.772524</v>
      </c>
      <c r="J37" s="14">
        <f t="shared" si="17"/>
        <v>13.342524000000001</v>
      </c>
      <c r="K37" s="14">
        <f t="shared" si="18"/>
        <v>4.0027572000000001E-3</v>
      </c>
      <c r="L37" s="14">
        <f t="shared" si="19"/>
        <v>13.338521242800001</v>
      </c>
      <c r="M37" s="14">
        <f t="shared" si="20"/>
        <v>133.38521242800002</v>
      </c>
      <c r="N37" s="14">
        <f t="shared" si="15"/>
        <v>3.1385633680555559E-2</v>
      </c>
      <c r="O37" s="77"/>
    </row>
    <row r="38" spans="1:15" s="48" customFormat="1" ht="17.25" customHeight="1" x14ac:dyDescent="0.25">
      <c r="A38" s="18" t="s">
        <v>95</v>
      </c>
      <c r="B38" s="18" t="s">
        <v>86</v>
      </c>
      <c r="C38" s="18">
        <v>44255</v>
      </c>
      <c r="D38" s="54" t="s">
        <v>34</v>
      </c>
      <c r="E38" s="47" t="s">
        <v>166</v>
      </c>
      <c r="F38" s="18" t="s">
        <v>21</v>
      </c>
      <c r="G38" s="18">
        <v>2</v>
      </c>
      <c r="H38" s="63">
        <v>25.79</v>
      </c>
      <c r="I38" s="14">
        <f t="shared" ref="I38:I62" si="21">H38*0.1532</f>
        <v>3.951028</v>
      </c>
      <c r="J38" s="14">
        <f t="shared" ref="J38:J62" si="22">H38+I38</f>
        <v>29.741028</v>
      </c>
      <c r="K38" s="14">
        <f t="shared" ref="K38:K62" si="23">J38*(0.03%)</f>
        <v>8.9223083999999987E-3</v>
      </c>
      <c r="L38" s="14">
        <f t="shared" ref="L38:L62" si="24">J38-K38</f>
        <v>29.732105691600001</v>
      </c>
      <c r="M38" s="14">
        <f t="shared" ref="M38:M62" si="25">L38*G38</f>
        <v>59.464211383200002</v>
      </c>
      <c r="N38" s="14">
        <f t="shared" si="15"/>
        <v>0.44580812445980983</v>
      </c>
      <c r="O38" s="77"/>
    </row>
    <row r="39" spans="1:15" s="48" customFormat="1" ht="17.25" customHeight="1" x14ac:dyDescent="0.25">
      <c r="A39" s="18" t="s">
        <v>118</v>
      </c>
      <c r="B39" s="18" t="s">
        <v>86</v>
      </c>
      <c r="C39" s="18">
        <v>44257</v>
      </c>
      <c r="D39" s="54" t="s">
        <v>34</v>
      </c>
      <c r="E39" s="47" t="s">
        <v>167</v>
      </c>
      <c r="F39" s="18" t="s">
        <v>21</v>
      </c>
      <c r="G39" s="18">
        <v>2</v>
      </c>
      <c r="H39" s="63">
        <v>46.09</v>
      </c>
      <c r="I39" s="14">
        <f t="shared" si="21"/>
        <v>7.0609880000000009</v>
      </c>
      <c r="J39" s="14">
        <f t="shared" si="22"/>
        <v>53.150988000000005</v>
      </c>
      <c r="K39" s="14">
        <f t="shared" si="23"/>
        <v>1.59452964E-2</v>
      </c>
      <c r="L39" s="14">
        <f t="shared" si="24"/>
        <v>53.135042703600007</v>
      </c>
      <c r="M39" s="14">
        <f t="shared" si="25"/>
        <v>106.27008540720001</v>
      </c>
      <c r="N39" s="14">
        <f t="shared" si="15"/>
        <v>1.7871267933307484</v>
      </c>
      <c r="O39" s="77"/>
    </row>
    <row r="40" spans="1:15" s="48" customFormat="1" ht="17.25" customHeight="1" x14ac:dyDescent="0.25">
      <c r="A40" s="18" t="s">
        <v>96</v>
      </c>
      <c r="B40" s="18" t="s">
        <v>86</v>
      </c>
      <c r="C40" s="18">
        <v>21124</v>
      </c>
      <c r="D40" s="54" t="s">
        <v>34</v>
      </c>
      <c r="E40" s="47" t="s">
        <v>168</v>
      </c>
      <c r="F40" s="18" t="s">
        <v>169</v>
      </c>
      <c r="G40" s="18">
        <v>6</v>
      </c>
      <c r="H40" s="63">
        <v>15.38</v>
      </c>
      <c r="I40" s="14">
        <f t="shared" si="21"/>
        <v>2.3562160000000003</v>
      </c>
      <c r="J40" s="14">
        <f t="shared" si="22"/>
        <v>17.736216000000002</v>
      </c>
      <c r="K40" s="14">
        <f t="shared" si="23"/>
        <v>5.3208648000000001E-3</v>
      </c>
      <c r="L40" s="14">
        <f t="shared" si="24"/>
        <v>17.730895135200001</v>
      </c>
      <c r="M40" s="14">
        <f t="shared" si="25"/>
        <v>106.3853708112</v>
      </c>
      <c r="N40" s="14">
        <f t="shared" si="15"/>
        <v>1.0010848340203948</v>
      </c>
      <c r="O40" s="77"/>
    </row>
    <row r="41" spans="1:15" s="48" customFormat="1" ht="17.25" customHeight="1" x14ac:dyDescent="0.25">
      <c r="A41" s="18" t="s">
        <v>92</v>
      </c>
      <c r="B41" s="18" t="s">
        <v>86</v>
      </c>
      <c r="C41" s="18">
        <v>38674</v>
      </c>
      <c r="D41" s="54" t="s">
        <v>34</v>
      </c>
      <c r="E41" s="47" t="s">
        <v>170</v>
      </c>
      <c r="F41" s="18" t="s">
        <v>21</v>
      </c>
      <c r="G41" s="18">
        <v>2</v>
      </c>
      <c r="H41" s="63">
        <v>28.57</v>
      </c>
      <c r="I41" s="14">
        <f t="shared" si="21"/>
        <v>4.3769239999999998</v>
      </c>
      <c r="J41" s="14">
        <f t="shared" si="22"/>
        <v>32.946924000000003</v>
      </c>
      <c r="K41" s="14">
        <f t="shared" si="23"/>
        <v>9.8840772000000007E-3</v>
      </c>
      <c r="L41" s="14">
        <f t="shared" si="24"/>
        <v>32.937039922800004</v>
      </c>
      <c r="M41" s="14">
        <f t="shared" si="25"/>
        <v>65.874079845600008</v>
      </c>
      <c r="N41" s="14">
        <f t="shared" si="15"/>
        <v>0.61920242739488518</v>
      </c>
      <c r="O41" s="77"/>
    </row>
    <row r="42" spans="1:15" s="48" customFormat="1" ht="17.25" customHeight="1" x14ac:dyDescent="0.25">
      <c r="A42" s="54" t="s">
        <v>89</v>
      </c>
      <c r="B42" s="18" t="s">
        <v>86</v>
      </c>
      <c r="C42" s="18">
        <v>11753</v>
      </c>
      <c r="D42" s="54" t="s">
        <v>34</v>
      </c>
      <c r="E42" s="47" t="s">
        <v>171</v>
      </c>
      <c r="F42" s="18" t="s">
        <v>21</v>
      </c>
      <c r="G42" s="18">
        <v>4</v>
      </c>
      <c r="H42" s="63">
        <v>22.16</v>
      </c>
      <c r="I42" s="14">
        <f t="shared" si="21"/>
        <v>3.3949120000000002</v>
      </c>
      <c r="J42" s="14">
        <f t="shared" si="22"/>
        <v>25.554912000000002</v>
      </c>
      <c r="K42" s="14">
        <f t="shared" si="23"/>
        <v>7.6664736000000002E-3</v>
      </c>
      <c r="L42" s="14">
        <f t="shared" si="24"/>
        <v>25.547245526400001</v>
      </c>
      <c r="M42" s="14">
        <f t="shared" si="25"/>
        <v>102.1889821056</v>
      </c>
      <c r="N42" s="14">
        <f t="shared" si="15"/>
        <v>1.5512775638781937</v>
      </c>
      <c r="O42" s="77"/>
    </row>
    <row r="43" spans="1:15" s="48" customFormat="1" ht="17.25" customHeight="1" x14ac:dyDescent="0.25">
      <c r="A43" s="18" t="s">
        <v>97</v>
      </c>
      <c r="B43" s="18" t="s">
        <v>86</v>
      </c>
      <c r="C43" s="18">
        <v>65</v>
      </c>
      <c r="D43" s="18" t="s">
        <v>34</v>
      </c>
      <c r="E43" s="47" t="s">
        <v>143</v>
      </c>
      <c r="F43" s="18" t="s">
        <v>21</v>
      </c>
      <c r="G43" s="18">
        <v>10</v>
      </c>
      <c r="H43" s="69">
        <v>0.74</v>
      </c>
      <c r="I43" s="14">
        <f t="shared" si="21"/>
        <v>0.113368</v>
      </c>
      <c r="J43" s="14">
        <f t="shared" si="22"/>
        <v>0.85336800000000002</v>
      </c>
      <c r="K43" s="14">
        <f t="shared" si="23"/>
        <v>2.5601039999999996E-4</v>
      </c>
      <c r="L43" s="14">
        <f t="shared" si="24"/>
        <v>0.85311198960000001</v>
      </c>
      <c r="M43" s="14">
        <f t="shared" si="25"/>
        <v>8.5311198959999999</v>
      </c>
      <c r="N43" s="14">
        <f t="shared" si="15"/>
        <v>8.3483754512635372E-2</v>
      </c>
      <c r="O43" s="77"/>
    </row>
    <row r="44" spans="1:15" s="45" customFormat="1" ht="17.25" customHeight="1" x14ac:dyDescent="0.25">
      <c r="A44" s="18" t="s">
        <v>119</v>
      </c>
      <c r="B44" s="18" t="s">
        <v>86</v>
      </c>
      <c r="C44" s="18">
        <v>20147</v>
      </c>
      <c r="D44" s="18" t="s">
        <v>34</v>
      </c>
      <c r="E44" s="47" t="s">
        <v>172</v>
      </c>
      <c r="F44" s="18" t="s">
        <v>21</v>
      </c>
      <c r="G44" s="18">
        <v>10</v>
      </c>
      <c r="H44" s="69">
        <v>4.45</v>
      </c>
      <c r="I44" s="14">
        <f t="shared" si="21"/>
        <v>0.68174000000000001</v>
      </c>
      <c r="J44" s="14">
        <f t="shared" si="22"/>
        <v>5.1317400000000006</v>
      </c>
      <c r="K44" s="14">
        <f t="shared" si="23"/>
        <v>1.539522E-3</v>
      </c>
      <c r="L44" s="14">
        <f t="shared" si="24"/>
        <v>5.1302004780000008</v>
      </c>
      <c r="M44" s="14">
        <f t="shared" si="25"/>
        <v>51.302004780000004</v>
      </c>
      <c r="N44" s="14">
        <f t="shared" si="15"/>
        <v>6.013513513513514</v>
      </c>
      <c r="O44" s="77"/>
    </row>
    <row r="45" spans="1:15" s="45" customFormat="1" ht="17.100000000000001" customHeight="1" x14ac:dyDescent="0.25">
      <c r="A45" s="54" t="s">
        <v>120</v>
      </c>
      <c r="B45" s="18" t="s">
        <v>86</v>
      </c>
      <c r="C45" s="18" t="s">
        <v>173</v>
      </c>
      <c r="D45" s="18" t="s">
        <v>81</v>
      </c>
      <c r="E45" s="47" t="s">
        <v>174</v>
      </c>
      <c r="F45" s="18" t="s">
        <v>21</v>
      </c>
      <c r="G45" s="18">
        <v>2</v>
      </c>
      <c r="H45" s="69">
        <v>110.8</v>
      </c>
      <c r="I45" s="14">
        <f t="shared" si="21"/>
        <v>16.97456</v>
      </c>
      <c r="J45" s="14">
        <f t="shared" si="22"/>
        <v>127.77455999999999</v>
      </c>
      <c r="K45" s="14">
        <f t="shared" si="23"/>
        <v>3.8332367999999992E-2</v>
      </c>
      <c r="L45" s="14">
        <f t="shared" si="24"/>
        <v>127.73622763199999</v>
      </c>
      <c r="M45" s="14">
        <f t="shared" si="25"/>
        <v>255.47245526399999</v>
      </c>
      <c r="N45" s="14">
        <f t="shared" si="15"/>
        <v>4.9797752808988758</v>
      </c>
      <c r="O45" s="77"/>
    </row>
    <row r="46" spans="1:15" s="45" customFormat="1" ht="16.5" customHeight="1" x14ac:dyDescent="0.25">
      <c r="A46" s="18" t="s">
        <v>90</v>
      </c>
      <c r="B46" s="18" t="s">
        <v>86</v>
      </c>
      <c r="C46" s="11">
        <v>779</v>
      </c>
      <c r="D46" s="18" t="s">
        <v>34</v>
      </c>
      <c r="E46" s="46" t="s">
        <v>175</v>
      </c>
      <c r="F46" s="18" t="s">
        <v>21</v>
      </c>
      <c r="G46" s="18">
        <v>15</v>
      </c>
      <c r="H46" s="71">
        <v>7.71</v>
      </c>
      <c r="I46" s="14">
        <f t="shared" si="21"/>
        <v>1.1811720000000001</v>
      </c>
      <c r="J46" s="14">
        <f t="shared" si="22"/>
        <v>8.891172000000001</v>
      </c>
      <c r="K46" s="14">
        <f t="shared" si="23"/>
        <v>2.6673515999999999E-3</v>
      </c>
      <c r="L46" s="14">
        <f t="shared" si="24"/>
        <v>8.8885046484000014</v>
      </c>
      <c r="M46" s="14">
        <f t="shared" si="25"/>
        <v>133.32756972600004</v>
      </c>
      <c r="N46" s="14">
        <f t="shared" si="15"/>
        <v>0.52188628158844785</v>
      </c>
      <c r="O46" s="77"/>
    </row>
    <row r="47" spans="1:15" s="45" customFormat="1" ht="17.25" customHeight="1" x14ac:dyDescent="0.25">
      <c r="A47" s="18" t="s">
        <v>121</v>
      </c>
      <c r="B47" s="18" t="s">
        <v>86</v>
      </c>
      <c r="C47" s="18">
        <v>6142</v>
      </c>
      <c r="D47" s="18" t="s">
        <v>34</v>
      </c>
      <c r="E47" s="58" t="s">
        <v>176</v>
      </c>
      <c r="F47" s="18" t="s">
        <v>21</v>
      </c>
      <c r="G47" s="18">
        <v>20</v>
      </c>
      <c r="H47" s="69">
        <v>9.99</v>
      </c>
      <c r="I47" s="14">
        <f t="shared" si="21"/>
        <v>1.5304680000000002</v>
      </c>
      <c r="J47" s="14">
        <f t="shared" si="22"/>
        <v>11.520468000000001</v>
      </c>
      <c r="K47" s="14">
        <f t="shared" si="23"/>
        <v>3.4561404E-3</v>
      </c>
      <c r="L47" s="14">
        <f t="shared" si="24"/>
        <v>11.5170118596</v>
      </c>
      <c r="M47" s="14">
        <f t="shared" si="25"/>
        <v>230.34023719200002</v>
      </c>
      <c r="N47" s="14">
        <f t="shared" si="15"/>
        <v>1.7276264591439685</v>
      </c>
      <c r="O47" s="77"/>
    </row>
    <row r="48" spans="1:15" s="45" customFormat="1" ht="17.25" customHeight="1" x14ac:dyDescent="0.25">
      <c r="A48" s="18" t="s">
        <v>122</v>
      </c>
      <c r="B48" s="18" t="s">
        <v>86</v>
      </c>
      <c r="C48" s="18">
        <v>11684</v>
      </c>
      <c r="D48" s="18" t="s">
        <v>34</v>
      </c>
      <c r="E48" s="47" t="s">
        <v>177</v>
      </c>
      <c r="F48" s="18" t="s">
        <v>21</v>
      </c>
      <c r="G48" s="18">
        <v>15</v>
      </c>
      <c r="H48" s="69">
        <v>45.54</v>
      </c>
      <c r="I48" s="14">
        <f t="shared" si="21"/>
        <v>6.9767279999999996</v>
      </c>
      <c r="J48" s="14">
        <f t="shared" si="22"/>
        <v>52.516728000000001</v>
      </c>
      <c r="K48" s="14">
        <f t="shared" si="23"/>
        <v>1.5755018399999998E-2</v>
      </c>
      <c r="L48" s="14">
        <f t="shared" si="24"/>
        <v>52.5009729816</v>
      </c>
      <c r="M48" s="14">
        <f t="shared" si="25"/>
        <v>787.51459472400006</v>
      </c>
      <c r="N48" s="14">
        <f t="shared" si="15"/>
        <v>3.4189189189189189</v>
      </c>
      <c r="O48" s="77"/>
    </row>
    <row r="49" spans="1:15" s="45" customFormat="1" ht="17.100000000000001" customHeight="1" x14ac:dyDescent="0.25">
      <c r="A49" s="18" t="s">
        <v>98</v>
      </c>
      <c r="B49" s="54" t="s">
        <v>86</v>
      </c>
      <c r="C49" s="18">
        <v>11762</v>
      </c>
      <c r="D49" s="18" t="s">
        <v>34</v>
      </c>
      <c r="E49" s="47" t="s">
        <v>106</v>
      </c>
      <c r="F49" s="18" t="s">
        <v>21</v>
      </c>
      <c r="G49" s="18">
        <v>10</v>
      </c>
      <c r="H49" s="72">
        <v>51.67</v>
      </c>
      <c r="I49" s="14">
        <f t="shared" si="21"/>
        <v>7.9158440000000008</v>
      </c>
      <c r="J49" s="14">
        <f t="shared" si="22"/>
        <v>59.585844000000002</v>
      </c>
      <c r="K49" s="14">
        <f t="shared" si="23"/>
        <v>1.78757532E-2</v>
      </c>
      <c r="L49" s="14">
        <f t="shared" si="24"/>
        <v>59.5679682468</v>
      </c>
      <c r="M49" s="14">
        <f t="shared" si="25"/>
        <v>595.67968246800001</v>
      </c>
      <c r="N49" s="14">
        <f t="shared" si="15"/>
        <v>0.75640462596984337</v>
      </c>
      <c r="O49" s="77"/>
    </row>
    <row r="50" spans="1:15" s="45" customFormat="1" ht="17.25" customHeight="1" x14ac:dyDescent="0.25">
      <c r="A50" s="54" t="s">
        <v>123</v>
      </c>
      <c r="B50" s="18" t="s">
        <v>86</v>
      </c>
      <c r="C50" s="73">
        <v>44945</v>
      </c>
      <c r="D50" s="43" t="s">
        <v>34</v>
      </c>
      <c r="E50" s="56" t="s">
        <v>141</v>
      </c>
      <c r="F50" s="18" t="s">
        <v>21</v>
      </c>
      <c r="G50" s="43">
        <v>20</v>
      </c>
      <c r="H50" s="74">
        <v>10.93</v>
      </c>
      <c r="I50" s="14">
        <f t="shared" si="21"/>
        <v>1.6744760000000001</v>
      </c>
      <c r="J50" s="14">
        <f t="shared" si="22"/>
        <v>12.604476</v>
      </c>
      <c r="K50" s="14">
        <f t="shared" si="23"/>
        <v>3.7813427999999999E-3</v>
      </c>
      <c r="L50" s="14">
        <f t="shared" si="24"/>
        <v>12.6006946572</v>
      </c>
      <c r="M50" s="14">
        <f t="shared" si="25"/>
        <v>252.01389314400001</v>
      </c>
      <c r="N50" s="14">
        <f t="shared" si="15"/>
        <v>0.42306947938842654</v>
      </c>
      <c r="O50" s="77"/>
    </row>
    <row r="51" spans="1:15" x14ac:dyDescent="0.25">
      <c r="A51" s="18" t="s">
        <v>91</v>
      </c>
      <c r="B51" s="18" t="s">
        <v>86</v>
      </c>
      <c r="C51" s="18">
        <v>11830</v>
      </c>
      <c r="D51" s="18" t="s">
        <v>34</v>
      </c>
      <c r="E51" s="57" t="s">
        <v>178</v>
      </c>
      <c r="F51" s="18" t="s">
        <v>21</v>
      </c>
      <c r="G51" s="18">
        <v>10</v>
      </c>
      <c r="H51" s="69">
        <v>54.71</v>
      </c>
      <c r="I51" s="14">
        <f t="shared" si="21"/>
        <v>8.3815720000000002</v>
      </c>
      <c r="J51" s="14">
        <f t="shared" si="22"/>
        <v>63.091571999999999</v>
      </c>
      <c r="K51" s="14">
        <f t="shared" si="23"/>
        <v>1.8927471599999999E-2</v>
      </c>
      <c r="L51" s="14">
        <f t="shared" si="24"/>
        <v>63.072644528399998</v>
      </c>
      <c r="M51" s="14">
        <f t="shared" si="25"/>
        <v>630.72644528399996</v>
      </c>
      <c r="N51" s="14">
        <f t="shared" si="15"/>
        <v>2.502744739249771</v>
      </c>
      <c r="O51" s="77"/>
    </row>
    <row r="52" spans="1:15" s="19" customFormat="1" ht="17.100000000000001" customHeight="1" x14ac:dyDescent="0.2">
      <c r="A52" s="18" t="s">
        <v>124</v>
      </c>
      <c r="B52" s="18" t="s">
        <v>86</v>
      </c>
      <c r="C52" s="18">
        <v>11825</v>
      </c>
      <c r="D52" s="18" t="s">
        <v>34</v>
      </c>
      <c r="E52" s="60" t="s">
        <v>179</v>
      </c>
      <c r="F52" s="18" t="s">
        <v>21</v>
      </c>
      <c r="G52" s="18">
        <v>10</v>
      </c>
      <c r="H52" s="69">
        <v>123.09</v>
      </c>
      <c r="I52" s="14">
        <f t="shared" si="21"/>
        <v>18.857388</v>
      </c>
      <c r="J52" s="14">
        <f t="shared" si="22"/>
        <v>141.94738799999999</v>
      </c>
      <c r="K52" s="14">
        <f t="shared" si="23"/>
        <v>4.2584216399999993E-2</v>
      </c>
      <c r="L52" s="14">
        <f t="shared" si="24"/>
        <v>141.90480378359999</v>
      </c>
      <c r="M52" s="14">
        <f t="shared" si="25"/>
        <v>1419.0480378359998</v>
      </c>
      <c r="N52" s="14">
        <f t="shared" si="15"/>
        <v>2.2498629135441415</v>
      </c>
      <c r="O52" s="77"/>
    </row>
    <row r="53" spans="1:15" s="45" customFormat="1" ht="17.100000000000001" customHeight="1" x14ac:dyDescent="0.25">
      <c r="A53" s="18" t="s">
        <v>116</v>
      </c>
      <c r="B53" s="18" t="s">
        <v>86</v>
      </c>
      <c r="C53" s="18">
        <v>9836</v>
      </c>
      <c r="D53" s="18" t="s">
        <v>34</v>
      </c>
      <c r="E53" s="47" t="s">
        <v>180</v>
      </c>
      <c r="F53" s="18" t="s">
        <v>169</v>
      </c>
      <c r="G53" s="18">
        <v>48</v>
      </c>
      <c r="H53" s="69">
        <v>13.47</v>
      </c>
      <c r="I53" s="14">
        <f t="shared" si="21"/>
        <v>2.0636040000000002</v>
      </c>
      <c r="J53" s="14">
        <f t="shared" si="22"/>
        <v>15.533604</v>
      </c>
      <c r="K53" s="14">
        <f t="shared" si="23"/>
        <v>4.6600812E-3</v>
      </c>
      <c r="L53" s="14">
        <f t="shared" si="24"/>
        <v>15.5289439188</v>
      </c>
      <c r="M53" s="14">
        <f t="shared" si="25"/>
        <v>745.38930810240004</v>
      </c>
      <c r="N53" s="14">
        <f t="shared" si="15"/>
        <v>0.52527418961735328</v>
      </c>
      <c r="O53" s="77"/>
    </row>
    <row r="54" spans="1:15" s="19" customFormat="1" ht="17.100000000000001" customHeight="1" x14ac:dyDescent="0.2">
      <c r="A54" s="18" t="s">
        <v>99</v>
      </c>
      <c r="B54" s="18" t="s">
        <v>86</v>
      </c>
      <c r="C54" s="18">
        <v>20111</v>
      </c>
      <c r="D54" s="18" t="s">
        <v>34</v>
      </c>
      <c r="E54" s="24" t="s">
        <v>181</v>
      </c>
      <c r="F54" s="18" t="s">
        <v>21</v>
      </c>
      <c r="G54" s="18">
        <v>10</v>
      </c>
      <c r="H54" s="63">
        <v>19.46</v>
      </c>
      <c r="I54" s="14">
        <f t="shared" si="21"/>
        <v>2.9812720000000001</v>
      </c>
      <c r="J54" s="14">
        <f t="shared" si="22"/>
        <v>22.441272000000001</v>
      </c>
      <c r="K54" s="14">
        <f t="shared" si="23"/>
        <v>6.7323816000000002E-3</v>
      </c>
      <c r="L54" s="14">
        <f t="shared" si="24"/>
        <v>22.434539618400002</v>
      </c>
      <c r="M54" s="14">
        <f t="shared" si="25"/>
        <v>224.34539618400004</v>
      </c>
      <c r="N54" s="14">
        <f t="shared" si="15"/>
        <v>0.30097748082157888</v>
      </c>
      <c r="O54" s="77"/>
    </row>
    <row r="55" spans="1:15" s="45" customFormat="1" ht="17.100000000000001" customHeight="1" x14ac:dyDescent="0.25">
      <c r="A55" s="18" t="s">
        <v>88</v>
      </c>
      <c r="B55" s="18" t="s">
        <v>86</v>
      </c>
      <c r="C55" s="11">
        <v>1368</v>
      </c>
      <c r="D55" s="18" t="s">
        <v>34</v>
      </c>
      <c r="E55" s="46" t="s">
        <v>182</v>
      </c>
      <c r="F55" s="18" t="s">
        <v>21</v>
      </c>
      <c r="G55" s="18">
        <v>40</v>
      </c>
      <c r="H55" s="75">
        <v>88.9</v>
      </c>
      <c r="I55" s="14">
        <f t="shared" si="21"/>
        <v>13.619480000000001</v>
      </c>
      <c r="J55" s="14">
        <f t="shared" si="22"/>
        <v>102.51948</v>
      </c>
      <c r="K55" s="14">
        <f t="shared" si="23"/>
        <v>3.0755843999999997E-2</v>
      </c>
      <c r="L55" s="14">
        <f t="shared" si="24"/>
        <v>102.488724156</v>
      </c>
      <c r="M55" s="14">
        <f t="shared" si="25"/>
        <v>4099.5489662400005</v>
      </c>
      <c r="N55" s="14">
        <f t="shared" si="15"/>
        <v>18.273381294964029</v>
      </c>
      <c r="O55" s="77"/>
    </row>
    <row r="56" spans="1:15" s="45" customFormat="1" ht="17.100000000000001" customHeight="1" x14ac:dyDescent="0.25">
      <c r="A56" s="18" t="s">
        <v>100</v>
      </c>
      <c r="B56" s="18" t="s">
        <v>86</v>
      </c>
      <c r="C56" s="18">
        <v>44019</v>
      </c>
      <c r="D56" s="18" t="s">
        <v>34</v>
      </c>
      <c r="E56" s="47" t="s">
        <v>183</v>
      </c>
      <c r="F56" s="18" t="s">
        <v>21</v>
      </c>
      <c r="G56" s="18">
        <v>3</v>
      </c>
      <c r="H56" s="69">
        <v>546.62</v>
      </c>
      <c r="I56" s="14">
        <f t="shared" si="21"/>
        <v>83.742184000000009</v>
      </c>
      <c r="J56" s="14">
        <f t="shared" si="22"/>
        <v>630.36218400000007</v>
      </c>
      <c r="K56" s="14">
        <f t="shared" si="23"/>
        <v>0.1891086552</v>
      </c>
      <c r="L56" s="14">
        <f t="shared" si="24"/>
        <v>630.17307534480005</v>
      </c>
      <c r="M56" s="14">
        <f t="shared" si="25"/>
        <v>1890.5192260344002</v>
      </c>
      <c r="N56" s="14">
        <f t="shared" si="15"/>
        <v>0.46115298087739032</v>
      </c>
      <c r="O56" s="77"/>
    </row>
    <row r="57" spans="1:15" s="45" customFormat="1" ht="16.5" customHeight="1" x14ac:dyDescent="0.25">
      <c r="A57" s="54" t="s">
        <v>125</v>
      </c>
      <c r="B57" s="18" t="s">
        <v>86</v>
      </c>
      <c r="C57" s="11">
        <v>11674</v>
      </c>
      <c r="D57" s="18" t="s">
        <v>34</v>
      </c>
      <c r="E57" s="46" t="s">
        <v>184</v>
      </c>
      <c r="F57" s="18" t="s">
        <v>21</v>
      </c>
      <c r="G57" s="18">
        <v>10</v>
      </c>
      <c r="H57" s="63">
        <v>27.78</v>
      </c>
      <c r="I57" s="14">
        <f t="shared" si="21"/>
        <v>4.2558959999999999</v>
      </c>
      <c r="J57" s="14">
        <f t="shared" si="22"/>
        <v>32.035896000000001</v>
      </c>
      <c r="K57" s="14">
        <f t="shared" si="23"/>
        <v>9.610768799999999E-3</v>
      </c>
      <c r="L57" s="14">
        <f t="shared" si="24"/>
        <v>32.026285231199999</v>
      </c>
      <c r="M57" s="14">
        <f t="shared" si="25"/>
        <v>320.26285231200001</v>
      </c>
      <c r="N57" s="14">
        <f t="shared" si="15"/>
        <v>0.16940470527971899</v>
      </c>
      <c r="O57" s="77"/>
    </row>
    <row r="58" spans="1:15" s="48" customFormat="1" ht="17.25" customHeight="1" x14ac:dyDescent="0.25">
      <c r="A58" s="18" t="s">
        <v>126</v>
      </c>
      <c r="B58" s="18" t="s">
        <v>86</v>
      </c>
      <c r="C58" s="18">
        <v>108</v>
      </c>
      <c r="D58" s="18" t="s">
        <v>34</v>
      </c>
      <c r="E58" s="47" t="s">
        <v>185</v>
      </c>
      <c r="F58" s="18" t="s">
        <v>21</v>
      </c>
      <c r="G58" s="18">
        <v>5</v>
      </c>
      <c r="H58" s="69">
        <v>1.49</v>
      </c>
      <c r="I58" s="14">
        <f t="shared" si="21"/>
        <v>0.228268</v>
      </c>
      <c r="J58" s="14">
        <f t="shared" si="22"/>
        <v>1.7182679999999999</v>
      </c>
      <c r="K58" s="14">
        <f t="shared" si="23"/>
        <v>5.1548039999999994E-4</v>
      </c>
      <c r="L58" s="14">
        <f t="shared" si="24"/>
        <v>1.7177525195999999</v>
      </c>
      <c r="M58" s="14">
        <f t="shared" si="25"/>
        <v>8.5887625979999989</v>
      </c>
      <c r="N58" s="14">
        <f t="shared" si="15"/>
        <v>2.6817854571634266E-2</v>
      </c>
      <c r="O58" s="77"/>
    </row>
    <row r="59" spans="1:15" s="45" customFormat="1" ht="17.100000000000001" customHeight="1" x14ac:dyDescent="0.25">
      <c r="A59" s="18" t="s">
        <v>101</v>
      </c>
      <c r="B59" s="18" t="s">
        <v>86</v>
      </c>
      <c r="C59" s="18">
        <v>829</v>
      </c>
      <c r="D59" s="18" t="s">
        <v>34</v>
      </c>
      <c r="E59" s="58" t="s">
        <v>186</v>
      </c>
      <c r="F59" s="18" t="s">
        <v>21</v>
      </c>
      <c r="G59" s="18">
        <v>30</v>
      </c>
      <c r="H59" s="71">
        <v>0.79</v>
      </c>
      <c r="I59" s="42">
        <f t="shared" si="21"/>
        <v>0.12102800000000001</v>
      </c>
      <c r="J59" s="42">
        <f t="shared" si="22"/>
        <v>0.91102800000000006</v>
      </c>
      <c r="K59" s="42">
        <f t="shared" si="23"/>
        <v>2.7330840000000002E-4</v>
      </c>
      <c r="L59" s="42">
        <f t="shared" si="24"/>
        <v>0.91075469160000011</v>
      </c>
      <c r="M59" s="42">
        <f t="shared" si="25"/>
        <v>27.322640748000005</v>
      </c>
      <c r="N59" s="14">
        <f t="shared" si="15"/>
        <v>3.1812080536912761</v>
      </c>
      <c r="O59" s="77"/>
    </row>
    <row r="60" spans="1:15" s="48" customFormat="1" ht="17.25" customHeight="1" x14ac:dyDescent="0.25">
      <c r="A60" s="18" t="s">
        <v>146</v>
      </c>
      <c r="B60" s="18" t="s">
        <v>86</v>
      </c>
      <c r="C60" s="18">
        <v>3904</v>
      </c>
      <c r="D60" s="18" t="s">
        <v>34</v>
      </c>
      <c r="E60" s="46" t="s">
        <v>144</v>
      </c>
      <c r="F60" s="18" t="s">
        <v>21</v>
      </c>
      <c r="G60" s="18">
        <v>20</v>
      </c>
      <c r="H60" s="71">
        <v>0.68</v>
      </c>
      <c r="I60" s="14">
        <f t="shared" si="21"/>
        <v>0.104176</v>
      </c>
      <c r="J60" s="14">
        <f t="shared" si="22"/>
        <v>0.7841760000000001</v>
      </c>
      <c r="K60" s="14">
        <f t="shared" si="23"/>
        <v>2.3525280000000001E-4</v>
      </c>
      <c r="L60" s="14">
        <f t="shared" si="24"/>
        <v>0.78394074720000007</v>
      </c>
      <c r="M60" s="14">
        <f t="shared" si="25"/>
        <v>15.678814944000001</v>
      </c>
      <c r="N60" s="14">
        <f t="shared" si="15"/>
        <v>0.57383966244725726</v>
      </c>
      <c r="O60" s="77"/>
    </row>
    <row r="61" spans="1:15" s="48" customFormat="1" ht="17.25" customHeight="1" x14ac:dyDescent="0.25">
      <c r="A61" s="18" t="s">
        <v>142</v>
      </c>
      <c r="B61" s="18" t="s">
        <v>86</v>
      </c>
      <c r="C61" s="18">
        <v>7122</v>
      </c>
      <c r="D61" s="18" t="s">
        <v>34</v>
      </c>
      <c r="E61" s="47" t="s">
        <v>145</v>
      </c>
      <c r="F61" s="18" t="s">
        <v>21</v>
      </c>
      <c r="G61" s="18">
        <v>10</v>
      </c>
      <c r="H61" s="69">
        <v>9.15</v>
      </c>
      <c r="I61" s="14">
        <f t="shared" si="21"/>
        <v>1.40178</v>
      </c>
      <c r="J61" s="14">
        <f t="shared" si="22"/>
        <v>10.551780000000001</v>
      </c>
      <c r="K61" s="14">
        <f t="shared" si="23"/>
        <v>3.1655339999999998E-3</v>
      </c>
      <c r="L61" s="14">
        <f t="shared" si="24"/>
        <v>10.548614466</v>
      </c>
      <c r="M61" s="14">
        <f t="shared" si="25"/>
        <v>105.48614466000001</v>
      </c>
      <c r="N61" s="14">
        <f t="shared" si="15"/>
        <v>6.7279411764705888</v>
      </c>
      <c r="O61" s="77"/>
    </row>
    <row r="62" spans="1:15" s="19" customFormat="1" ht="17.100000000000001" customHeight="1" x14ac:dyDescent="0.2">
      <c r="A62" s="18" t="s">
        <v>147</v>
      </c>
      <c r="B62" s="18" t="s">
        <v>86</v>
      </c>
      <c r="C62" s="18">
        <v>13329</v>
      </c>
      <c r="D62" s="18" t="s">
        <v>34</v>
      </c>
      <c r="E62" s="61" t="s">
        <v>187</v>
      </c>
      <c r="F62" s="18" t="s">
        <v>21</v>
      </c>
      <c r="G62" s="18">
        <v>20</v>
      </c>
      <c r="H62" s="69">
        <v>4.0599999999999996</v>
      </c>
      <c r="I62" s="14">
        <f t="shared" si="21"/>
        <v>0.62199199999999999</v>
      </c>
      <c r="J62" s="14">
        <f t="shared" si="22"/>
        <v>4.6819919999999993</v>
      </c>
      <c r="K62" s="14">
        <f t="shared" si="23"/>
        <v>1.4045975999999996E-3</v>
      </c>
      <c r="L62" s="14">
        <f t="shared" si="24"/>
        <v>4.6805874023999996</v>
      </c>
      <c r="M62" s="14">
        <f t="shared" si="25"/>
        <v>93.611748047999995</v>
      </c>
      <c r="N62" s="14">
        <f t="shared" si="15"/>
        <v>0.88743169398907096</v>
      </c>
      <c r="O62" s="77"/>
    </row>
    <row r="63" spans="1:15" s="48" customFormat="1" ht="17.25" customHeight="1" x14ac:dyDescent="0.25">
      <c r="A63" s="18"/>
      <c r="B63" s="18"/>
      <c r="C63" s="18"/>
      <c r="D63" s="18"/>
      <c r="E63" s="47"/>
      <c r="F63" s="18"/>
      <c r="G63" s="18"/>
      <c r="H63" s="26"/>
      <c r="I63" s="14"/>
      <c r="J63" s="14"/>
      <c r="K63" s="14"/>
      <c r="L63" s="14"/>
      <c r="M63" s="14"/>
      <c r="N63" s="14"/>
      <c r="O63" s="77"/>
    </row>
    <row r="64" spans="1:15" s="48" customFormat="1" ht="17.25" customHeight="1" x14ac:dyDescent="0.25">
      <c r="A64" s="18"/>
      <c r="B64" s="18"/>
      <c r="C64" s="18"/>
      <c r="D64" s="18"/>
      <c r="E64" s="47"/>
      <c r="F64" s="18"/>
      <c r="G64" s="18"/>
      <c r="H64" s="26"/>
      <c r="I64" s="14"/>
      <c r="J64" s="14"/>
      <c r="K64" s="14"/>
      <c r="L64" s="14"/>
      <c r="M64" s="14"/>
      <c r="N64" s="14"/>
      <c r="O64" s="77"/>
    </row>
    <row r="65" spans="1:16" s="48" customFormat="1" ht="17.25" customHeight="1" x14ac:dyDescent="0.25">
      <c r="A65" s="18"/>
      <c r="B65" s="18"/>
      <c r="C65" s="18"/>
      <c r="D65" s="18"/>
      <c r="E65" s="47"/>
      <c r="F65" s="18"/>
      <c r="G65" s="18"/>
      <c r="H65" s="26"/>
      <c r="I65" s="14"/>
      <c r="J65" s="14"/>
      <c r="K65" s="14"/>
      <c r="L65" s="14"/>
      <c r="M65" s="14"/>
      <c r="N65" s="14"/>
      <c r="O65" s="77"/>
    </row>
    <row r="66" spans="1:16" s="48" customFormat="1" ht="17.25" customHeight="1" x14ac:dyDescent="0.25">
      <c r="A66" s="18"/>
      <c r="B66" s="18"/>
      <c r="C66" s="18"/>
      <c r="D66" s="18"/>
      <c r="E66" s="47"/>
      <c r="F66" s="18"/>
      <c r="G66" s="18"/>
      <c r="H66" s="26"/>
      <c r="I66" s="14"/>
      <c r="J66" s="14"/>
      <c r="K66" s="14"/>
      <c r="L66" s="14"/>
      <c r="M66" s="14"/>
      <c r="N66" s="14"/>
      <c r="O66" s="77"/>
    </row>
    <row r="67" spans="1:16" s="45" customFormat="1" ht="17.25" customHeight="1" x14ac:dyDescent="0.25">
      <c r="A67" s="18"/>
      <c r="B67" s="18"/>
      <c r="C67" s="18"/>
      <c r="D67" s="18"/>
      <c r="E67" s="47"/>
      <c r="F67" s="18"/>
      <c r="G67" s="18"/>
      <c r="H67" s="41"/>
      <c r="I67" s="14"/>
      <c r="J67" s="14"/>
      <c r="K67" s="14"/>
      <c r="L67" s="14"/>
      <c r="M67" s="14"/>
      <c r="N67" s="14"/>
      <c r="O67" s="77"/>
    </row>
    <row r="68" spans="1:16" s="45" customFormat="1" ht="17.25" customHeight="1" x14ac:dyDescent="0.25">
      <c r="A68" s="18"/>
      <c r="B68" s="18"/>
      <c r="C68" s="18"/>
      <c r="D68" s="18"/>
      <c r="E68" s="47"/>
      <c r="F68" s="18"/>
      <c r="G68" s="18"/>
      <c r="H68" s="41"/>
      <c r="I68" s="14"/>
      <c r="J68" s="14"/>
      <c r="K68" s="14"/>
      <c r="L68" s="14"/>
      <c r="M68" s="14"/>
      <c r="N68" s="14"/>
      <c r="O68" s="77"/>
    </row>
    <row r="69" spans="1:16" s="45" customFormat="1" ht="17.25" customHeight="1" x14ac:dyDescent="0.25">
      <c r="A69" s="18"/>
      <c r="B69" s="18"/>
      <c r="C69" s="18"/>
      <c r="D69" s="18"/>
      <c r="E69" s="47"/>
      <c r="F69" s="18"/>
      <c r="G69" s="18"/>
      <c r="H69" s="41"/>
      <c r="I69" s="14"/>
      <c r="J69" s="14"/>
      <c r="K69" s="14"/>
      <c r="L69" s="14"/>
      <c r="M69" s="14"/>
      <c r="N69" s="14"/>
      <c r="O69" s="77"/>
    </row>
    <row r="70" spans="1:16" s="19" customFormat="1" ht="17.25" customHeight="1" x14ac:dyDescent="0.2">
      <c r="A70" s="18"/>
      <c r="B70" s="18"/>
      <c r="C70" s="23"/>
      <c r="D70" s="18"/>
      <c r="E70" s="24"/>
      <c r="F70" s="18"/>
      <c r="G70" s="18"/>
      <c r="H70" s="27"/>
      <c r="I70" s="14"/>
      <c r="J70" s="14"/>
      <c r="K70" s="14"/>
      <c r="L70" s="14"/>
      <c r="M70" s="14"/>
      <c r="N70" s="14"/>
      <c r="O70" s="77"/>
    </row>
    <row r="71" spans="1:16" s="28" customFormat="1" ht="17.100000000000001" customHeight="1" x14ac:dyDescent="0.25">
      <c r="A71" s="147" t="s">
        <v>16</v>
      </c>
      <c r="B71" s="99" t="s">
        <v>17</v>
      </c>
      <c r="C71" s="99" t="s">
        <v>18</v>
      </c>
      <c r="D71" s="99" t="s">
        <v>19</v>
      </c>
      <c r="E71" s="99" t="s">
        <v>20</v>
      </c>
      <c r="F71" s="99" t="s">
        <v>21</v>
      </c>
      <c r="G71" s="99" t="s">
        <v>22</v>
      </c>
      <c r="H71" s="101" t="s">
        <v>23</v>
      </c>
      <c r="I71" s="101"/>
      <c r="J71" s="101"/>
      <c r="K71" s="101"/>
      <c r="L71" s="102"/>
      <c r="M71" s="99" t="s">
        <v>24</v>
      </c>
      <c r="N71" s="99" t="s">
        <v>25</v>
      </c>
      <c r="O71" s="76"/>
    </row>
    <row r="72" spans="1:16" s="28" customFormat="1" ht="17.100000000000001" customHeight="1" x14ac:dyDescent="0.25">
      <c r="A72" s="148"/>
      <c r="B72" s="100"/>
      <c r="C72" s="100"/>
      <c r="D72" s="100"/>
      <c r="E72" s="100"/>
      <c r="F72" s="100"/>
      <c r="G72" s="100"/>
      <c r="H72" s="4" t="s">
        <v>27</v>
      </c>
      <c r="I72" s="4" t="s">
        <v>28</v>
      </c>
      <c r="J72" s="4" t="s">
        <v>29</v>
      </c>
      <c r="K72" s="4" t="s">
        <v>53</v>
      </c>
      <c r="L72" s="4" t="s">
        <v>30</v>
      </c>
      <c r="M72" s="100"/>
      <c r="N72" s="100"/>
      <c r="O72" s="76"/>
    </row>
    <row r="73" spans="1:16" s="29" customFormat="1" ht="17.100000000000001" customHeight="1" x14ac:dyDescent="0.2">
      <c r="A73" s="30">
        <v>3</v>
      </c>
      <c r="B73" s="82" t="s">
        <v>38</v>
      </c>
      <c r="C73" s="83"/>
      <c r="D73" s="83"/>
      <c r="E73" s="83"/>
      <c r="F73" s="84"/>
      <c r="G73" s="31"/>
      <c r="H73" s="31"/>
      <c r="I73" s="31"/>
      <c r="J73" s="31"/>
      <c r="K73" s="31"/>
      <c r="L73" s="31"/>
      <c r="M73" s="32">
        <f>SUM(M74:M86)</f>
        <v>32315.888232227604</v>
      </c>
      <c r="N73" s="31"/>
      <c r="O73" s="76"/>
    </row>
    <row r="74" spans="1:16" s="29" customFormat="1" ht="26.25" customHeight="1" x14ac:dyDescent="0.2">
      <c r="A74" s="33" t="s">
        <v>76</v>
      </c>
      <c r="B74" s="33" t="s">
        <v>33</v>
      </c>
      <c r="C74" s="33" t="s">
        <v>58</v>
      </c>
      <c r="D74" s="33" t="s">
        <v>34</v>
      </c>
      <c r="E74" s="34" t="s">
        <v>59</v>
      </c>
      <c r="F74" s="35" t="s">
        <v>35</v>
      </c>
      <c r="G74" s="64">
        <v>0</v>
      </c>
      <c r="H74" s="63">
        <v>32.57</v>
      </c>
      <c r="I74" s="36">
        <f>H74*0.2232</f>
        <v>7.2696240000000003</v>
      </c>
      <c r="J74" s="36">
        <f>H74+I74</f>
        <v>39.839624000000001</v>
      </c>
      <c r="K74" s="36">
        <f>J74*(0.03%)</f>
        <v>1.1951887199999999E-2</v>
      </c>
      <c r="L74" s="36">
        <f>J74-K74</f>
        <v>39.827672112800002</v>
      </c>
      <c r="M74" s="36">
        <f>L74*G74</f>
        <v>0</v>
      </c>
      <c r="N74" s="36">
        <f>M74/M$16</f>
        <v>0</v>
      </c>
      <c r="O74" s="77"/>
    </row>
    <row r="75" spans="1:16" s="29" customFormat="1" ht="23.25" customHeight="1" x14ac:dyDescent="0.2">
      <c r="A75" s="33" t="s">
        <v>78</v>
      </c>
      <c r="B75" s="33" t="s">
        <v>33</v>
      </c>
      <c r="C75" s="33" t="s">
        <v>60</v>
      </c>
      <c r="D75" s="33" t="s">
        <v>34</v>
      </c>
      <c r="E75" s="34" t="s">
        <v>61</v>
      </c>
      <c r="F75" s="35" t="s">
        <v>35</v>
      </c>
      <c r="G75" s="64">
        <v>0</v>
      </c>
      <c r="H75" s="63">
        <v>30.38</v>
      </c>
      <c r="I75" s="36">
        <f>H75*0.2232</f>
        <v>6.7808159999999997</v>
      </c>
      <c r="J75" s="36">
        <f>H75+I75</f>
        <v>37.160815999999997</v>
      </c>
      <c r="K75" s="36">
        <f>J75*(0.03%)</f>
        <v>1.1148244799999998E-2</v>
      </c>
      <c r="L75" s="36">
        <f>J75-K75</f>
        <v>37.149667755199999</v>
      </c>
      <c r="M75" s="36">
        <f>L75*G75</f>
        <v>0</v>
      </c>
      <c r="N75" s="36">
        <f>M75/M$16</f>
        <v>0</v>
      </c>
      <c r="O75" s="77"/>
    </row>
    <row r="76" spans="1:16" s="29" customFormat="1" ht="23.25" customHeight="1" x14ac:dyDescent="0.2">
      <c r="A76" s="11" t="s">
        <v>77</v>
      </c>
      <c r="B76" s="11" t="s">
        <v>33</v>
      </c>
      <c r="C76" s="11">
        <v>88310</v>
      </c>
      <c r="D76" s="11" t="s">
        <v>34</v>
      </c>
      <c r="E76" s="20" t="s">
        <v>79</v>
      </c>
      <c r="F76" s="13" t="s">
        <v>35</v>
      </c>
      <c r="G76" s="65">
        <v>180</v>
      </c>
      <c r="H76" s="63">
        <v>35.880000000000003</v>
      </c>
      <c r="I76" s="14">
        <f>H76*0.2232</f>
        <v>8.0084160000000004</v>
      </c>
      <c r="J76" s="14">
        <f>H76+I76</f>
        <v>43.888416000000007</v>
      </c>
      <c r="K76" s="14">
        <f>J76*(0.03%)</f>
        <v>1.3166524800000001E-2</v>
      </c>
      <c r="L76" s="14">
        <f>J76-K76</f>
        <v>43.875249475200008</v>
      </c>
      <c r="M76" s="14">
        <f>L76*G76</f>
        <v>7897.5449055360014</v>
      </c>
      <c r="N76" s="14">
        <f>M76/M$16</f>
        <v>9.6348012889366286E-2</v>
      </c>
      <c r="O76" s="77"/>
    </row>
    <row r="77" spans="1:16" s="29" customFormat="1" ht="23.25" customHeight="1" x14ac:dyDescent="0.2">
      <c r="A77" s="140" t="s">
        <v>189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2"/>
      <c r="O77" s="77"/>
    </row>
    <row r="78" spans="1:16" s="29" customFormat="1" ht="23.25" customHeight="1" x14ac:dyDescent="0.2">
      <c r="A78" s="11" t="s">
        <v>82</v>
      </c>
      <c r="B78" s="11" t="s">
        <v>33</v>
      </c>
      <c r="C78" s="11">
        <v>104803</v>
      </c>
      <c r="D78" s="11" t="s">
        <v>34</v>
      </c>
      <c r="E78" s="20" t="s">
        <v>188</v>
      </c>
      <c r="F78" s="13" t="s">
        <v>169</v>
      </c>
      <c r="G78" s="11">
        <v>74</v>
      </c>
      <c r="H78" s="63">
        <v>5.78</v>
      </c>
      <c r="I78" s="44">
        <f>H78*0.2232</f>
        <v>1.2900960000000001</v>
      </c>
      <c r="J78" s="44">
        <f>H78+I78</f>
        <v>7.0700960000000004</v>
      </c>
      <c r="K78" s="44">
        <f>J78*(0.03%)</f>
        <v>2.1210287999999999E-3</v>
      </c>
      <c r="L78" s="44">
        <f>J78-K78</f>
        <v>7.0679749712</v>
      </c>
      <c r="M78" s="44">
        <f>L78*G78</f>
        <v>523.03014786879999</v>
      </c>
      <c r="N78" s="36">
        <f>M78/M$16</f>
        <v>6.3808330349683726E-3</v>
      </c>
      <c r="O78" s="77"/>
      <c r="P78" s="29" t="s">
        <v>197</v>
      </c>
    </row>
    <row r="79" spans="1:16" s="29" customFormat="1" ht="23.25" customHeight="1" x14ac:dyDescent="0.2">
      <c r="A79" s="11" t="s">
        <v>83</v>
      </c>
      <c r="B79" s="11" t="s">
        <v>33</v>
      </c>
      <c r="C79" s="11">
        <v>94227</v>
      </c>
      <c r="D79" s="11" t="s">
        <v>34</v>
      </c>
      <c r="E79" s="20" t="s">
        <v>195</v>
      </c>
      <c r="F79" s="13" t="s">
        <v>169</v>
      </c>
      <c r="G79" s="11">
        <v>74</v>
      </c>
      <c r="H79" s="66">
        <v>68.12</v>
      </c>
      <c r="I79" s="44">
        <f>H79*0.2232</f>
        <v>15.204384000000001</v>
      </c>
      <c r="J79" s="44">
        <f>H79+I79</f>
        <v>83.324384000000009</v>
      </c>
      <c r="K79" s="44">
        <f>J79*(0.03%)</f>
        <v>2.4997315200000002E-2</v>
      </c>
      <c r="L79" s="44">
        <f>J79-K79</f>
        <v>83.299386684800012</v>
      </c>
      <c r="M79" s="44">
        <f>L79*G79</f>
        <v>6164.1546146752007</v>
      </c>
      <c r="N79" s="36">
        <f>M79/M$16</f>
        <v>7.5201097983052884E-2</v>
      </c>
      <c r="O79" s="77"/>
    </row>
    <row r="80" spans="1:16" s="29" customFormat="1" ht="23.25" customHeight="1" x14ac:dyDescent="0.2">
      <c r="A80" s="11" t="s">
        <v>84</v>
      </c>
      <c r="B80" s="11" t="s">
        <v>33</v>
      </c>
      <c r="C80" s="11">
        <v>94228</v>
      </c>
      <c r="D80" s="11" t="s">
        <v>34</v>
      </c>
      <c r="E80" s="20" t="s">
        <v>196</v>
      </c>
      <c r="F80" s="13" t="s">
        <v>169</v>
      </c>
      <c r="G80" s="11">
        <v>74</v>
      </c>
      <c r="H80" s="66">
        <v>93.42</v>
      </c>
      <c r="I80" s="44">
        <f>H80*0.2232</f>
        <v>20.851344000000001</v>
      </c>
      <c r="J80" s="44">
        <f>H80+I80</f>
        <v>114.271344</v>
      </c>
      <c r="K80" s="44">
        <f>J80*(0.03%)</f>
        <v>3.4281403199999998E-2</v>
      </c>
      <c r="L80" s="44">
        <f>J80-K80</f>
        <v>114.2370625968</v>
      </c>
      <c r="M80" s="44">
        <f>L80*G80</f>
        <v>8453.5426321632003</v>
      </c>
      <c r="N80" s="36">
        <f>M80/M$16</f>
        <v>0.10313104189044039</v>
      </c>
      <c r="O80" s="77"/>
    </row>
    <row r="81" spans="1:16" s="29" customFormat="1" ht="23.25" customHeight="1" x14ac:dyDescent="0.2">
      <c r="A81" s="11" t="s">
        <v>85</v>
      </c>
      <c r="B81" s="11" t="s">
        <v>33</v>
      </c>
      <c r="C81" s="11">
        <v>94231</v>
      </c>
      <c r="D81" s="11" t="s">
        <v>34</v>
      </c>
      <c r="E81" s="20" t="s">
        <v>190</v>
      </c>
      <c r="F81" s="13" t="s">
        <v>169</v>
      </c>
      <c r="G81" s="11">
        <v>74</v>
      </c>
      <c r="H81" s="63">
        <v>54.99</v>
      </c>
      <c r="I81" s="14">
        <f>H81*0.2232</f>
        <v>12.273768</v>
      </c>
      <c r="J81" s="14">
        <f>H81+I81</f>
        <v>67.263767999999999</v>
      </c>
      <c r="K81" s="14">
        <f>J81*(0.03%)</f>
        <v>2.0179130399999998E-2</v>
      </c>
      <c r="L81" s="14">
        <f>J81-K81</f>
        <v>67.243588869600003</v>
      </c>
      <c r="M81" s="14">
        <f>L81*G81</f>
        <v>4976.0255763504001</v>
      </c>
      <c r="N81" s="14">
        <f>M81/M$16</f>
        <v>6.0706229860365196E-2</v>
      </c>
      <c r="O81" s="77"/>
    </row>
    <row r="82" spans="1:16" s="29" customFormat="1" ht="23.25" customHeight="1" x14ac:dyDescent="0.2">
      <c r="A82" s="11" t="s">
        <v>154</v>
      </c>
      <c r="B82" s="11" t="s">
        <v>33</v>
      </c>
      <c r="C82" s="11">
        <v>88323</v>
      </c>
      <c r="D82" s="11" t="s">
        <v>34</v>
      </c>
      <c r="E82" s="20" t="s">
        <v>191</v>
      </c>
      <c r="F82" s="13" t="s">
        <v>153</v>
      </c>
      <c r="G82" s="11">
        <v>24</v>
      </c>
      <c r="H82" s="63">
        <v>32.17</v>
      </c>
      <c r="I82" s="14">
        <f t="shared" ref="I82:I83" si="26">H82*0.2232</f>
        <v>7.1803440000000007</v>
      </c>
      <c r="J82" s="14">
        <f t="shared" ref="J82:J83" si="27">H82+I82</f>
        <v>39.350344</v>
      </c>
      <c r="K82" s="14">
        <f t="shared" ref="K82:K83" si="28">J82*(0.03%)</f>
        <v>1.1805103199999998E-2</v>
      </c>
      <c r="L82" s="14">
        <f t="shared" ref="L82:L83" si="29">J82-K82</f>
        <v>39.338538896800003</v>
      </c>
      <c r="M82" s="14">
        <f t="shared" ref="M82:M83" si="30">L82*G82</f>
        <v>944.12493352320007</v>
      </c>
      <c r="N82" s="14">
        <f t="shared" ref="N82:N83" si="31">M82/M$16</f>
        <v>1.1518080916577158E-2</v>
      </c>
      <c r="O82" s="77"/>
      <c r="P82" s="62" t="s">
        <v>193</v>
      </c>
    </row>
    <row r="83" spans="1:16" s="29" customFormat="1" ht="23.25" customHeight="1" x14ac:dyDescent="0.2">
      <c r="A83" s="11" t="s">
        <v>155</v>
      </c>
      <c r="B83" s="11" t="s">
        <v>33</v>
      </c>
      <c r="C83" s="11">
        <v>88316</v>
      </c>
      <c r="D83" s="11" t="s">
        <v>34</v>
      </c>
      <c r="E83" s="20" t="s">
        <v>192</v>
      </c>
      <c r="F83" s="13" t="s">
        <v>153</v>
      </c>
      <c r="G83" s="11">
        <v>24</v>
      </c>
      <c r="H83" s="63">
        <v>28.17</v>
      </c>
      <c r="I83" s="14">
        <f t="shared" si="26"/>
        <v>6.2875440000000005</v>
      </c>
      <c r="J83" s="14">
        <f t="shared" si="27"/>
        <v>34.457543999999999</v>
      </c>
      <c r="K83" s="14">
        <f t="shared" si="28"/>
        <v>1.0337263199999999E-2</v>
      </c>
      <c r="L83" s="14">
        <f t="shared" si="29"/>
        <v>34.447206736799998</v>
      </c>
      <c r="M83" s="14">
        <f t="shared" si="30"/>
        <v>826.73296168319996</v>
      </c>
      <c r="N83" s="14">
        <f t="shared" si="31"/>
        <v>1.0085929108485499E-2</v>
      </c>
      <c r="O83" s="77"/>
      <c r="P83" s="62" t="s">
        <v>194</v>
      </c>
    </row>
    <row r="84" spans="1:16" s="29" customFormat="1" ht="23.25" customHeight="1" x14ac:dyDescent="0.2">
      <c r="A84" s="140" t="s">
        <v>158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2"/>
      <c r="O84" s="77"/>
    </row>
    <row r="85" spans="1:16" s="29" customFormat="1" ht="23.25" customHeight="1" x14ac:dyDescent="0.2">
      <c r="A85" s="44" t="s">
        <v>155</v>
      </c>
      <c r="B85" s="33" t="s">
        <v>33</v>
      </c>
      <c r="C85" s="49">
        <v>88488</v>
      </c>
      <c r="D85" s="49" t="s">
        <v>34</v>
      </c>
      <c r="E85" s="50" t="s">
        <v>149</v>
      </c>
      <c r="F85" s="49" t="s">
        <v>80</v>
      </c>
      <c r="G85" s="49">
        <v>28.5</v>
      </c>
      <c r="H85" s="67">
        <v>17.29</v>
      </c>
      <c r="I85" s="44">
        <f>H85*0.2232</f>
        <v>3.8591280000000001</v>
      </c>
      <c r="J85" s="44">
        <f>H85+I85</f>
        <v>21.149127999999997</v>
      </c>
      <c r="K85" s="44">
        <f>J85*(0.03%)</f>
        <v>6.3447383999999983E-3</v>
      </c>
      <c r="L85" s="44">
        <f>J85-K85</f>
        <v>21.142783261599998</v>
      </c>
      <c r="M85" s="44">
        <f>L85*G85</f>
        <v>602.5693229556</v>
      </c>
      <c r="N85" s="36">
        <f>M85/M$16</f>
        <v>7.3511904761904764E-3</v>
      </c>
      <c r="O85" s="77"/>
    </row>
    <row r="86" spans="1:16" s="29" customFormat="1" ht="23.25" customHeight="1" x14ac:dyDescent="0.2">
      <c r="A86" s="44" t="s">
        <v>148</v>
      </c>
      <c r="B86" s="33" t="s">
        <v>33</v>
      </c>
      <c r="C86" s="49" t="s">
        <v>150</v>
      </c>
      <c r="D86" s="49" t="s">
        <v>34</v>
      </c>
      <c r="E86" s="50" t="s">
        <v>151</v>
      </c>
      <c r="F86" s="49" t="s">
        <v>80</v>
      </c>
      <c r="G86" s="49">
        <v>109.5</v>
      </c>
      <c r="H86" s="67">
        <v>14.4</v>
      </c>
      <c r="I86" s="44">
        <f>H86*0.2232</f>
        <v>3.21408</v>
      </c>
      <c r="J86" s="44">
        <f>H86+I86</f>
        <v>17.614080000000001</v>
      </c>
      <c r="K86" s="44">
        <f>J86*(0.03%)</f>
        <v>5.2842239999999997E-3</v>
      </c>
      <c r="L86" s="44">
        <f>J86-K86</f>
        <v>17.608795776000001</v>
      </c>
      <c r="M86" s="44">
        <f>L86*G86</f>
        <v>1928.163137472</v>
      </c>
      <c r="N86" s="36">
        <f>M86/M$16</f>
        <v>2.3523093447905478E-2</v>
      </c>
      <c r="O86" s="77"/>
    </row>
    <row r="87" spans="1:16" s="29" customFormat="1" ht="23.25" customHeight="1" x14ac:dyDescent="0.2">
      <c r="A87" s="44" t="s">
        <v>156</v>
      </c>
      <c r="B87" s="33" t="s">
        <v>33</v>
      </c>
      <c r="C87" s="49">
        <v>96135</v>
      </c>
      <c r="D87" s="49" t="s">
        <v>34</v>
      </c>
      <c r="E87" s="50" t="s">
        <v>152</v>
      </c>
      <c r="F87" s="49" t="s">
        <v>80</v>
      </c>
      <c r="G87" s="49">
        <v>2</v>
      </c>
      <c r="H87" s="68">
        <v>34.950000000000003</v>
      </c>
      <c r="I87" s="44">
        <f>H87*0.2232</f>
        <v>7.8008400000000009</v>
      </c>
      <c r="J87" s="44">
        <f>H87+I87</f>
        <v>42.750840000000004</v>
      </c>
      <c r="K87" s="44">
        <f>J87*(0.03%)</f>
        <v>1.2825252000000001E-2</v>
      </c>
      <c r="L87" s="44">
        <f>J87-K87</f>
        <v>42.738014748000005</v>
      </c>
      <c r="M87" s="44">
        <f>L87*G87</f>
        <v>85.47602949600001</v>
      </c>
      <c r="N87" s="36">
        <f>M87/M$16</f>
        <v>1.0427855352667383E-3</v>
      </c>
      <c r="O87" s="77"/>
    </row>
    <row r="88" spans="1:16" s="40" customFormat="1" ht="17.100000000000001" customHeight="1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77"/>
    </row>
    <row r="89" spans="1:16" s="40" customFormat="1" ht="17.100000000000001" customHeight="1" x14ac:dyDescent="0.2">
      <c r="A89" s="85"/>
      <c r="B89" s="86"/>
      <c r="C89" s="86"/>
      <c r="D89" s="86"/>
      <c r="E89" s="86"/>
      <c r="F89" s="86"/>
      <c r="G89" s="86"/>
      <c r="H89" s="38" t="s">
        <v>39</v>
      </c>
      <c r="I89" s="39"/>
      <c r="J89" s="87">
        <f>M16+M31+M73</f>
        <v>137965.25333140162</v>
      </c>
      <c r="K89" s="88"/>
      <c r="L89" s="88"/>
      <c r="M89" s="88"/>
      <c r="N89" s="89"/>
      <c r="O89" s="76"/>
    </row>
    <row r="90" spans="1:16" ht="17.100000000000001" customHeight="1" x14ac:dyDescent="0.25">
      <c r="A90" s="90" t="s">
        <v>102</v>
      </c>
      <c r="B90" s="91"/>
      <c r="C90" s="91"/>
      <c r="D90" s="91"/>
      <c r="E90" s="91"/>
      <c r="F90" s="91"/>
      <c r="G90" s="91"/>
      <c r="H90" s="92"/>
      <c r="I90" s="92"/>
      <c r="J90" s="92"/>
      <c r="K90" s="92"/>
      <c r="L90" s="92"/>
      <c r="M90" s="92"/>
      <c r="N90" s="93"/>
      <c r="O90" s="76"/>
    </row>
    <row r="91" spans="1:16" ht="17.100000000000001" customHeight="1" x14ac:dyDescent="0.25">
      <c r="A91" s="94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5"/>
      <c r="O91" s="76"/>
    </row>
    <row r="92" spans="1:16" ht="17.100000000000001" customHeight="1" x14ac:dyDescent="0.25">
      <c r="A92" s="94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5"/>
      <c r="O92" s="76"/>
    </row>
    <row r="93" spans="1:16" ht="17.100000000000001" customHeight="1" x14ac:dyDescent="0.25">
      <c r="A93" s="94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5"/>
      <c r="O93" s="76"/>
    </row>
    <row r="94" spans="1:16" ht="17.100000000000001" customHeight="1" x14ac:dyDescent="0.25">
      <c r="A94" s="94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5"/>
      <c r="O94" s="76"/>
    </row>
    <row r="95" spans="1:16" ht="17.100000000000001" customHeight="1" x14ac:dyDescent="0.25">
      <c r="A95" s="94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5"/>
      <c r="O95" s="76"/>
    </row>
    <row r="96" spans="1:16" ht="17.100000000000001" customHeight="1" x14ac:dyDescent="0.25">
      <c r="A96" s="96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8"/>
      <c r="O96" s="76"/>
    </row>
    <row r="97" spans="1:15" ht="17.100000000000001" customHeight="1" x14ac:dyDescent="0.25">
      <c r="A97" s="103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5"/>
    </row>
    <row r="98" spans="1:15" ht="17.100000000000001" customHeight="1" x14ac:dyDescent="0.25">
      <c r="A98" s="106" t="s">
        <v>40</v>
      </c>
      <c r="B98" s="107"/>
      <c r="C98" s="107"/>
      <c r="D98" s="107"/>
      <c r="E98" s="107"/>
      <c r="F98" s="107"/>
      <c r="G98" s="108" t="s">
        <v>41</v>
      </c>
      <c r="H98" s="108"/>
      <c r="I98" s="108"/>
      <c r="J98" s="108"/>
      <c r="K98" s="109"/>
      <c r="L98" s="110"/>
      <c r="M98" s="110"/>
      <c r="N98" s="111"/>
      <c r="O98" s="76" t="s">
        <v>42</v>
      </c>
    </row>
    <row r="99" spans="1:15" ht="17.100000000000001" customHeight="1" x14ac:dyDescent="0.25">
      <c r="A99" s="116" t="s">
        <v>43</v>
      </c>
      <c r="B99" s="117"/>
      <c r="C99" s="117"/>
      <c r="D99" s="117"/>
      <c r="E99" s="117"/>
      <c r="F99" s="118"/>
      <c r="G99" s="122" t="s">
        <v>44</v>
      </c>
      <c r="H99" s="117"/>
      <c r="I99" s="117"/>
      <c r="J99" s="118"/>
      <c r="K99" s="112"/>
      <c r="L99" s="113"/>
      <c r="M99" s="113"/>
      <c r="N99" s="114"/>
      <c r="O99" s="76"/>
    </row>
    <row r="100" spans="1:15" ht="17.100000000000001" customHeight="1" x14ac:dyDescent="0.25">
      <c r="A100" s="119"/>
      <c r="B100" s="120"/>
      <c r="C100" s="120"/>
      <c r="D100" s="120"/>
      <c r="E100" s="120"/>
      <c r="F100" s="121"/>
      <c r="G100" s="123"/>
      <c r="H100" s="120"/>
      <c r="I100" s="120"/>
      <c r="J100" s="121"/>
      <c r="K100" s="112"/>
      <c r="L100" s="113"/>
      <c r="M100" s="113"/>
      <c r="N100" s="114"/>
      <c r="O100" s="76"/>
    </row>
    <row r="101" spans="1:15" ht="17.100000000000001" customHeight="1" x14ac:dyDescent="0.25">
      <c r="A101" s="119"/>
      <c r="B101" s="120"/>
      <c r="C101" s="120"/>
      <c r="D101" s="120"/>
      <c r="E101" s="120"/>
      <c r="F101" s="121"/>
      <c r="G101" s="123"/>
      <c r="H101" s="120"/>
      <c r="I101" s="120"/>
      <c r="J101" s="121"/>
      <c r="K101" s="112"/>
      <c r="L101" s="113"/>
      <c r="M101" s="113"/>
      <c r="N101" s="114"/>
      <c r="O101" s="76"/>
    </row>
    <row r="102" spans="1:15" ht="17.100000000000001" customHeight="1" x14ac:dyDescent="0.25">
      <c r="A102" s="119"/>
      <c r="B102" s="120"/>
      <c r="C102" s="120"/>
      <c r="D102" s="120"/>
      <c r="E102" s="120"/>
      <c r="F102" s="121"/>
      <c r="G102" s="123"/>
      <c r="H102" s="120"/>
      <c r="I102" s="120"/>
      <c r="J102" s="121"/>
      <c r="K102" s="112"/>
      <c r="L102" s="113"/>
      <c r="M102" s="113"/>
      <c r="N102" s="114"/>
      <c r="O102" s="76"/>
    </row>
    <row r="103" spans="1:15" ht="17.100000000000001" customHeight="1" x14ac:dyDescent="0.25">
      <c r="A103" s="119"/>
      <c r="B103" s="120"/>
      <c r="C103" s="120"/>
      <c r="D103" s="120"/>
      <c r="E103" s="120"/>
      <c r="F103" s="121"/>
      <c r="G103" s="123"/>
      <c r="H103" s="120"/>
      <c r="I103" s="120"/>
      <c r="J103" s="121"/>
      <c r="K103" s="112"/>
      <c r="L103" s="113"/>
      <c r="M103" s="113"/>
      <c r="N103" s="114"/>
      <c r="O103" s="76"/>
    </row>
    <row r="104" spans="1:15" ht="17.100000000000001" customHeight="1" x14ac:dyDescent="0.25">
      <c r="A104" s="119"/>
      <c r="B104" s="120"/>
      <c r="C104" s="120"/>
      <c r="D104" s="120"/>
      <c r="E104" s="120"/>
      <c r="F104" s="121"/>
      <c r="G104" s="123"/>
      <c r="H104" s="120"/>
      <c r="I104" s="120"/>
      <c r="J104" s="121"/>
      <c r="K104" s="112"/>
      <c r="L104" s="113"/>
      <c r="M104" s="113"/>
      <c r="N104" s="114"/>
      <c r="O104" s="76"/>
    </row>
    <row r="105" spans="1:15" ht="17.100000000000001" customHeight="1" x14ac:dyDescent="0.25">
      <c r="A105" s="119"/>
      <c r="B105" s="120"/>
      <c r="C105" s="120"/>
      <c r="D105" s="120"/>
      <c r="E105" s="120"/>
      <c r="F105" s="121"/>
      <c r="G105" s="123"/>
      <c r="H105" s="120"/>
      <c r="I105" s="120"/>
      <c r="J105" s="121"/>
      <c r="K105" s="112"/>
      <c r="L105" s="113"/>
      <c r="M105" s="113"/>
      <c r="N105" s="114"/>
      <c r="O105" s="76"/>
    </row>
    <row r="106" spans="1:15" ht="17.100000000000001" customHeight="1" thickBot="1" x14ac:dyDescent="0.3">
      <c r="A106" s="119"/>
      <c r="B106" s="120"/>
      <c r="C106" s="120"/>
      <c r="D106" s="120"/>
      <c r="E106" s="120"/>
      <c r="F106" s="121"/>
      <c r="G106" s="123"/>
      <c r="H106" s="120"/>
      <c r="I106" s="120"/>
      <c r="J106" s="121"/>
      <c r="K106" s="112"/>
      <c r="L106" s="113"/>
      <c r="M106" s="113"/>
      <c r="N106" s="114"/>
      <c r="O106" s="115"/>
    </row>
    <row r="107" spans="1:15" ht="17.100000000000001" customHeight="1" thickBot="1" x14ac:dyDescent="0.3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7"/>
    </row>
    <row r="108" spans="1:15" ht="17.100000000000001" customHeight="1" x14ac:dyDescent="0.25">
      <c r="A108" s="90" t="s">
        <v>45</v>
      </c>
      <c r="B108" s="91"/>
      <c r="C108" s="91"/>
      <c r="D108" s="95"/>
      <c r="E108" s="128" t="s">
        <v>46</v>
      </c>
      <c r="F108" s="91"/>
      <c r="G108" s="91"/>
      <c r="H108" s="91"/>
      <c r="I108" s="91"/>
      <c r="J108" s="91"/>
      <c r="K108" s="130" t="s">
        <v>47</v>
      </c>
      <c r="L108" s="104"/>
      <c r="M108" s="104"/>
      <c r="N108" s="104"/>
      <c r="O108" s="134" t="s">
        <v>48</v>
      </c>
    </row>
    <row r="109" spans="1:15" ht="17.100000000000001" customHeight="1" x14ac:dyDescent="0.25">
      <c r="A109" s="96"/>
      <c r="B109" s="97"/>
      <c r="C109" s="97"/>
      <c r="D109" s="98"/>
      <c r="E109" s="129"/>
      <c r="F109" s="97"/>
      <c r="G109" s="97"/>
      <c r="H109" s="97"/>
      <c r="I109" s="97"/>
      <c r="J109" s="97"/>
      <c r="K109" s="131"/>
      <c r="L109" s="104"/>
      <c r="M109" s="104"/>
      <c r="N109" s="104"/>
      <c r="O109" s="135"/>
    </row>
    <row r="110" spans="1:15" ht="17.100000000000001" customHeight="1" x14ac:dyDescent="0.25">
      <c r="A110" s="137" t="s">
        <v>49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131"/>
      <c r="L110" s="104"/>
      <c r="M110" s="104"/>
      <c r="N110" s="104"/>
      <c r="O110" s="135"/>
    </row>
    <row r="111" spans="1:15" ht="17.100000000000001" customHeight="1" x14ac:dyDescent="0.25">
      <c r="A111" s="94"/>
      <c r="B111" s="91"/>
      <c r="C111" s="91"/>
      <c r="D111" s="91"/>
      <c r="E111" s="91"/>
      <c r="F111" s="91"/>
      <c r="G111" s="91"/>
      <c r="H111" s="91"/>
      <c r="I111" s="91"/>
      <c r="J111" s="91"/>
      <c r="K111" s="131"/>
      <c r="L111" s="104"/>
      <c r="M111" s="104"/>
      <c r="N111" s="104"/>
      <c r="O111" s="135"/>
    </row>
    <row r="112" spans="1:15" ht="17.100000000000001" customHeight="1" x14ac:dyDescent="0.25">
      <c r="A112" s="94"/>
      <c r="B112" s="91"/>
      <c r="C112" s="91"/>
      <c r="D112" s="91"/>
      <c r="E112" s="91"/>
      <c r="F112" s="91"/>
      <c r="G112" s="91"/>
      <c r="H112" s="91"/>
      <c r="I112" s="91"/>
      <c r="J112" s="91"/>
      <c r="K112" s="131"/>
      <c r="L112" s="104"/>
      <c r="M112" s="104"/>
      <c r="N112" s="104"/>
      <c r="O112" s="135"/>
    </row>
    <row r="113" spans="1:19" ht="17.100000000000001" customHeight="1" x14ac:dyDescent="0.25">
      <c r="A113" s="94"/>
      <c r="B113" s="91"/>
      <c r="C113" s="91"/>
      <c r="D113" s="91"/>
      <c r="E113" s="91"/>
      <c r="F113" s="91"/>
      <c r="G113" s="91"/>
      <c r="H113" s="91"/>
      <c r="I113" s="91"/>
      <c r="J113" s="91"/>
      <c r="K113" s="131"/>
      <c r="L113" s="104"/>
      <c r="M113" s="104"/>
      <c r="N113" s="104"/>
      <c r="O113" s="135"/>
    </row>
    <row r="114" spans="1:19" ht="17.100000000000001" customHeight="1" thickBot="1" x14ac:dyDescent="0.3">
      <c r="A114" s="138"/>
      <c r="B114" s="139"/>
      <c r="C114" s="139"/>
      <c r="D114" s="139"/>
      <c r="E114" s="139"/>
      <c r="F114" s="139"/>
      <c r="G114" s="139"/>
      <c r="H114" s="139"/>
      <c r="I114" s="139"/>
      <c r="J114" s="139"/>
      <c r="K114" s="132"/>
      <c r="L114" s="133"/>
      <c r="M114" s="133"/>
      <c r="N114" s="133"/>
      <c r="O114" s="136"/>
    </row>
    <row r="115" spans="1:19" ht="14.1" customHeight="1" x14ac:dyDescent="0.2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</row>
    <row r="116" spans="1:19" ht="14.1" customHeight="1" x14ac:dyDescent="0.25"/>
    <row r="117" spans="1:19" ht="14.1" customHeight="1" x14ac:dyDescent="0.25"/>
    <row r="118" spans="1:19" ht="14.1" customHeight="1" x14ac:dyDescent="0.25"/>
  </sheetData>
  <sortState xmlns:xlrd2="http://schemas.microsoft.com/office/spreadsheetml/2017/richdata2" ref="A32:N76">
    <sortCondition ref="E32:E76"/>
  </sortState>
  <mergeCells count="74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M71:M72"/>
    <mergeCell ref="A84:N84"/>
    <mergeCell ref="H29:L29"/>
    <mergeCell ref="M29:M30"/>
    <mergeCell ref="N29:N30"/>
    <mergeCell ref="B31:F31"/>
    <mergeCell ref="A71:A72"/>
    <mergeCell ref="B71:B72"/>
    <mergeCell ref="C71:C72"/>
    <mergeCell ref="D71:D72"/>
    <mergeCell ref="N71:N72"/>
    <mergeCell ref="A77:N77"/>
    <mergeCell ref="A115:J115"/>
    <mergeCell ref="K115:S115"/>
    <mergeCell ref="A107:O107"/>
    <mergeCell ref="A108:D109"/>
    <mergeCell ref="E108:J109"/>
    <mergeCell ref="K108:N114"/>
    <mergeCell ref="O108:O114"/>
    <mergeCell ref="A110:J114"/>
    <mergeCell ref="A97:O97"/>
    <mergeCell ref="A98:F98"/>
    <mergeCell ref="G98:J98"/>
    <mergeCell ref="K98:N106"/>
    <mergeCell ref="O98:O106"/>
    <mergeCell ref="A99:F106"/>
    <mergeCell ref="G99:J106"/>
    <mergeCell ref="O14:O96"/>
    <mergeCell ref="A29:A30"/>
    <mergeCell ref="B29:B30"/>
    <mergeCell ref="C29:C30"/>
    <mergeCell ref="D29:D30"/>
    <mergeCell ref="E29:E30"/>
    <mergeCell ref="F29:F30"/>
    <mergeCell ref="G29:G30"/>
    <mergeCell ref="B73:F73"/>
    <mergeCell ref="A89:G89"/>
    <mergeCell ref="J89:N89"/>
    <mergeCell ref="A90:N96"/>
    <mergeCell ref="E71:E72"/>
    <mergeCell ref="F71:F72"/>
    <mergeCell ref="G71:G72"/>
    <mergeCell ref="H71:L71"/>
  </mergeCells>
  <phoneticPr fontId="13" type="noConversion"/>
  <hyperlinks>
    <hyperlink ref="E51" r:id="rId1" display="FITA VEDA ROSCA EM ROLOS DE 18 MM X 50 M (L X C)" xr:uid="{00000000-0004-0000-0000-000000000000}"/>
    <hyperlink ref="E52" r:id="rId2" display="FITA VEDA ROSCA EM ROLOS DE 18 MM X 50 M (L X C)" xr:uid="{00000000-0004-0000-0000-000001000000}"/>
    <hyperlink ref="E62" r:id="rId3" display="FITA VEDA ROSCA EM ROLOS DE 18 MM X 50 M (L X C)" xr:uid="{00000000-0004-0000-0000-000002000000}"/>
  </hyperlinks>
  <pageMargins left="0.25" right="0.25" top="0.75" bottom="0.75" header="0.3" footer="0.3"/>
  <pageSetup paperSize="9" scale="53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J37"/>
  <sheetViews>
    <sheetView topLeftCell="A16" workbookViewId="0">
      <selection activeCell="G33" sqref="G33"/>
    </sheetView>
  </sheetViews>
  <sheetFormatPr defaultRowHeight="15" x14ac:dyDescent="0.25"/>
  <cols>
    <col min="4" max="8" width="18.7109375" customWidth="1"/>
    <col min="9" max="9" width="26.42578125" bestFit="1" customWidth="1"/>
  </cols>
  <sheetData>
    <row r="2" spans="4:9" x14ac:dyDescent="0.25">
      <c r="D2" s="51"/>
      <c r="E2" s="168" t="s">
        <v>113</v>
      </c>
      <c r="F2" s="168"/>
      <c r="G2" s="168"/>
      <c r="H2" s="168"/>
    </row>
    <row r="3" spans="4:9" x14ac:dyDescent="0.25">
      <c r="D3" s="52" t="s">
        <v>108</v>
      </c>
      <c r="E3" s="52" t="s">
        <v>109</v>
      </c>
      <c r="F3" s="52" t="s">
        <v>110</v>
      </c>
      <c r="G3" s="52" t="s">
        <v>111</v>
      </c>
      <c r="H3" s="52" t="s">
        <v>80</v>
      </c>
      <c r="I3" s="52" t="s">
        <v>137</v>
      </c>
    </row>
    <row r="4" spans="4:9" x14ac:dyDescent="0.25">
      <c r="D4" s="51" t="s">
        <v>127</v>
      </c>
      <c r="E4" s="51">
        <v>1</v>
      </c>
      <c r="F4" s="51">
        <v>50</v>
      </c>
      <c r="G4" s="51">
        <v>21</v>
      </c>
      <c r="H4" s="51">
        <f>E4*F4*G4/10000</f>
        <v>0.105</v>
      </c>
      <c r="I4" s="51"/>
    </row>
    <row r="5" spans="4:9" x14ac:dyDescent="0.25">
      <c r="D5" s="51" t="s">
        <v>128</v>
      </c>
      <c r="E5" s="51">
        <v>3</v>
      </c>
      <c r="F5" s="51">
        <v>75</v>
      </c>
      <c r="G5" s="51">
        <v>18</v>
      </c>
      <c r="H5" s="51">
        <f t="shared" ref="H5:H22" si="0">E5*F5*G5/10000</f>
        <v>0.40500000000000003</v>
      </c>
      <c r="I5" s="51"/>
    </row>
    <row r="6" spans="4:9" x14ac:dyDescent="0.25">
      <c r="D6" s="51" t="s">
        <v>129</v>
      </c>
      <c r="E6" s="51">
        <v>2</v>
      </c>
      <c r="F6" s="51">
        <v>86</v>
      </c>
      <c r="G6" s="51">
        <v>25</v>
      </c>
      <c r="H6" s="51">
        <f t="shared" si="0"/>
        <v>0.43</v>
      </c>
      <c r="I6" s="51" t="s">
        <v>130</v>
      </c>
    </row>
    <row r="7" spans="4:9" x14ac:dyDescent="0.25">
      <c r="D7" s="51" t="s">
        <v>131</v>
      </c>
      <c r="E7" s="51">
        <v>1</v>
      </c>
      <c r="F7" s="51">
        <v>66</v>
      </c>
      <c r="G7" s="51">
        <v>20</v>
      </c>
      <c r="H7" s="51">
        <f t="shared" si="0"/>
        <v>0.13200000000000001</v>
      </c>
      <c r="I7" s="51"/>
    </row>
    <row r="8" spans="4:9" x14ac:dyDescent="0.25">
      <c r="D8" s="51" t="s">
        <v>132</v>
      </c>
      <c r="E8" s="51">
        <v>1</v>
      </c>
      <c r="F8" s="51">
        <v>69</v>
      </c>
      <c r="G8" s="51">
        <v>71</v>
      </c>
      <c r="H8" s="51">
        <f t="shared" si="0"/>
        <v>0.4899</v>
      </c>
      <c r="I8" s="51"/>
    </row>
    <row r="9" spans="4:9" x14ac:dyDescent="0.25">
      <c r="D9" s="51" t="s">
        <v>133</v>
      </c>
      <c r="E9" s="51">
        <v>3</v>
      </c>
      <c r="F9" s="51">
        <v>115</v>
      </c>
      <c r="G9" s="51">
        <v>80</v>
      </c>
      <c r="H9" s="51">
        <f t="shared" si="0"/>
        <v>2.76</v>
      </c>
      <c r="I9" s="51" t="s">
        <v>134</v>
      </c>
    </row>
    <row r="10" spans="4:9" x14ac:dyDescent="0.25">
      <c r="D10" s="51" t="s">
        <v>133</v>
      </c>
      <c r="E10" s="51">
        <v>2</v>
      </c>
      <c r="F10" s="51">
        <v>78</v>
      </c>
      <c r="G10" s="51">
        <v>87</v>
      </c>
      <c r="H10" s="51">
        <f t="shared" si="0"/>
        <v>1.3572</v>
      </c>
      <c r="I10" s="51" t="s">
        <v>134</v>
      </c>
    </row>
    <row r="11" spans="4:9" x14ac:dyDescent="0.25">
      <c r="D11" s="51" t="s">
        <v>135</v>
      </c>
      <c r="E11" s="51">
        <v>1</v>
      </c>
      <c r="F11" s="51">
        <v>40</v>
      </c>
      <c r="G11" s="51">
        <v>88</v>
      </c>
      <c r="H11" s="51">
        <f t="shared" si="0"/>
        <v>0.35199999999999998</v>
      </c>
      <c r="I11" s="51" t="s">
        <v>136</v>
      </c>
    </row>
    <row r="12" spans="4:9" x14ac:dyDescent="0.25">
      <c r="D12" s="51" t="s">
        <v>138</v>
      </c>
      <c r="E12" s="51">
        <v>6</v>
      </c>
      <c r="F12" s="51">
        <v>60.5</v>
      </c>
      <c r="G12" s="51">
        <v>18</v>
      </c>
      <c r="H12" s="51">
        <f t="shared" si="0"/>
        <v>0.65339999999999998</v>
      </c>
      <c r="I12" s="51" t="s">
        <v>139</v>
      </c>
    </row>
    <row r="13" spans="4:9" x14ac:dyDescent="0.25">
      <c r="D13" s="51" t="s">
        <v>138</v>
      </c>
      <c r="E13" s="51">
        <v>3</v>
      </c>
      <c r="F13" s="51">
        <v>19</v>
      </c>
      <c r="G13" s="51">
        <v>19</v>
      </c>
      <c r="H13" s="51">
        <f t="shared" si="0"/>
        <v>0.10829999999999999</v>
      </c>
      <c r="I13" s="51"/>
    </row>
    <row r="14" spans="4:9" x14ac:dyDescent="0.25">
      <c r="D14" s="51" t="s">
        <v>138</v>
      </c>
      <c r="E14" s="51">
        <v>2</v>
      </c>
      <c r="F14" s="51">
        <v>63</v>
      </c>
      <c r="G14" s="51">
        <v>18.5</v>
      </c>
      <c r="H14" s="51">
        <f t="shared" si="0"/>
        <v>0.2331</v>
      </c>
      <c r="I14" s="51"/>
    </row>
    <row r="15" spans="4:9" x14ac:dyDescent="0.25">
      <c r="D15" s="51" t="s">
        <v>138</v>
      </c>
      <c r="E15" s="51">
        <v>2</v>
      </c>
      <c r="F15" s="51">
        <v>67</v>
      </c>
      <c r="G15" s="51">
        <v>17.5</v>
      </c>
      <c r="H15" s="51">
        <f t="shared" si="0"/>
        <v>0.23449999999999999</v>
      </c>
      <c r="I15" s="51"/>
    </row>
    <row r="16" spans="4:9" x14ac:dyDescent="0.25">
      <c r="D16" s="51" t="s">
        <v>138</v>
      </c>
      <c r="E16" s="51">
        <v>1</v>
      </c>
      <c r="F16" s="51">
        <v>86.5</v>
      </c>
      <c r="G16" s="51">
        <v>17.5</v>
      </c>
      <c r="H16" s="51">
        <f t="shared" si="0"/>
        <v>0.15137500000000001</v>
      </c>
      <c r="I16" s="51"/>
    </row>
    <row r="17" spans="4:10" x14ac:dyDescent="0.25">
      <c r="D17" s="51" t="s">
        <v>138</v>
      </c>
      <c r="E17" s="51">
        <v>1</v>
      </c>
      <c r="F17" s="51">
        <v>62.5</v>
      </c>
      <c r="G17" s="51">
        <v>18</v>
      </c>
      <c r="H17" s="51">
        <f t="shared" si="0"/>
        <v>0.1125</v>
      </c>
      <c r="I17" s="51"/>
    </row>
    <row r="18" spans="4:10" x14ac:dyDescent="0.25">
      <c r="D18" s="51" t="s">
        <v>138</v>
      </c>
      <c r="E18" s="51">
        <v>1</v>
      </c>
      <c r="F18" s="51">
        <v>57</v>
      </c>
      <c r="G18" s="51">
        <v>18</v>
      </c>
      <c r="H18" s="51">
        <f t="shared" si="0"/>
        <v>0.1026</v>
      </c>
      <c r="I18" s="51"/>
    </row>
    <row r="19" spans="4:10" x14ac:dyDescent="0.25">
      <c r="D19" s="51" t="s">
        <v>138</v>
      </c>
      <c r="E19" s="51">
        <v>1</v>
      </c>
      <c r="F19" s="51">
        <v>87</v>
      </c>
      <c r="G19" s="51">
        <v>22.5</v>
      </c>
      <c r="H19" s="51">
        <f t="shared" si="0"/>
        <v>0.19575000000000001</v>
      </c>
      <c r="I19" s="51"/>
    </row>
    <row r="20" spans="4:10" x14ac:dyDescent="0.25">
      <c r="D20" s="51" t="s">
        <v>138</v>
      </c>
      <c r="E20" s="51">
        <v>1</v>
      </c>
      <c r="F20" s="51">
        <v>49</v>
      </c>
      <c r="G20" s="51">
        <v>21</v>
      </c>
      <c r="H20" s="51">
        <f t="shared" si="0"/>
        <v>0.10290000000000001</v>
      </c>
      <c r="I20" s="51"/>
    </row>
    <row r="21" spans="4:10" x14ac:dyDescent="0.25">
      <c r="D21" s="51" t="s">
        <v>138</v>
      </c>
      <c r="E21" s="51">
        <v>1</v>
      </c>
      <c r="F21" s="51">
        <v>49</v>
      </c>
      <c r="G21" s="51">
        <v>19</v>
      </c>
      <c r="H21" s="51">
        <f t="shared" si="0"/>
        <v>9.3100000000000002E-2</v>
      </c>
      <c r="I21" s="51"/>
    </row>
    <row r="22" spans="4:10" x14ac:dyDescent="0.25">
      <c r="D22" s="51" t="s">
        <v>140</v>
      </c>
      <c r="E22" s="51">
        <v>2</v>
      </c>
      <c r="F22" s="51">
        <v>75</v>
      </c>
      <c r="G22" s="51">
        <v>15.5</v>
      </c>
      <c r="H22" s="51">
        <f t="shared" si="0"/>
        <v>0.23250000000000001</v>
      </c>
      <c r="I22" s="51"/>
    </row>
    <row r="23" spans="4:10" x14ac:dyDescent="0.25">
      <c r="D23" s="169" t="s">
        <v>112</v>
      </c>
      <c r="E23" s="170"/>
      <c r="F23" s="170"/>
      <c r="G23" s="171"/>
      <c r="H23" s="53">
        <f>SUM(H4:H22)</f>
        <v>8.251125</v>
      </c>
    </row>
    <row r="26" spans="4:10" x14ac:dyDescent="0.25">
      <c r="F26">
        <v>3.7</v>
      </c>
      <c r="G26">
        <v>2</v>
      </c>
      <c r="H26">
        <f>G26*F26</f>
        <v>7.4</v>
      </c>
      <c r="I26">
        <v>9.15</v>
      </c>
      <c r="J26">
        <v>41.14</v>
      </c>
    </row>
    <row r="27" spans="4:10" x14ac:dyDescent="0.25">
      <c r="H27">
        <f>G27*F27</f>
        <v>0</v>
      </c>
      <c r="I27">
        <v>9.15</v>
      </c>
      <c r="J27">
        <v>41.14</v>
      </c>
    </row>
    <row r="28" spans="4:10" x14ac:dyDescent="0.25">
      <c r="E28">
        <v>2</v>
      </c>
      <c r="F28">
        <v>3.4</v>
      </c>
      <c r="G28">
        <v>3.7</v>
      </c>
      <c r="H28">
        <f>G28*F28*E28</f>
        <v>25.16</v>
      </c>
      <c r="I28">
        <v>9.15</v>
      </c>
      <c r="J28">
        <v>41.14</v>
      </c>
    </row>
    <row r="29" spans="4:10" x14ac:dyDescent="0.25">
      <c r="E29">
        <v>1</v>
      </c>
      <c r="F29">
        <v>3.4</v>
      </c>
      <c r="G29">
        <v>2</v>
      </c>
      <c r="H29">
        <f>G29*F29*E29</f>
        <v>6.8</v>
      </c>
      <c r="I29">
        <v>11.59</v>
      </c>
      <c r="J29">
        <v>41.14</v>
      </c>
    </row>
    <row r="30" spans="4:10" x14ac:dyDescent="0.25">
      <c r="I30">
        <v>9.15</v>
      </c>
      <c r="J30">
        <v>41.14</v>
      </c>
    </row>
    <row r="31" spans="4:10" x14ac:dyDescent="0.25">
      <c r="H31">
        <f>SUM(H28:H29)</f>
        <v>31.96</v>
      </c>
      <c r="I31">
        <v>9.15</v>
      </c>
      <c r="J31">
        <v>41.14</v>
      </c>
    </row>
    <row r="32" spans="4:10" x14ac:dyDescent="0.25">
      <c r="I32">
        <v>25.85</v>
      </c>
      <c r="J32">
        <v>69.36</v>
      </c>
    </row>
    <row r="33" spans="9:10" x14ac:dyDescent="0.25">
      <c r="I33">
        <v>36.520000000000003</v>
      </c>
      <c r="J33">
        <v>95.04</v>
      </c>
    </row>
    <row r="34" spans="9:10" x14ac:dyDescent="0.25">
      <c r="I34">
        <v>18</v>
      </c>
      <c r="J34">
        <v>39.78</v>
      </c>
    </row>
    <row r="35" spans="9:10" x14ac:dyDescent="0.25">
      <c r="I35">
        <v>20</v>
      </c>
      <c r="J35">
        <v>74.8</v>
      </c>
    </row>
    <row r="36" spans="9:10" x14ac:dyDescent="0.25">
      <c r="I36">
        <v>7.4</v>
      </c>
      <c r="J36">
        <v>31.96</v>
      </c>
    </row>
    <row r="37" spans="9:10" x14ac:dyDescent="0.25">
      <c r="I37">
        <f>SUM(I26:I36)</f>
        <v>165.11</v>
      </c>
      <c r="J37">
        <f>SUM(J26:J36)</f>
        <v>557.78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8FFC66-967C-44B9-A42B-65D8CB3D0F7C}"/>
</file>

<file path=customXml/itemProps2.xml><?xml version="1.0" encoding="utf-8"?>
<ds:datastoreItem xmlns:ds="http://schemas.openxmlformats.org/officeDocument/2006/customXml" ds:itemID="{E10E386D-6ED7-4674-8F19-665992EF4C73}"/>
</file>

<file path=customXml/itemProps3.xml><?xml version="1.0" encoding="utf-8"?>
<ds:datastoreItem xmlns:ds="http://schemas.openxmlformats.org/officeDocument/2006/customXml" ds:itemID="{0E6340F2-F096-492D-BB9C-0BDC4C73B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2025-02-24T11:42:58Z</cp:lastPrinted>
  <dcterms:created xsi:type="dcterms:W3CDTF">2022-01-02T19:12:46Z</dcterms:created>
  <dcterms:modified xsi:type="dcterms:W3CDTF">2025-02-24T11:43:08Z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