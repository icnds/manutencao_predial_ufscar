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0-Novembro-24\"/>
    </mc:Choice>
  </mc:AlternateContent>
  <xr:revisionPtr revIDLastSave="0" documentId="13_ncr:1_{2068D44E-C0F1-40B4-9CC9-2BCBA9EFEDFB}" xr6:coauthVersionLast="47" xr6:coauthVersionMax="47" xr10:uidLastSave="{00000000-0000-0000-0000-000000000000}"/>
  <bookViews>
    <workbookView xWindow="-28920" yWindow="-4890" windowWidth="29040" windowHeight="15840" xr2:uid="{00000000-000D-0000-FFFF-FFFF00000000}"/>
  </bookViews>
  <sheets>
    <sheet name="São Carlos" sheetId="1" r:id="rId1"/>
    <sheet name="Vidros" sheetId="2" r:id="rId2"/>
  </sheets>
  <definedNames>
    <definedName name="_xlnm.Print_Area" localSheetId="0">'São Carlos'!$A$1:$O$105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0" i="1" l="1"/>
  <c r="G71" i="1"/>
  <c r="G72" i="1"/>
  <c r="S78" i="1"/>
  <c r="I72" i="1"/>
  <c r="J72" i="1" l="1"/>
  <c r="K72" i="1" l="1"/>
  <c r="L72" i="1" s="1"/>
  <c r="M72" i="1" s="1"/>
  <c r="G76" i="1"/>
  <c r="I71" i="1" l="1"/>
  <c r="J71" i="1" s="1"/>
  <c r="I41" i="1"/>
  <c r="J41" i="1" s="1"/>
  <c r="G68" i="1"/>
  <c r="I34" i="1"/>
  <c r="J34" i="1" s="1"/>
  <c r="I39" i="1"/>
  <c r="J39" i="1" s="1"/>
  <c r="I40" i="1"/>
  <c r="J40" i="1" s="1"/>
  <c r="I38" i="1"/>
  <c r="J38" i="1" s="1"/>
  <c r="G38" i="1"/>
  <c r="I37" i="1"/>
  <c r="J37" i="1" s="1"/>
  <c r="I53" i="1"/>
  <c r="J53" i="1" s="1"/>
  <c r="I52" i="1"/>
  <c r="J52" i="1" s="1"/>
  <c r="G51" i="1"/>
  <c r="I51" i="1"/>
  <c r="J51" i="1" s="1"/>
  <c r="G50" i="1"/>
  <c r="I50" i="1"/>
  <c r="J50" i="1" s="1"/>
  <c r="I49" i="1"/>
  <c r="J49" i="1" s="1"/>
  <c r="I48" i="1"/>
  <c r="J48" i="1" s="1"/>
  <c r="K48" i="1" s="1"/>
  <c r="I47" i="1"/>
  <c r="J47" i="1" s="1"/>
  <c r="G55" i="1"/>
  <c r="G46" i="1"/>
  <c r="I46" i="1"/>
  <c r="J46" i="1" s="1"/>
  <c r="I74" i="1"/>
  <c r="J74" i="1" s="1"/>
  <c r="K71" i="1" l="1"/>
  <c r="L71" i="1" s="1"/>
  <c r="M71" i="1" s="1"/>
  <c r="K41" i="1"/>
  <c r="L41" i="1" s="1"/>
  <c r="M41" i="1" s="1"/>
  <c r="K34" i="1"/>
  <c r="L34" i="1" s="1"/>
  <c r="M34" i="1" s="1"/>
  <c r="K40" i="1"/>
  <c r="L40" i="1" s="1"/>
  <c r="M40" i="1" s="1"/>
  <c r="K39" i="1"/>
  <c r="L39" i="1" s="1"/>
  <c r="M39" i="1" s="1"/>
  <c r="K38" i="1"/>
  <c r="L38" i="1" s="1"/>
  <c r="M38" i="1" s="1"/>
  <c r="K37" i="1"/>
  <c r="L37" i="1" s="1"/>
  <c r="M37" i="1" s="1"/>
  <c r="K49" i="1"/>
  <c r="L49" i="1" s="1"/>
  <c r="M49" i="1" s="1"/>
  <c r="K53" i="1"/>
  <c r="L53" i="1" s="1"/>
  <c r="M53" i="1" s="1"/>
  <c r="K52" i="1"/>
  <c r="L52" i="1" s="1"/>
  <c r="M52" i="1" s="1"/>
  <c r="K51" i="1"/>
  <c r="L51" i="1" s="1"/>
  <c r="M51" i="1" s="1"/>
  <c r="K50" i="1"/>
  <c r="L50" i="1" s="1"/>
  <c r="M50" i="1" s="1"/>
  <c r="N50" i="1" s="1"/>
  <c r="L48" i="1"/>
  <c r="M48" i="1" s="1"/>
  <c r="K47" i="1"/>
  <c r="L47" i="1" s="1"/>
  <c r="M47" i="1" s="1"/>
  <c r="K46" i="1"/>
  <c r="L46" i="1" s="1"/>
  <c r="M46" i="1" s="1"/>
  <c r="K74" i="1"/>
  <c r="L74" i="1" s="1"/>
  <c r="M74" i="1" s="1"/>
  <c r="N48" i="1" l="1"/>
  <c r="N39" i="1"/>
  <c r="N49" i="1"/>
  <c r="N40" i="1"/>
  <c r="N41" i="1"/>
  <c r="N51" i="1"/>
  <c r="N47" i="1"/>
  <c r="N53" i="1"/>
  <c r="N52" i="1"/>
  <c r="N38" i="1"/>
  <c r="H22" i="2"/>
  <c r="H21" i="2"/>
  <c r="H20" i="2"/>
  <c r="H19" i="2"/>
  <c r="H18" i="2"/>
  <c r="H17" i="2"/>
  <c r="H16" i="2"/>
  <c r="H15" i="2"/>
  <c r="H14" i="2"/>
  <c r="H13" i="2"/>
  <c r="H12" i="2"/>
  <c r="G78" i="1" l="1"/>
  <c r="I78" i="1"/>
  <c r="J78" i="1" s="1"/>
  <c r="I77" i="1"/>
  <c r="J77" i="1" s="1"/>
  <c r="I76" i="1"/>
  <c r="J76" i="1" s="1"/>
  <c r="K76" i="1" s="1"/>
  <c r="L76" i="1" s="1"/>
  <c r="M76" i="1" l="1"/>
  <c r="K78" i="1"/>
  <c r="L78" i="1" s="1"/>
  <c r="M78" i="1" s="1"/>
  <c r="K77" i="1"/>
  <c r="L77" i="1" s="1"/>
  <c r="M77" i="1" s="1"/>
  <c r="I70" i="1" l="1"/>
  <c r="J70" i="1" s="1"/>
  <c r="I68" i="1"/>
  <c r="J68" i="1" s="1"/>
  <c r="I59" i="1"/>
  <c r="J59" i="1" s="1"/>
  <c r="K70" i="1" l="1"/>
  <c r="L70" i="1" s="1"/>
  <c r="M70" i="1" s="1"/>
  <c r="K68" i="1"/>
  <c r="L68" i="1" s="1"/>
  <c r="M68" i="1" s="1"/>
  <c r="K59" i="1"/>
  <c r="L59" i="1" s="1"/>
  <c r="M59" i="1" s="1"/>
  <c r="I58" i="1" l="1"/>
  <c r="J58" i="1" s="1"/>
  <c r="I57" i="1"/>
  <c r="J57" i="1" s="1"/>
  <c r="K57" i="1" s="1"/>
  <c r="I56" i="1"/>
  <c r="J56" i="1" s="1"/>
  <c r="I55" i="1"/>
  <c r="J55" i="1" s="1"/>
  <c r="I54" i="1"/>
  <c r="J54" i="1" s="1"/>
  <c r="K58" i="1" l="1"/>
  <c r="L58" i="1" s="1"/>
  <c r="M58" i="1" s="1"/>
  <c r="N59" i="1" s="1"/>
  <c r="L57" i="1"/>
  <c r="M57" i="1" s="1"/>
  <c r="K56" i="1"/>
  <c r="L56" i="1" s="1"/>
  <c r="M56" i="1" s="1"/>
  <c r="K55" i="1"/>
  <c r="L55" i="1" s="1"/>
  <c r="M55" i="1" s="1"/>
  <c r="N55" i="1" s="1"/>
  <c r="K54" i="1"/>
  <c r="L54" i="1" s="1"/>
  <c r="M54" i="1" s="1"/>
  <c r="N54" i="1" s="1"/>
  <c r="N56" i="1" l="1"/>
  <c r="N58" i="1"/>
  <c r="N57" i="1"/>
  <c r="I45" i="1"/>
  <c r="J45" i="1" s="1"/>
  <c r="I44" i="1"/>
  <c r="J44" i="1" s="1"/>
  <c r="I43" i="1"/>
  <c r="J43" i="1" s="1"/>
  <c r="I42" i="1"/>
  <c r="J42" i="1" s="1"/>
  <c r="I36" i="1"/>
  <c r="J36" i="1" s="1"/>
  <c r="I35" i="1"/>
  <c r="J35" i="1" s="1"/>
  <c r="I33" i="1"/>
  <c r="J33" i="1" s="1"/>
  <c r="I32" i="1"/>
  <c r="J32" i="1" s="1"/>
  <c r="K45" i="1" l="1"/>
  <c r="L45" i="1" s="1"/>
  <c r="M45" i="1" s="1"/>
  <c r="N46" i="1" s="1"/>
  <c r="K44" i="1"/>
  <c r="L44" i="1" s="1"/>
  <c r="M44" i="1" s="1"/>
  <c r="K43" i="1"/>
  <c r="L43" i="1" s="1"/>
  <c r="M43" i="1" s="1"/>
  <c r="K42" i="1"/>
  <c r="L42" i="1" s="1"/>
  <c r="M42" i="1" s="1"/>
  <c r="N42" i="1" s="1"/>
  <c r="K36" i="1"/>
  <c r="L36" i="1" s="1"/>
  <c r="M36" i="1" s="1"/>
  <c r="K35" i="1"/>
  <c r="L35" i="1" s="1"/>
  <c r="M35" i="1" s="1"/>
  <c r="N35" i="1" s="1"/>
  <c r="K33" i="1"/>
  <c r="L33" i="1" s="1"/>
  <c r="M33" i="1" s="1"/>
  <c r="K32" i="1"/>
  <c r="L32" i="1" s="1"/>
  <c r="M32" i="1" s="1"/>
  <c r="H4" i="2"/>
  <c r="H5" i="2"/>
  <c r="H6" i="2"/>
  <c r="H7" i="2"/>
  <c r="H8" i="2"/>
  <c r="H9" i="2"/>
  <c r="H10" i="2"/>
  <c r="H11" i="2"/>
  <c r="N33" i="1" l="1"/>
  <c r="N34" i="1"/>
  <c r="N43" i="1"/>
  <c r="N44" i="1"/>
  <c r="N45" i="1"/>
  <c r="N36" i="1"/>
  <c r="N37" i="1"/>
  <c r="H23" i="2"/>
  <c r="I67" i="1" l="1"/>
  <c r="J67" i="1" s="1"/>
  <c r="I65" i="1"/>
  <c r="J65" i="1" s="1"/>
  <c r="I66" i="1"/>
  <c r="J66" i="1" s="1"/>
  <c r="K66" i="1" s="1"/>
  <c r="K67" i="1" l="1"/>
  <c r="L67" i="1" s="1"/>
  <c r="M67" i="1" s="1"/>
  <c r="N68" i="1" s="1"/>
  <c r="K65" i="1"/>
  <c r="L65" i="1" s="1"/>
  <c r="M65" i="1" s="1"/>
  <c r="N71" i="1" s="1"/>
  <c r="L66" i="1"/>
  <c r="M66" i="1" s="1"/>
  <c r="M64" i="1" l="1"/>
  <c r="M31" i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72" i="1" s="1"/>
  <c r="N74" i="1" l="1"/>
  <c r="N65" i="1"/>
  <c r="N67" i="1"/>
  <c r="N66" i="1"/>
  <c r="N19" i="1"/>
  <c r="N18" i="1"/>
  <c r="N23" i="1"/>
  <c r="N21" i="1"/>
  <c r="N26" i="1"/>
  <c r="N20" i="1"/>
  <c r="N27" i="1"/>
  <c r="N25" i="1"/>
  <c r="N24" i="1"/>
  <c r="N28" i="1"/>
  <c r="N22" i="1"/>
  <c r="N17" i="1"/>
  <c r="J80" i="1"/>
  <c r="N70" i="1" l="1"/>
  <c r="N77" i="1"/>
  <c r="N78" i="1"/>
  <c r="N76" i="1"/>
  <c r="N16" i="1"/>
</calcChain>
</file>

<file path=xl/sharedStrings.xml><?xml version="1.0" encoding="utf-8"?>
<sst xmlns="http://schemas.openxmlformats.org/spreadsheetml/2006/main" count="390" uniqueCount="200">
  <si>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</si>
  <si>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</si>
  <si>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</si>
  <si>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</si>
  <si>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</si>
  <si>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</si>
  <si>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</si>
  <si>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</si>
  <si>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</si>
  <si>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</si>
  <si>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</si>
  <si>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</si>
  <si>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</si>
  <si>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</si>
  <si>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</si>
  <si>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</si>
  <si>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</si>
  <si>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</si>
  <si>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</si>
  <si>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</si>
  <si>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</si>
  <si>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</si>
  <si>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</si>
  <si>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</si>
  <si>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</si>
  <si>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</si>
  <si>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</si>
  <si>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</si>
  <si>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</si>
  <si>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</si>
  <si>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</si>
  <si>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</si>
  <si>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</si>
  <si>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</si>
  <si>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</si>
  <si>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</si>
  <si>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</si>
  <si>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</si>
  <si>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</si>
  <si>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</si>
  <si>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</si>
  <si>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</si>
  <si>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</si>
  <si>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</si>
  <si>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</si>
  <si>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</si>
  <si>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</si>
  <si>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</si>
  <si>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</si>
  <si>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</si>
  <si>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</si>
  <si>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</si>
  <si>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</si>
  <si>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</si>
  <si>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</si>
  <si>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</si>
  <si>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</si>
  <si>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</si>
  <si>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</si>
  <si>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</si>
  <si>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</si>
  <si>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</si>
  <si>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</si>
  <si>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</si>
  <si>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</si>
  <si>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</si>
  <si>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</si>
  <si>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</si>
  <si>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</si>
  <si>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</si>
  <si>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</si>
  <si>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</si>
  <si>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</si>
  <si>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</si>
  <si>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</si>
  <si>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</si>
  <si>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</si>
  <si>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</si>
  <si>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</si>
  <si>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</si>
  <si>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m²</t>
  </si>
  <si>
    <t>FDE</t>
  </si>
  <si>
    <t>PINTURA COM TINTA ALQUÍDICA DE ACABAMENTO (ESMALTE SINTÉTICO BRILHANTE) APLICADA A ROLO OU PINCEL SOBRE SUPERFÍCIES METÁLICAS (EXCETO PERFIL) EXECUTADO EM OBRA (POR DEMÃO). AF_01/2020</t>
  </si>
  <si>
    <t>3.4</t>
  </si>
  <si>
    <t>3.5</t>
  </si>
  <si>
    <t>3.6</t>
  </si>
  <si>
    <t>3.7</t>
  </si>
  <si>
    <t>Insumos</t>
  </si>
  <si>
    <t>2.5</t>
  </si>
  <si>
    <t>CIMENTO PORTLAND COMPOSTO CP II-32</t>
  </si>
  <si>
    <t>KG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</si>
  <si>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</si>
  <si>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</si>
  <si>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</si>
  <si>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</si>
  <si>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</si>
  <si>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</si>
  <si>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</si>
  <si>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</si>
  <si>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</si>
  <si>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</si>
  <si>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</si>
  <si>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</si>
  <si>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</si>
  <si>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t>2.28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</si>
  <si>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</si>
  <si>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</si>
  <si>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</si>
  <si>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8.01.02</t>
  </si>
  <si>
    <t>ALUGUEL CAÇAMBA 4M3</t>
  </si>
  <si>
    <t>ARAME RECOZIDO 16 BWG, D = 1,65 MM (0,016 KG/M) OU 18 BWG, D = 1,25 MM (0,01 KG/M)</t>
  </si>
  <si>
    <t>ORSE</t>
  </si>
  <si>
    <t>ASSENTO SANITARIO DE PLASTICO, TIPO CONVENCIONAL</t>
  </si>
  <si>
    <t>FITA VEDA ROSCA EM ROLOS DE 18 MM X 50 M (L X C)</t>
  </si>
  <si>
    <t>TORNEIRA METALICA CROMADA PARA JARDIM / TANQUE, COM BICO PLASTICO, CANO LONGO, DE PAREDE, PADRAO POPULAR / USO GERAL , 1/2 " OU 3/4 " (REF 1153 / 1130)</t>
  </si>
  <si>
    <t>L</t>
  </si>
  <si>
    <t>Local</t>
  </si>
  <si>
    <t>Quant.</t>
  </si>
  <si>
    <t>largura (cm)</t>
  </si>
  <si>
    <t>Comprimento (Cm)</t>
  </si>
  <si>
    <t>total m²</t>
  </si>
  <si>
    <t>Vidro 3mm</t>
  </si>
  <si>
    <t>PEDRA BRITADA N. 0, OU PEDRISCO (4,8 A 9,5 MM) POSTO PEDREIRA/FORNECEDOR, SEM FRETE</t>
  </si>
  <si>
    <t>m3</t>
  </si>
  <si>
    <t>AREIA GROSSA - POSTO JAZIDA/FORNECEDOR (RETIRADO NA JAZIDA, SEM TRANSPORTE)</t>
  </si>
  <si>
    <t>2.6</t>
  </si>
  <si>
    <t>2.4</t>
  </si>
  <si>
    <t>2.22</t>
  </si>
  <si>
    <t>2.2</t>
  </si>
  <si>
    <t>2.8</t>
  </si>
  <si>
    <t>M</t>
  </si>
  <si>
    <t>2.13</t>
  </si>
  <si>
    <t>2.14</t>
  </si>
  <si>
    <t>ENGATE/RABICHO FLEXIVEL PLASTICO (PVC OU ABS) BRANCO 1/2 " X 40 CM</t>
  </si>
  <si>
    <t>2.16</t>
  </si>
  <si>
    <t>2.17</t>
  </si>
  <si>
    <t>2.19</t>
  </si>
  <si>
    <t>2.21</t>
  </si>
  <si>
    <t>2.26</t>
  </si>
  <si>
    <t>2.27</t>
  </si>
  <si>
    <t>TINTA LATEX ACRILICA STANDARD, COR BRANCA</t>
  </si>
  <si>
    <t>TINTA LATEX ACRILICA STANDARD, COR AREIA REAL</t>
  </si>
  <si>
    <t>TINTA LATEX ACRILICA STANDARD, COR BRANCA GELO</t>
  </si>
  <si>
    <t>Lixa em folha p/ parede nº 150</t>
  </si>
  <si>
    <t>MASSA ACRILICA PARA SUPERFICIES INTERNAS E EXTERNAS</t>
  </si>
  <si>
    <t>TRANSPORTE COM CAMINHÃO BASCULANTE DE 10 M³, EM VIA URBANA EM LEITO NATURAL (UNIDADE: M3XKM). AF_07/2020</t>
  </si>
  <si>
    <t>M3XKM</t>
  </si>
  <si>
    <t>PORTA DECAM</t>
  </si>
  <si>
    <t>06.03.017</t>
  </si>
  <si>
    <t>BP-02 BARRA ANTIPANICO DUPLA</t>
  </si>
  <si>
    <t>letras</t>
  </si>
  <si>
    <t>Berçario</t>
  </si>
  <si>
    <t>Laboratorio Quimica</t>
  </si>
  <si>
    <t>massa vidro</t>
  </si>
  <si>
    <t>pedal bike</t>
  </si>
  <si>
    <t>Nucleo professores</t>
  </si>
  <si>
    <t>SIM</t>
  </si>
  <si>
    <t>vidro divisoria</t>
  </si>
  <si>
    <t>reitoria</t>
  </si>
  <si>
    <t>regulangem vitro caindo</t>
  </si>
  <si>
    <t>OBS</t>
  </si>
  <si>
    <t>Almoxarifado</t>
  </si>
  <si>
    <t>colocação de massa de vidro</t>
  </si>
  <si>
    <t>DEQ</t>
  </si>
  <si>
    <t>Instalação de vidros - Planilha</t>
  </si>
  <si>
    <t>INSTALAÇÃO DE VIDRO LISO INCOLOR, E = 3 MM, EM ESQUADRIA DE ALUMÍNIO OU PVC, FIXADO COM BAGUETE. AF_01/2021_PS</t>
  </si>
  <si>
    <t>TINTA ESMALTE SINTETICO PREMIUM FOSCO - PRETO</t>
  </si>
  <si>
    <t>FITA CREPE ROLO DE 25 MM X 50 M</t>
  </si>
  <si>
    <t>MASSA CORRIDA PARA SUPERFICIES DE AMBIENTES INTERNOS</t>
  </si>
  <si>
    <t>FUNDO ANTICORROSIVO PARA METAIS FERROSOS (ZARCAO)</t>
  </si>
  <si>
    <t>TINTA ESMALTE SINTETICO PREMIUM BRILHANTE AMARELO</t>
  </si>
  <si>
    <t>TINTA ESMALTE SINTETICO STANDARD BRILHANTE BRANCO</t>
  </si>
  <si>
    <t>TINTA ESMALTE SINTETICO PREMIUM BRILHANTE VERDE</t>
  </si>
  <si>
    <t>TINTA ESMALTE SINTETICO PREMIUM BRILHANTE VERMELHO</t>
  </si>
  <si>
    <t>ARGAMASSA COLANTE AC I PARA CERAMICAS</t>
  </si>
  <si>
    <t>MANTA ASFALTICA ELASTOMERICA EM POLIESTER ALUMINIZADA 3 MM, TIPO III, CLASSE B (NBR 9952)</t>
  </si>
  <si>
    <t>M2</t>
  </si>
  <si>
    <t>REVESTIMENTO EM CERAMICA ESMALTADA EXTRA, PEI MAIOR OU IGUAL 4, FORMATO MAIOR A 2025 CM2</t>
  </si>
  <si>
    <t>AREIA FINA - POSTO JAZIDA/FORNECEDOR (RETIRADO NA JAZIDA, SEM TRANSPORTE)</t>
  </si>
  <si>
    <t>TABUA *2,5 X 30 CM EM PINUS, MISTA OU EQUIVALENTE DA REGIAO - BRUTA</t>
  </si>
  <si>
    <t>PONTALETE ROLICO SEM TRATAMENTO, D = 8 A 11 CM, H = 3 M, EM EUCALIPTO OU EQUIVALENTE DA REGIAO - BRUTA (PARA ESCORAMENTO)</t>
  </si>
  <si>
    <t>COBERTURA psicologia</t>
  </si>
  <si>
    <t>2 - 3,20 x 1,50</t>
  </si>
  <si>
    <t>3 - 3,00 x 1,50</t>
  </si>
  <si>
    <t>PORTA DE FERRO, DE ABRIR, TIPO GRADE COM CHAPA, COM GUARNIÇÕES. AF_12/2019                                           5PORTAS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</si>
  <si>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PERIDO DE </t>
    </r>
    <r>
      <rPr>
        <b/>
        <sz val="8"/>
        <color rgb="FFFF0000"/>
        <rFont val="Arial"/>
        <family val="2"/>
      </rPr>
      <t>NOVEMBRO/2024</t>
    </r>
  </si>
  <si>
    <t>Chapa em policarbonato alveolar bronze de 10 x 2100 x 6000 mm</t>
  </si>
  <si>
    <t>F.04.000.025638</t>
  </si>
  <si>
    <t>Cobertura em policarbonato infrared heat Block ouro refletivo 6mm, nas medidas 4,00×3,70</t>
  </si>
  <si>
    <t>Cobertura Túnel, nas medidas 6,00×2,00 em policarbonato infrared heat Block ouro refletivo
6mm.</t>
  </si>
  <si>
    <t>reforma policarbonato branco pérola refletivo 10mm, perfil trapézio com gracheta mais</t>
  </si>
  <si>
    <t>acabamento e vedação. Nas medidas 6.00×8,60</t>
  </si>
  <si>
    <t>CPOS</t>
  </si>
  <si>
    <t>16.32.070</t>
  </si>
  <si>
    <t>COBERTURA EM POLICARBONATO ALVEOLAR 6MM, ESTRUTURA METÁLICA, INSTALADA</t>
  </si>
  <si>
    <t>Insumo</t>
  </si>
  <si>
    <t>3.8</t>
  </si>
  <si>
    <t>3.9</t>
  </si>
  <si>
    <t>3.10</t>
  </si>
  <si>
    <t>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</si>
</sst>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sz val="8"/>
      <color rgb="FF333333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  <font>
      <b/>
      <sz val="8"/>
      <color theme="4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4" fillId="0" borderId="0"/>
    <xf numFmtId="164" fontId="24" fillId="0" borderId="0" applyBorder="0" applyProtection="0"/>
    <xf numFmtId="0" fontId="25" fillId="0" borderId="0" applyBorder="0" applyProtection="0"/>
    <xf numFmtId="0" fontId="16" fillId="4" borderId="1" applyProtection="0"/>
    <xf numFmtId="0" fontId="26" fillId="0" borderId="0"/>
  </cellStyleXfs>
  <cellXfs count="189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top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4" fontId="22" fillId="0" borderId="24" xfId="2" applyNumberFormat="1" applyFont="1" applyFill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9" fillId="0" borderId="24" xfId="4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0" fillId="0" borderId="24" xfId="0" applyBorder="1"/>
    <xf numFmtId="0" fontId="0" fillId="0" borderId="24" xfId="0" applyBorder="1" applyAlignment="1">
      <alignment horizontal="center"/>
    </xf>
    <xf numFmtId="2" fontId="28" fillId="0" borderId="24" xfId="0" applyNumberFormat="1" applyFont="1" applyBorder="1"/>
    <xf numFmtId="0" fontId="13" fillId="0" borderId="24" xfId="1" applyFont="1" applyFill="1" applyBorder="1" applyAlignment="1">
      <alignment horizontal="center" vertical="center"/>
    </xf>
    <xf numFmtId="0" fontId="15" fillId="0" borderId="24" xfId="0" applyFont="1" applyBorder="1"/>
    <xf numFmtId="0" fontId="13" fillId="0" borderId="24" xfId="4" applyFont="1" applyFill="1" applyBorder="1" applyAlignment="1">
      <alignment vertical="center"/>
    </xf>
    <xf numFmtId="0" fontId="27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left" vertical="center"/>
    </xf>
    <xf numFmtId="0" fontId="23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0" fontId="13" fillId="0" borderId="24" xfId="0" applyFont="1" applyBorder="1" applyAlignment="1">
      <alignment vertical="center"/>
    </xf>
    <xf numFmtId="0" fontId="3" fillId="0" borderId="24" xfId="0" applyFont="1" applyBorder="1"/>
    <xf numFmtId="0" fontId="29" fillId="0" borderId="0" xfId="0" applyFont="1"/>
    <xf numFmtId="0" fontId="13" fillId="0" borderId="0" xfId="0" applyFont="1" applyAlignment="1">
      <alignment horizontal="left" vertical="center"/>
    </xf>
    <xf numFmtId="4" fontId="30" fillId="0" borderId="24" xfId="2" applyNumberFormat="1" applyFont="1" applyBorder="1" applyAlignment="1" applyProtection="1">
      <alignment horizontal="center" vertical="center"/>
    </xf>
    <xf numFmtId="0" fontId="10" fillId="0" borderId="24" xfId="1" applyFont="1" applyFill="1" applyBorder="1" applyAlignment="1">
      <alignment horizontal="center" vertical="center"/>
    </xf>
    <xf numFmtId="2" fontId="30" fillId="0" borderId="24" xfId="1" applyNumberFormat="1" applyFont="1" applyFill="1" applyBorder="1" applyAlignment="1">
      <alignment horizontal="center" vertical="center"/>
    </xf>
    <xf numFmtId="2" fontId="10" fillId="0" borderId="24" xfId="1" applyNumberFormat="1" applyFont="1" applyFill="1" applyBorder="1" applyAlignment="1">
      <alignment horizontal="center" vertical="center"/>
    </xf>
    <xf numFmtId="0" fontId="30" fillId="0" borderId="24" xfId="1" applyFont="1" applyFill="1" applyBorder="1" applyAlignment="1">
      <alignment horizontal="center" vertical="center"/>
    </xf>
    <xf numFmtId="4" fontId="30" fillId="0" borderId="24" xfId="1" applyNumberFormat="1" applyFont="1" applyFill="1" applyBorder="1" applyAlignment="1">
      <alignment horizontal="center" vertical="center"/>
    </xf>
    <xf numFmtId="2" fontId="30" fillId="0" borderId="24" xfId="2" applyNumberFormat="1" applyFont="1" applyBorder="1" applyAlignment="1" applyProtection="1">
      <alignment horizontal="center" vertical="center"/>
    </xf>
    <xf numFmtId="2" fontId="31" fillId="0" borderId="24" xfId="1" applyNumberFormat="1" applyFont="1" applyFill="1" applyBorder="1" applyAlignment="1">
      <alignment horizontal="center" vertical="center"/>
    </xf>
    <xf numFmtId="0" fontId="31" fillId="0" borderId="24" xfId="1" applyFont="1" applyFill="1" applyBorder="1" applyAlignment="1">
      <alignment horizontal="center" vertical="center"/>
    </xf>
    <xf numFmtId="4" fontId="30" fillId="0" borderId="24" xfId="0" applyNumberFormat="1" applyFont="1" applyBorder="1" applyAlignment="1">
      <alignment horizontal="center" vertical="center" wrapText="1"/>
    </xf>
    <xf numFmtId="4" fontId="32" fillId="5" borderId="15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top" wrapText="1"/>
    </xf>
    <xf numFmtId="4" fontId="10" fillId="5" borderId="15" xfId="0" applyNumberFormat="1" applyFont="1" applyFill="1" applyBorder="1" applyAlignment="1">
      <alignment horizontal="center" vertical="center" wrapText="1"/>
    </xf>
    <xf numFmtId="4" fontId="7" fillId="0" borderId="24" xfId="2" applyNumberFormat="1" applyFont="1" applyFill="1" applyBorder="1" applyAlignment="1" applyProtection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0" fontId="29" fillId="0" borderId="24" xfId="0" applyFont="1" applyBorder="1" applyAlignment="1">
      <alignment horizontal="center" vertical="center"/>
    </xf>
    <xf numFmtId="4" fontId="10" fillId="5" borderId="24" xfId="0" applyNumberFormat="1" applyFont="1" applyFill="1" applyBorder="1" applyAlignment="1">
      <alignment horizontal="center" vertical="center" wrapText="1"/>
    </xf>
    <xf numFmtId="4" fontId="30" fillId="5" borderId="24" xfId="0" applyNumberFormat="1" applyFont="1" applyFill="1" applyBorder="1" applyAlignment="1">
      <alignment horizontal="center" vertical="center" wrapText="1"/>
    </xf>
    <xf numFmtId="4" fontId="32" fillId="5" borderId="24" xfId="0" applyNumberFormat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5" fillId="2" borderId="28" xfId="1" applyFont="1" applyBorder="1" applyAlignment="1">
      <alignment horizontal="center" vertical="center" textRotation="90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5" xfId="0" applyFont="1" applyBorder="1" applyAlignment="1">
      <alignment horizontal="center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C:/Users/anivaldo/Downloads/2022/10%20Outubro/Notas%20Fiscais/NF%20516064%20Jabu%20SA.pdf" TargetMode="External"/><Relationship Id="rId1" Type="http://schemas.openxmlformats.org/officeDocument/2006/relationships/hyperlink" Target="07%20Jul/2022/10%20Outubro/Notas%20Fiscais/NF%20516064%20Jabu%20SA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"/>
  <sheetViews>
    <sheetView tabSelected="1" topLeftCell="A64" zoomScale="80" zoomScaleNormal="80" workbookViewId="0">
      <selection activeCell="G76" sqref="G76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09" t="s">
        <v>0</v>
      </c>
      <c r="B1" s="110"/>
      <c r="C1" s="110"/>
      <c r="D1" s="110"/>
      <c r="E1" s="110"/>
      <c r="F1" s="110"/>
      <c r="G1" s="110"/>
      <c r="H1" s="110"/>
      <c r="I1" s="111"/>
      <c r="J1" s="118" t="s">
        <v>1</v>
      </c>
      <c r="K1" s="118"/>
      <c r="L1" s="118"/>
      <c r="M1" s="118"/>
      <c r="N1" s="118"/>
      <c r="O1" s="119"/>
    </row>
    <row r="2" spans="1:15" ht="17.100000000000001" customHeight="1" x14ac:dyDescent="0.25">
      <c r="A2" s="112"/>
      <c r="B2" s="113"/>
      <c r="C2" s="113"/>
      <c r="D2" s="113"/>
      <c r="E2" s="113"/>
      <c r="F2" s="113"/>
      <c r="G2" s="113"/>
      <c r="H2" s="113"/>
      <c r="I2" s="114"/>
      <c r="J2" s="120" t="s">
        <v>2</v>
      </c>
      <c r="K2" s="120"/>
      <c r="L2" s="120"/>
      <c r="M2" s="120"/>
      <c r="N2" s="120"/>
      <c r="O2" s="121"/>
    </row>
    <row r="3" spans="1:15" ht="17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4"/>
      <c r="J3" s="120" t="s">
        <v>3</v>
      </c>
      <c r="K3" s="120"/>
      <c r="L3" s="120"/>
      <c r="M3" s="120" t="s">
        <v>4</v>
      </c>
      <c r="N3" s="120"/>
      <c r="O3" s="1"/>
    </row>
    <row r="4" spans="1:15" ht="17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4"/>
      <c r="J4" s="120" t="s">
        <v>5</v>
      </c>
      <c r="K4" s="120"/>
      <c r="L4" s="120"/>
      <c r="M4" s="120" t="s">
        <v>6</v>
      </c>
      <c r="N4" s="120"/>
      <c r="O4" s="2"/>
    </row>
    <row r="5" spans="1:15" ht="17.100000000000001" customHeight="1" x14ac:dyDescent="0.25">
      <c r="A5" s="112"/>
      <c r="B5" s="113"/>
      <c r="C5" s="113"/>
      <c r="D5" s="113"/>
      <c r="E5" s="113"/>
      <c r="F5" s="113"/>
      <c r="G5" s="113"/>
      <c r="H5" s="113"/>
      <c r="I5" s="114"/>
      <c r="J5" s="120" t="s">
        <v>7</v>
      </c>
      <c r="K5" s="120"/>
      <c r="L5" s="120"/>
      <c r="M5" s="120" t="s">
        <v>8</v>
      </c>
      <c r="N5" s="120"/>
      <c r="O5" s="1"/>
    </row>
    <row r="6" spans="1:15" ht="17.100000000000001" customHeight="1" x14ac:dyDescent="0.25">
      <c r="A6" s="115"/>
      <c r="B6" s="116"/>
      <c r="C6" s="116"/>
      <c r="D6" s="116"/>
      <c r="E6" s="116"/>
      <c r="F6" s="116"/>
      <c r="G6" s="116"/>
      <c r="H6" s="116"/>
      <c r="I6" s="117"/>
      <c r="J6" s="120" t="s">
        <v>9</v>
      </c>
      <c r="K6" s="120"/>
      <c r="L6" s="120"/>
      <c r="M6" s="120" t="s">
        <v>10</v>
      </c>
      <c r="N6" s="120"/>
      <c r="O6" s="1"/>
    </row>
    <row r="7" spans="1:15" ht="17.100000000000001" customHeight="1" x14ac:dyDescent="0.25">
      <c r="A7" s="93" t="s">
        <v>11</v>
      </c>
      <c r="B7" s="94"/>
      <c r="C7" s="94"/>
      <c r="D7" s="94"/>
      <c r="E7" s="94"/>
      <c r="F7" s="94"/>
      <c r="G7" s="94"/>
      <c r="H7" s="94"/>
      <c r="I7" s="95"/>
      <c r="J7" s="96" t="s">
        <v>51</v>
      </c>
      <c r="K7" s="97"/>
      <c r="L7" s="97"/>
      <c r="M7" s="97"/>
      <c r="N7" s="98"/>
      <c r="O7" s="99" t="s">
        <v>12</v>
      </c>
    </row>
    <row r="8" spans="1:15" ht="17.100000000000001" customHeight="1" x14ac:dyDescent="0.25">
      <c r="A8" s="100" t="s">
        <v>185</v>
      </c>
      <c r="B8" s="101"/>
      <c r="C8" s="101"/>
      <c r="D8" s="101"/>
      <c r="E8" s="101"/>
      <c r="F8" s="101"/>
      <c r="G8" s="101"/>
      <c r="H8" s="101"/>
      <c r="I8" s="102"/>
      <c r="J8" s="96" t="s">
        <v>13</v>
      </c>
      <c r="K8" s="97"/>
      <c r="L8" s="97"/>
      <c r="M8" s="97"/>
      <c r="N8" s="98"/>
      <c r="O8" s="99"/>
    </row>
    <row r="9" spans="1:15" ht="17.100000000000001" customHeight="1" x14ac:dyDescent="0.25">
      <c r="A9" s="103"/>
      <c r="B9" s="104"/>
      <c r="C9" s="104"/>
      <c r="D9" s="104"/>
      <c r="E9" s="104"/>
      <c r="F9" s="104"/>
      <c r="G9" s="104"/>
      <c r="H9" s="104"/>
      <c r="I9" s="105"/>
      <c r="J9" s="96" t="s">
        <v>14</v>
      </c>
      <c r="K9" s="97"/>
      <c r="L9" s="97"/>
      <c r="M9" s="97"/>
      <c r="N9" s="98"/>
      <c r="O9" s="99"/>
    </row>
    <row r="10" spans="1:15" ht="17.100000000000001" customHeight="1" x14ac:dyDescent="0.25">
      <c r="A10" s="103"/>
      <c r="B10" s="104"/>
      <c r="C10" s="104"/>
      <c r="D10" s="104"/>
      <c r="E10" s="104"/>
      <c r="F10" s="104"/>
      <c r="G10" s="104"/>
      <c r="H10" s="104"/>
      <c r="I10" s="105"/>
      <c r="J10" s="96" t="s">
        <v>15</v>
      </c>
      <c r="K10" s="97"/>
      <c r="L10" s="97"/>
      <c r="M10" s="97"/>
      <c r="N10" s="98"/>
      <c r="O10" s="99"/>
    </row>
    <row r="11" spans="1:15" ht="17.100000000000001" customHeight="1" x14ac:dyDescent="0.25">
      <c r="A11" s="103"/>
      <c r="B11" s="104"/>
      <c r="C11" s="104"/>
      <c r="D11" s="104"/>
      <c r="E11" s="104"/>
      <c r="F11" s="104"/>
      <c r="G11" s="104"/>
      <c r="H11" s="104"/>
      <c r="I11" s="105"/>
      <c r="J11" s="96" t="s">
        <v>50</v>
      </c>
      <c r="K11" s="97"/>
      <c r="L11" s="97"/>
      <c r="M11" s="97"/>
      <c r="N11" s="98"/>
      <c r="O11" s="99"/>
    </row>
    <row r="12" spans="1:15" ht="17.100000000000001" customHeight="1" x14ac:dyDescent="0.25">
      <c r="A12" s="103"/>
      <c r="B12" s="104"/>
      <c r="C12" s="104"/>
      <c r="D12" s="104"/>
      <c r="E12" s="104"/>
      <c r="F12" s="104"/>
      <c r="G12" s="104"/>
      <c r="H12" s="104"/>
      <c r="I12" s="105"/>
      <c r="J12" s="96" t="s">
        <v>107</v>
      </c>
      <c r="K12" s="97"/>
      <c r="L12" s="97"/>
      <c r="M12" s="97"/>
      <c r="N12" s="98"/>
      <c r="O12" s="99"/>
    </row>
    <row r="13" spans="1:15" ht="17.100000000000001" customHeight="1" x14ac:dyDescent="0.25">
      <c r="A13" s="106"/>
      <c r="B13" s="107"/>
      <c r="C13" s="107"/>
      <c r="D13" s="107"/>
      <c r="E13" s="107"/>
      <c r="F13" s="107"/>
      <c r="G13" s="107"/>
      <c r="H13" s="107"/>
      <c r="I13" s="108"/>
      <c r="J13" s="96" t="s">
        <v>106</v>
      </c>
      <c r="K13" s="97"/>
      <c r="L13" s="97"/>
      <c r="M13" s="97"/>
      <c r="N13" s="98"/>
      <c r="O13" s="99"/>
    </row>
    <row r="14" spans="1:15" ht="17.100000000000001" customHeight="1" x14ac:dyDescent="0.25">
      <c r="A14" s="122" t="s">
        <v>16</v>
      </c>
      <c r="B14" s="124" t="s">
        <v>17</v>
      </c>
      <c r="C14" s="124" t="s">
        <v>18</v>
      </c>
      <c r="D14" s="124" t="s">
        <v>19</v>
      </c>
      <c r="E14" s="124" t="s">
        <v>20</v>
      </c>
      <c r="F14" s="124" t="s">
        <v>21</v>
      </c>
      <c r="G14" s="124" t="s">
        <v>22</v>
      </c>
      <c r="H14" s="126" t="s">
        <v>23</v>
      </c>
      <c r="I14" s="126"/>
      <c r="J14" s="126"/>
      <c r="K14" s="126"/>
      <c r="L14" s="127"/>
      <c r="M14" s="124" t="s">
        <v>24</v>
      </c>
      <c r="N14" s="124" t="s">
        <v>25</v>
      </c>
      <c r="O14" s="99" t="s">
        <v>26</v>
      </c>
    </row>
    <row r="15" spans="1:15" ht="17.100000000000001" customHeight="1" x14ac:dyDescent="0.25">
      <c r="A15" s="123"/>
      <c r="B15" s="125"/>
      <c r="C15" s="125"/>
      <c r="D15" s="125"/>
      <c r="E15" s="125"/>
      <c r="F15" s="125"/>
      <c r="G15" s="125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25"/>
      <c r="N15" s="125"/>
      <c r="O15" s="99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77359.731987938401</v>
      </c>
      <c r="N16" s="10">
        <f>SUM(N17:N28)</f>
        <v>0.99999999999999989</v>
      </c>
      <c r="O16" s="99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82">
        <v>162</v>
      </c>
      <c r="H17" s="71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9486.9588342671996</v>
      </c>
      <c r="N17" s="14">
        <f>M17/M$16</f>
        <v>0.12263432913322872</v>
      </c>
      <c r="O17" s="174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82">
        <v>162</v>
      </c>
      <c r="H18" s="71">
        <v>36.11</v>
      </c>
      <c r="I18" s="14">
        <f t="shared" ref="I18:I28" si="0">H18*0.2232</f>
        <v>8.0597519999999996</v>
      </c>
      <c r="J18" s="14">
        <f t="shared" ref="J18:J28" si="1">H18+I18</f>
        <v>44.169752000000003</v>
      </c>
      <c r="K18" s="14">
        <f t="shared" ref="K18:K28" si="2">J18*(0.03%)</f>
        <v>1.32509256E-2</v>
      </c>
      <c r="L18" s="14">
        <f t="shared" ref="L18:L28" si="3">J18-K18</f>
        <v>44.156501074400005</v>
      </c>
      <c r="M18" s="14">
        <f t="shared" ref="M18:M28" si="4">L18*G18</f>
        <v>7153.3531740528006</v>
      </c>
      <c r="N18" s="14">
        <f t="shared" ref="N18:N28" si="5">M18/M$16</f>
        <v>9.2468691271682807E-2</v>
      </c>
      <c r="O18" s="174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82">
        <v>162</v>
      </c>
      <c r="H19" s="71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7153.3531740528006</v>
      </c>
      <c r="N19" s="14">
        <f t="shared" si="5"/>
        <v>9.2468691271682807E-2</v>
      </c>
      <c r="O19" s="174"/>
    </row>
    <row r="20" spans="1:15" ht="26.25" customHeight="1" x14ac:dyDescent="0.25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82">
        <v>162</v>
      </c>
      <c r="H20" s="71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5897.4058153296</v>
      </c>
      <c r="N20" s="14">
        <f t="shared" si="5"/>
        <v>7.6233534731597802E-2</v>
      </c>
      <c r="O20" s="174"/>
    </row>
    <row r="21" spans="1:15" ht="26.25" customHeight="1" x14ac:dyDescent="0.25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82">
        <v>162</v>
      </c>
      <c r="H21" s="71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5897.4058153296</v>
      </c>
      <c r="N21" s="14">
        <f t="shared" si="5"/>
        <v>7.6233534731597802E-2</v>
      </c>
      <c r="O21" s="174"/>
    </row>
    <row r="22" spans="1:15" ht="26.25" customHeight="1" x14ac:dyDescent="0.25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82">
        <v>162</v>
      </c>
      <c r="H22" s="71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6452.0828822736003</v>
      </c>
      <c r="N22" s="14">
        <f t="shared" si="5"/>
        <v>8.3403635411761531E-2</v>
      </c>
      <c r="O22" s="174"/>
    </row>
    <row r="23" spans="1:15" ht="26.25" customHeight="1" x14ac:dyDescent="0.25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82">
        <v>162</v>
      </c>
      <c r="H23" s="71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6452.0828822736003</v>
      </c>
      <c r="N23" s="14">
        <f t="shared" si="5"/>
        <v>8.3403635411761531E-2</v>
      </c>
      <c r="O23" s="174"/>
    </row>
    <row r="24" spans="1:15" ht="26.25" customHeight="1" x14ac:dyDescent="0.25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82">
        <v>162</v>
      </c>
      <c r="H24" s="71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6018.2461763423998</v>
      </c>
      <c r="N24" s="14">
        <f t="shared" si="5"/>
        <v>7.7795592379776332E-2</v>
      </c>
      <c r="O24" s="174"/>
    </row>
    <row r="25" spans="1:15" ht="26.25" customHeight="1" x14ac:dyDescent="0.25">
      <c r="A25" s="17" t="s">
        <v>72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82">
        <v>162</v>
      </c>
      <c r="H25" s="71">
        <v>30.38</v>
      </c>
      <c r="I25" s="14">
        <f t="shared" si="0"/>
        <v>6.7808159999999997</v>
      </c>
      <c r="J25" s="14">
        <f t="shared" si="1"/>
        <v>37.160815999999997</v>
      </c>
      <c r="K25" s="14">
        <f t="shared" si="2"/>
        <v>1.1148244799999998E-2</v>
      </c>
      <c r="L25" s="14">
        <f t="shared" si="3"/>
        <v>37.149667755199999</v>
      </c>
      <c r="M25" s="14">
        <f t="shared" si="4"/>
        <v>6018.2461763423998</v>
      </c>
      <c r="N25" s="14">
        <f t="shared" si="5"/>
        <v>7.7795592379776332E-2</v>
      </c>
      <c r="O25" s="174"/>
    </row>
    <row r="26" spans="1:15" ht="26.25" customHeight="1" x14ac:dyDescent="0.25">
      <c r="A26" s="17" t="s">
        <v>73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82">
        <v>162</v>
      </c>
      <c r="H26" s="71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6018.2461763423998</v>
      </c>
      <c r="N26" s="14">
        <f t="shared" si="5"/>
        <v>7.7795592379776332E-2</v>
      </c>
      <c r="O26" s="174"/>
    </row>
    <row r="27" spans="1:15" ht="26.25" customHeight="1" x14ac:dyDescent="0.25">
      <c r="A27" s="17" t="s">
        <v>74</v>
      </c>
      <c r="B27" s="17" t="s">
        <v>33</v>
      </c>
      <c r="C27" s="11">
        <v>88241</v>
      </c>
      <c r="D27" s="11" t="s">
        <v>34</v>
      </c>
      <c r="E27" s="12" t="s">
        <v>64</v>
      </c>
      <c r="F27" s="13" t="s">
        <v>35</v>
      </c>
      <c r="G27" s="82">
        <v>162</v>
      </c>
      <c r="H27" s="71">
        <v>28.07</v>
      </c>
      <c r="I27" s="14">
        <f t="shared" si="0"/>
        <v>6.2652239999999999</v>
      </c>
      <c r="J27" s="14">
        <f t="shared" si="1"/>
        <v>34.335223999999997</v>
      </c>
      <c r="K27" s="14">
        <f t="shared" si="2"/>
        <v>1.0300567199999998E-2</v>
      </c>
      <c r="L27" s="14">
        <f t="shared" si="3"/>
        <v>34.324923432799999</v>
      </c>
      <c r="M27" s="14">
        <f t="shared" si="4"/>
        <v>5560.6375961136</v>
      </c>
      <c r="N27" s="14">
        <f t="shared" si="5"/>
        <v>7.1880259318641268E-2</v>
      </c>
      <c r="O27" s="174"/>
    </row>
    <row r="28" spans="1:15" ht="26.25" customHeight="1" x14ac:dyDescent="0.25">
      <c r="A28" s="17" t="s">
        <v>75</v>
      </c>
      <c r="B28" s="17" t="s">
        <v>33</v>
      </c>
      <c r="C28" s="11" t="s">
        <v>63</v>
      </c>
      <c r="D28" s="11" t="s">
        <v>34</v>
      </c>
      <c r="E28" s="12" t="s">
        <v>64</v>
      </c>
      <c r="F28" s="13" t="s">
        <v>35</v>
      </c>
      <c r="G28" s="82">
        <v>153</v>
      </c>
      <c r="H28" s="71">
        <v>28.07</v>
      </c>
      <c r="I28" s="14">
        <f t="shared" si="0"/>
        <v>6.2652239999999999</v>
      </c>
      <c r="J28" s="14">
        <f t="shared" si="1"/>
        <v>34.335223999999997</v>
      </c>
      <c r="K28" s="14">
        <f t="shared" si="2"/>
        <v>1.0300567199999998E-2</v>
      </c>
      <c r="L28" s="14">
        <f t="shared" si="3"/>
        <v>34.324923432799999</v>
      </c>
      <c r="M28" s="14">
        <f t="shared" si="4"/>
        <v>5251.7132852183995</v>
      </c>
      <c r="N28" s="14">
        <f t="shared" si="5"/>
        <v>6.7886911578716749E-2</v>
      </c>
      <c r="O28" s="174"/>
    </row>
    <row r="29" spans="1:15" x14ac:dyDescent="0.25">
      <c r="A29" s="122" t="s">
        <v>16</v>
      </c>
      <c r="B29" s="124" t="s">
        <v>17</v>
      </c>
      <c r="C29" s="124" t="s">
        <v>18</v>
      </c>
      <c r="D29" s="124" t="s">
        <v>19</v>
      </c>
      <c r="E29" s="124" t="s">
        <v>20</v>
      </c>
      <c r="F29" s="124" t="s">
        <v>21</v>
      </c>
      <c r="G29" s="124" t="s">
        <v>22</v>
      </c>
      <c r="H29" s="126" t="s">
        <v>23</v>
      </c>
      <c r="I29" s="126"/>
      <c r="J29" s="126"/>
      <c r="K29" s="126"/>
      <c r="L29" s="127"/>
      <c r="M29" s="124" t="s">
        <v>24</v>
      </c>
      <c r="N29" s="124" t="s">
        <v>25</v>
      </c>
      <c r="O29" s="174"/>
    </row>
    <row r="30" spans="1:15" ht="17.100000000000001" customHeight="1" x14ac:dyDescent="0.25">
      <c r="A30" s="123"/>
      <c r="B30" s="125"/>
      <c r="C30" s="125"/>
      <c r="D30" s="125"/>
      <c r="E30" s="125"/>
      <c r="F30" s="125"/>
      <c r="G30" s="125"/>
      <c r="H30" s="3" t="s">
        <v>27</v>
      </c>
      <c r="I30" s="25" t="s">
        <v>36</v>
      </c>
      <c r="J30" s="3" t="s">
        <v>29</v>
      </c>
      <c r="K30" s="4" t="s">
        <v>52</v>
      </c>
      <c r="L30" s="3" t="s">
        <v>30</v>
      </c>
      <c r="M30" s="125"/>
      <c r="N30" s="125"/>
      <c r="O30" s="99"/>
    </row>
    <row r="31" spans="1:15" ht="17.100000000000001" customHeight="1" x14ac:dyDescent="0.25">
      <c r="A31" s="15">
        <v>2</v>
      </c>
      <c r="B31" s="133" t="s">
        <v>37</v>
      </c>
      <c r="C31" s="133"/>
      <c r="D31" s="134"/>
      <c r="E31" s="134"/>
      <c r="F31" s="134"/>
      <c r="G31" s="16"/>
      <c r="H31" s="16"/>
      <c r="I31" s="16"/>
      <c r="J31" s="16"/>
      <c r="K31" s="16"/>
      <c r="L31" s="16"/>
      <c r="M31" s="22">
        <f>SUM(M32:M61)</f>
        <v>18696.5923430988</v>
      </c>
      <c r="N31" s="16"/>
      <c r="O31" s="174"/>
    </row>
    <row r="32" spans="1:15" s="19" customFormat="1" ht="17.100000000000001" customHeight="1" x14ac:dyDescent="0.2">
      <c r="A32" s="18" t="s">
        <v>96</v>
      </c>
      <c r="B32" s="18" t="s">
        <v>87</v>
      </c>
      <c r="C32" s="18">
        <v>4720</v>
      </c>
      <c r="D32" s="18" t="s">
        <v>34</v>
      </c>
      <c r="E32" s="50" t="s">
        <v>122</v>
      </c>
      <c r="F32" s="18" t="s">
        <v>123</v>
      </c>
      <c r="G32" s="18">
        <v>3</v>
      </c>
      <c r="H32" s="73">
        <v>80.39</v>
      </c>
      <c r="I32" s="14">
        <f t="shared" ref="I32:I42" si="6">H32*0.1532</f>
        <v>12.315748000000001</v>
      </c>
      <c r="J32" s="14">
        <f t="shared" ref="J32:J38" si="7">H32+I32</f>
        <v>92.705748</v>
      </c>
      <c r="K32" s="14">
        <f t="shared" ref="K32:K42" si="8">J32*(0.03%)</f>
        <v>2.7811724399999998E-2</v>
      </c>
      <c r="L32" s="14">
        <f t="shared" ref="L32:L38" si="9">J32-K32</f>
        <v>92.677936275600004</v>
      </c>
      <c r="M32" s="14">
        <f t="shared" ref="M32:M38" si="10">L32*G32</f>
        <v>278.0338088268</v>
      </c>
      <c r="N32" s="14">
        <f t="shared" ref="N32:N59" si="11">M32/M31</f>
        <v>1.4870827994996989E-2</v>
      </c>
      <c r="O32" s="174"/>
    </row>
    <row r="33" spans="1:15" s="19" customFormat="1" ht="17.100000000000001" customHeight="1" x14ac:dyDescent="0.2">
      <c r="A33" s="18" t="s">
        <v>128</v>
      </c>
      <c r="B33" s="18" t="s">
        <v>87</v>
      </c>
      <c r="C33" s="18">
        <v>367</v>
      </c>
      <c r="D33" s="18" t="s">
        <v>34</v>
      </c>
      <c r="E33" s="24" t="s">
        <v>124</v>
      </c>
      <c r="F33" s="18" t="s">
        <v>123</v>
      </c>
      <c r="G33" s="18">
        <v>5</v>
      </c>
      <c r="H33" s="72">
        <v>65.84</v>
      </c>
      <c r="I33" s="14">
        <f t="shared" si="6"/>
        <v>10.086688000000001</v>
      </c>
      <c r="J33" s="14">
        <f t="shared" si="7"/>
        <v>75.926687999999999</v>
      </c>
      <c r="K33" s="14">
        <f t="shared" si="8"/>
        <v>2.2778006399999998E-2</v>
      </c>
      <c r="L33" s="14">
        <f t="shared" si="9"/>
        <v>75.903909993599996</v>
      </c>
      <c r="M33" s="14">
        <f t="shared" si="10"/>
        <v>379.51954996799998</v>
      </c>
      <c r="N33" s="14">
        <f t="shared" si="11"/>
        <v>1.3650122320354936</v>
      </c>
      <c r="O33" s="174"/>
    </row>
    <row r="34" spans="1:15" s="54" customFormat="1" ht="16.5" customHeight="1" x14ac:dyDescent="0.25">
      <c r="A34" s="18" t="s">
        <v>97</v>
      </c>
      <c r="B34" s="18" t="s">
        <v>87</v>
      </c>
      <c r="C34" s="18">
        <v>366</v>
      </c>
      <c r="D34" s="18" t="s">
        <v>34</v>
      </c>
      <c r="E34" s="51" t="s">
        <v>178</v>
      </c>
      <c r="F34" s="18" t="s">
        <v>123</v>
      </c>
      <c r="G34" s="18">
        <v>3</v>
      </c>
      <c r="H34" s="75">
        <v>65</v>
      </c>
      <c r="I34" s="14">
        <f t="shared" si="6"/>
        <v>9.9580000000000002</v>
      </c>
      <c r="J34" s="14">
        <f t="shared" si="7"/>
        <v>74.957999999999998</v>
      </c>
      <c r="K34" s="14">
        <f t="shared" si="8"/>
        <v>2.2487399999999998E-2</v>
      </c>
      <c r="L34" s="14">
        <f t="shared" si="9"/>
        <v>74.935512599999996</v>
      </c>
      <c r="M34" s="14">
        <f t="shared" si="10"/>
        <v>224.8065378</v>
      </c>
      <c r="N34" s="14">
        <f t="shared" si="11"/>
        <v>0.59234507897934385</v>
      </c>
      <c r="O34" s="174"/>
    </row>
    <row r="35" spans="1:15" s="19" customFormat="1" ht="17.100000000000001" customHeight="1" x14ac:dyDescent="0.2">
      <c r="A35" s="18" t="s">
        <v>126</v>
      </c>
      <c r="B35" s="60" t="s">
        <v>87</v>
      </c>
      <c r="C35" s="18">
        <v>1379</v>
      </c>
      <c r="D35" s="18" t="s">
        <v>34</v>
      </c>
      <c r="E35" s="61" t="s">
        <v>89</v>
      </c>
      <c r="F35" s="18" t="s">
        <v>21</v>
      </c>
      <c r="G35" s="18">
        <v>2000</v>
      </c>
      <c r="H35" s="73">
        <v>0.6</v>
      </c>
      <c r="I35" s="48">
        <f t="shared" si="6"/>
        <v>9.1920000000000002E-2</v>
      </c>
      <c r="J35" s="48">
        <f t="shared" si="7"/>
        <v>0.69191999999999998</v>
      </c>
      <c r="K35" s="48">
        <f t="shared" si="8"/>
        <v>2.0757599999999998E-4</v>
      </c>
      <c r="L35" s="48">
        <f t="shared" si="9"/>
        <v>0.69171242399999999</v>
      </c>
      <c r="M35" s="48">
        <f t="shared" si="10"/>
        <v>1383.4248479999999</v>
      </c>
      <c r="N35" s="14">
        <f t="shared" si="11"/>
        <v>6.1538461538461533</v>
      </c>
      <c r="O35" s="174"/>
    </row>
    <row r="36" spans="1:15" s="49" customFormat="1" ht="17.25" customHeight="1" x14ac:dyDescent="0.25">
      <c r="A36" s="18" t="s">
        <v>88</v>
      </c>
      <c r="B36" s="18" t="s">
        <v>87</v>
      </c>
      <c r="C36" s="18">
        <v>43132</v>
      </c>
      <c r="D36" s="18" t="s">
        <v>34</v>
      </c>
      <c r="E36" s="52" t="s">
        <v>110</v>
      </c>
      <c r="F36" s="18" t="s">
        <v>90</v>
      </c>
      <c r="G36" s="18">
        <v>5</v>
      </c>
      <c r="H36" s="73">
        <v>16.5</v>
      </c>
      <c r="I36" s="14">
        <f t="shared" si="6"/>
        <v>2.5278</v>
      </c>
      <c r="J36" s="14">
        <f t="shared" si="7"/>
        <v>19.027799999999999</v>
      </c>
      <c r="K36" s="14">
        <f t="shared" si="8"/>
        <v>5.7083399999999992E-3</v>
      </c>
      <c r="L36" s="14">
        <f t="shared" si="9"/>
        <v>19.022091659999997</v>
      </c>
      <c r="M36" s="14">
        <f t="shared" si="10"/>
        <v>95.110458299999991</v>
      </c>
      <c r="N36" s="14">
        <f t="shared" si="11"/>
        <v>6.8750000000000006E-2</v>
      </c>
      <c r="O36" s="174"/>
    </row>
    <row r="37" spans="1:15" s="49" customFormat="1" ht="17.25" customHeight="1" x14ac:dyDescent="0.25">
      <c r="A37" s="18" t="s">
        <v>125</v>
      </c>
      <c r="B37" s="18" t="s">
        <v>87</v>
      </c>
      <c r="C37" s="18">
        <v>1381</v>
      </c>
      <c r="D37" s="18" t="s">
        <v>34</v>
      </c>
      <c r="E37" s="52" t="s">
        <v>174</v>
      </c>
      <c r="F37" s="18" t="s">
        <v>90</v>
      </c>
      <c r="G37" s="18">
        <v>20</v>
      </c>
      <c r="H37" s="76">
        <v>0.75</v>
      </c>
      <c r="I37" s="14">
        <f t="shared" si="6"/>
        <v>0.1149</v>
      </c>
      <c r="J37" s="14">
        <f t="shared" si="7"/>
        <v>0.8649</v>
      </c>
      <c r="K37" s="14">
        <f t="shared" si="8"/>
        <v>2.5946999999999998E-4</v>
      </c>
      <c r="L37" s="14">
        <f t="shared" si="9"/>
        <v>0.86464052999999996</v>
      </c>
      <c r="M37" s="14">
        <f t="shared" si="10"/>
        <v>17.292810599999999</v>
      </c>
      <c r="N37" s="14">
        <f t="shared" si="11"/>
        <v>0.18181818181818182</v>
      </c>
      <c r="O37" s="174"/>
    </row>
    <row r="38" spans="1:15" s="19" customFormat="1" ht="17.100000000000001" customHeight="1" x14ac:dyDescent="0.2">
      <c r="A38" s="18" t="s">
        <v>98</v>
      </c>
      <c r="B38" s="18" t="s">
        <v>87</v>
      </c>
      <c r="C38" s="18">
        <v>11621</v>
      </c>
      <c r="D38" s="18" t="s">
        <v>34</v>
      </c>
      <c r="E38" s="68" t="s">
        <v>175</v>
      </c>
      <c r="F38" s="18" t="s">
        <v>176</v>
      </c>
      <c r="G38" s="18">
        <f>50*0.2</f>
        <v>10</v>
      </c>
      <c r="H38" s="74">
        <v>59.48</v>
      </c>
      <c r="I38" s="14">
        <f t="shared" si="6"/>
        <v>9.1123359999999991</v>
      </c>
      <c r="J38" s="14">
        <f t="shared" si="7"/>
        <v>68.592335999999989</v>
      </c>
      <c r="K38" s="14">
        <f t="shared" si="8"/>
        <v>2.0577700799999994E-2</v>
      </c>
      <c r="L38" s="14">
        <f t="shared" si="9"/>
        <v>68.571758299199985</v>
      </c>
      <c r="M38" s="14">
        <f t="shared" si="10"/>
        <v>685.71758299199985</v>
      </c>
      <c r="N38" s="14">
        <f t="shared" si="11"/>
        <v>39.653333333333329</v>
      </c>
      <c r="O38" s="174"/>
    </row>
    <row r="39" spans="1:15" x14ac:dyDescent="0.25">
      <c r="A39" s="18" t="s">
        <v>129</v>
      </c>
      <c r="B39" s="18" t="s">
        <v>87</v>
      </c>
      <c r="C39" s="23">
        <v>10515</v>
      </c>
      <c r="D39" s="18" t="s">
        <v>34</v>
      </c>
      <c r="E39" s="24" t="s">
        <v>177</v>
      </c>
      <c r="F39" s="18" t="s">
        <v>176</v>
      </c>
      <c r="G39" s="18">
        <v>10</v>
      </c>
      <c r="H39" s="75">
        <v>59.98</v>
      </c>
      <c r="I39" s="14">
        <f t="shared" ref="I39:I40" si="12">H39*0.1532</f>
        <v>9.188936</v>
      </c>
      <c r="J39" s="14">
        <f t="shared" ref="J39:J40" si="13">H39+I39</f>
        <v>69.168936000000002</v>
      </c>
      <c r="K39" s="14">
        <f t="shared" ref="K39:K40" si="14">J39*(0.03%)</f>
        <v>2.0750680799999997E-2</v>
      </c>
      <c r="L39" s="14">
        <f t="shared" ref="L39:L40" si="15">J39-K39</f>
        <v>69.148185319199996</v>
      </c>
      <c r="M39" s="14">
        <f t="shared" ref="M39:M40" si="16">L39*G39</f>
        <v>691.48185319200002</v>
      </c>
      <c r="N39" s="14">
        <f t="shared" si="11"/>
        <v>1.0084061869535981</v>
      </c>
      <c r="O39" s="174"/>
    </row>
    <row r="40" spans="1:15" x14ac:dyDescent="0.25">
      <c r="A40" s="18" t="s">
        <v>99</v>
      </c>
      <c r="B40" s="18" t="s">
        <v>87</v>
      </c>
      <c r="C40" s="23">
        <v>6212</v>
      </c>
      <c r="D40" s="18" t="s">
        <v>34</v>
      </c>
      <c r="E40" s="24" t="s">
        <v>179</v>
      </c>
      <c r="F40" s="18" t="s">
        <v>130</v>
      </c>
      <c r="G40" s="18">
        <v>90</v>
      </c>
      <c r="H40" s="75">
        <v>12.85</v>
      </c>
      <c r="I40" s="14">
        <f t="shared" si="12"/>
        <v>1.96862</v>
      </c>
      <c r="J40" s="14">
        <f t="shared" si="13"/>
        <v>14.818619999999999</v>
      </c>
      <c r="K40" s="14">
        <f t="shared" si="14"/>
        <v>4.4455859999999996E-3</v>
      </c>
      <c r="L40" s="14">
        <f t="shared" si="15"/>
        <v>14.814174414</v>
      </c>
      <c r="M40" s="14">
        <f t="shared" si="16"/>
        <v>1333.27569726</v>
      </c>
      <c r="N40" s="14">
        <f t="shared" si="11"/>
        <v>1.9281427142380794</v>
      </c>
      <c r="O40" s="174"/>
    </row>
    <row r="41" spans="1:15" x14ac:dyDescent="0.25">
      <c r="A41" s="18" t="s">
        <v>95</v>
      </c>
      <c r="B41" s="18" t="s">
        <v>87</v>
      </c>
      <c r="C41" s="23">
        <v>2745</v>
      </c>
      <c r="D41" s="18" t="s">
        <v>34</v>
      </c>
      <c r="E41" s="24" t="s">
        <v>180</v>
      </c>
      <c r="F41" s="18" t="s">
        <v>130</v>
      </c>
      <c r="G41" s="18">
        <v>90</v>
      </c>
      <c r="H41" s="75">
        <v>3.22</v>
      </c>
      <c r="I41" s="14">
        <f t="shared" ref="I41" si="17">H41*0.1532</f>
        <v>0.49330400000000002</v>
      </c>
      <c r="J41" s="14">
        <f t="shared" ref="J41" si="18">H41+I41</f>
        <v>3.7133040000000004</v>
      </c>
      <c r="K41" s="14">
        <f t="shared" ref="K41" si="19">J41*(0.03%)</f>
        <v>1.1139912E-3</v>
      </c>
      <c r="L41" s="14">
        <f t="shared" ref="L41" si="20">J41-K41</f>
        <v>3.7121900088000004</v>
      </c>
      <c r="M41" s="14">
        <f t="shared" ref="M41" si="21">L41*G41</f>
        <v>334.09710079200005</v>
      </c>
      <c r="N41" s="14">
        <f t="shared" si="11"/>
        <v>0.25058365758754869</v>
      </c>
      <c r="O41" s="174"/>
    </row>
    <row r="42" spans="1:15" s="49" customFormat="1" ht="17.25" customHeight="1" x14ac:dyDescent="0.25">
      <c r="A42" s="18" t="s">
        <v>92</v>
      </c>
      <c r="B42" s="18" t="s">
        <v>87</v>
      </c>
      <c r="C42" s="11">
        <v>377</v>
      </c>
      <c r="D42" s="18" t="s">
        <v>34</v>
      </c>
      <c r="E42" s="53" t="s">
        <v>112</v>
      </c>
      <c r="F42" s="18" t="s">
        <v>21</v>
      </c>
      <c r="G42" s="18">
        <v>45</v>
      </c>
      <c r="H42" s="77">
        <v>42.5</v>
      </c>
      <c r="I42" s="14">
        <f t="shared" si="6"/>
        <v>6.5110000000000001</v>
      </c>
      <c r="J42" s="14">
        <f t="shared" ref="J42" si="22">H42+I42</f>
        <v>49.011000000000003</v>
      </c>
      <c r="K42" s="14">
        <f t="shared" si="8"/>
        <v>1.4703299999999999E-2</v>
      </c>
      <c r="L42" s="14">
        <f t="shared" ref="L42" si="23">J42-K42</f>
        <v>48.996296700000002</v>
      </c>
      <c r="M42" s="14">
        <f t="shared" ref="M42" si="24">L42*G42</f>
        <v>2204.8333514999999</v>
      </c>
      <c r="N42" s="14">
        <f t="shared" si="11"/>
        <v>6.5993788819875761</v>
      </c>
      <c r="O42" s="174"/>
    </row>
    <row r="43" spans="1:15" s="54" customFormat="1" ht="17.25" customHeight="1" x14ac:dyDescent="0.25">
      <c r="A43" s="18" t="s">
        <v>100</v>
      </c>
      <c r="B43" s="18" t="s">
        <v>87</v>
      </c>
      <c r="C43" s="18">
        <v>11681</v>
      </c>
      <c r="D43" s="18" t="s">
        <v>34</v>
      </c>
      <c r="E43" s="52" t="s">
        <v>133</v>
      </c>
      <c r="F43" s="18" t="s">
        <v>21</v>
      </c>
      <c r="G43" s="18">
        <v>10</v>
      </c>
      <c r="H43" s="73">
        <v>8.34</v>
      </c>
      <c r="I43" s="14">
        <f t="shared" ref="I43:I44" si="25">H43*0.1532</f>
        <v>1.2776879999999999</v>
      </c>
      <c r="J43" s="14">
        <f t="shared" ref="J43:J44" si="26">H43+I43</f>
        <v>9.6176879999999993</v>
      </c>
      <c r="K43" s="14">
        <f t="shared" ref="K43:K44" si="27">J43*(0.03%)</f>
        <v>2.8853063999999995E-3</v>
      </c>
      <c r="L43" s="14">
        <f t="shared" ref="L43:L44" si="28">J43-K43</f>
        <v>9.6148026935999997</v>
      </c>
      <c r="M43" s="14">
        <f t="shared" ref="M43:M44" si="29">L43*G43</f>
        <v>96.148026935999994</v>
      </c>
      <c r="N43" s="14">
        <f t="shared" si="11"/>
        <v>4.3607843137254902E-2</v>
      </c>
      <c r="O43" s="174"/>
    </row>
    <row r="44" spans="1:15" s="49" customFormat="1" ht="17.100000000000001" customHeight="1" x14ac:dyDescent="0.25">
      <c r="A44" s="18" t="s">
        <v>131</v>
      </c>
      <c r="B44" s="18" t="s">
        <v>87</v>
      </c>
      <c r="C44" s="18">
        <v>11762</v>
      </c>
      <c r="D44" s="18" t="s">
        <v>34</v>
      </c>
      <c r="E44" s="52" t="s">
        <v>114</v>
      </c>
      <c r="F44" s="18" t="s">
        <v>21</v>
      </c>
      <c r="G44" s="18">
        <v>10</v>
      </c>
      <c r="H44" s="74">
        <v>51.67</v>
      </c>
      <c r="I44" s="14">
        <f t="shared" si="25"/>
        <v>7.9158440000000008</v>
      </c>
      <c r="J44" s="14">
        <f t="shared" si="26"/>
        <v>59.585844000000002</v>
      </c>
      <c r="K44" s="14">
        <f t="shared" si="27"/>
        <v>1.78757532E-2</v>
      </c>
      <c r="L44" s="14">
        <f t="shared" si="28"/>
        <v>59.5679682468</v>
      </c>
      <c r="M44" s="14">
        <f t="shared" si="29"/>
        <v>595.67968246800001</v>
      </c>
      <c r="N44" s="14">
        <f t="shared" si="11"/>
        <v>6.195443645083933</v>
      </c>
      <c r="O44" s="174"/>
    </row>
    <row r="45" spans="1:15" s="49" customFormat="1" ht="17.25" customHeight="1" x14ac:dyDescent="0.25">
      <c r="A45" s="18" t="s">
        <v>132</v>
      </c>
      <c r="B45" s="18" t="s">
        <v>87</v>
      </c>
      <c r="C45" s="18">
        <v>3148</v>
      </c>
      <c r="D45" s="18" t="s">
        <v>34</v>
      </c>
      <c r="E45" s="50" t="s">
        <v>113</v>
      </c>
      <c r="F45" s="18" t="s">
        <v>21</v>
      </c>
      <c r="G45" s="18">
        <v>10</v>
      </c>
      <c r="H45" s="73">
        <v>8.07</v>
      </c>
      <c r="I45" s="14">
        <f>H45*0.1532</f>
        <v>1.236324</v>
      </c>
      <c r="J45" s="14">
        <f>H45+I45</f>
        <v>9.306324</v>
      </c>
      <c r="K45" s="14">
        <f>J45*(0.03%)</f>
        <v>2.7918971999999998E-3</v>
      </c>
      <c r="L45" s="14">
        <f>J45-K45</f>
        <v>9.3035321028000002</v>
      </c>
      <c r="M45" s="14">
        <f>L45*G45</f>
        <v>93.035321027999998</v>
      </c>
      <c r="N45" s="14">
        <f t="shared" si="11"/>
        <v>0.15618347203406233</v>
      </c>
      <c r="O45" s="174"/>
    </row>
    <row r="46" spans="1:15" s="49" customFormat="1" ht="17.25" customHeight="1" x14ac:dyDescent="0.25">
      <c r="A46" s="18" t="s">
        <v>93</v>
      </c>
      <c r="B46" s="18" t="s">
        <v>87</v>
      </c>
      <c r="C46" s="60">
        <v>7288</v>
      </c>
      <c r="D46" s="60" t="s">
        <v>34</v>
      </c>
      <c r="E46" s="67" t="s">
        <v>166</v>
      </c>
      <c r="F46" s="60" t="s">
        <v>115</v>
      </c>
      <c r="G46" s="60">
        <f>3.6*5</f>
        <v>18</v>
      </c>
      <c r="H46" s="78">
        <v>41.87</v>
      </c>
      <c r="I46" s="35">
        <f t="shared" ref="I46:I50" si="30">H46*0.1532</f>
        <v>6.4144839999999999</v>
      </c>
      <c r="J46" s="35">
        <f t="shared" ref="J46:J50" si="31">H46+I46</f>
        <v>48.284483999999999</v>
      </c>
      <c r="K46" s="35">
        <f t="shared" ref="K46:K50" si="32">J46*(0.03%)</f>
        <v>1.4485345199999998E-2</v>
      </c>
      <c r="L46" s="35">
        <f t="shared" ref="L46:L50" si="33">J46-K46</f>
        <v>48.269998654799998</v>
      </c>
      <c r="M46" s="35">
        <f t="shared" ref="M46:M50" si="34">L46*G46</f>
        <v>868.85997578640001</v>
      </c>
      <c r="N46" s="14">
        <f t="shared" si="11"/>
        <v>9.3390334572490712</v>
      </c>
      <c r="O46" s="174"/>
    </row>
    <row r="47" spans="1:15" s="49" customFormat="1" ht="17.100000000000001" customHeight="1" x14ac:dyDescent="0.25">
      <c r="A47" s="18" t="s">
        <v>134</v>
      </c>
      <c r="B47" s="18" t="s">
        <v>87</v>
      </c>
      <c r="C47" s="60">
        <v>12815</v>
      </c>
      <c r="D47" s="60" t="s">
        <v>34</v>
      </c>
      <c r="E47" s="67" t="s">
        <v>167</v>
      </c>
      <c r="F47" s="60" t="s">
        <v>21</v>
      </c>
      <c r="G47" s="60">
        <v>20</v>
      </c>
      <c r="H47" s="78">
        <v>10.72</v>
      </c>
      <c r="I47" s="35">
        <f t="shared" si="30"/>
        <v>1.6423040000000002</v>
      </c>
      <c r="J47" s="35">
        <f t="shared" si="31"/>
        <v>12.362304000000002</v>
      </c>
      <c r="K47" s="35">
        <f t="shared" si="32"/>
        <v>3.7086912000000001E-3</v>
      </c>
      <c r="L47" s="35">
        <f t="shared" si="33"/>
        <v>12.358595308800002</v>
      </c>
      <c r="M47" s="35">
        <f t="shared" si="34"/>
        <v>247.17190617600005</v>
      </c>
      <c r="N47" s="14">
        <f t="shared" si="11"/>
        <v>0.28447841201602853</v>
      </c>
      <c r="O47" s="174"/>
    </row>
    <row r="48" spans="1:15" s="49" customFormat="1" ht="17.25" customHeight="1" x14ac:dyDescent="0.25">
      <c r="A48" s="18" t="s">
        <v>135</v>
      </c>
      <c r="B48" s="18" t="s">
        <v>87</v>
      </c>
      <c r="C48" s="18">
        <v>43626</v>
      </c>
      <c r="D48" s="18" t="s">
        <v>34</v>
      </c>
      <c r="E48" s="53" t="s">
        <v>168</v>
      </c>
      <c r="F48" s="18" t="s">
        <v>90</v>
      </c>
      <c r="G48" s="18">
        <v>46</v>
      </c>
      <c r="H48" s="73">
        <v>3.68</v>
      </c>
      <c r="I48" s="14">
        <f t="shared" si="30"/>
        <v>0.56377600000000005</v>
      </c>
      <c r="J48" s="14">
        <f t="shared" si="31"/>
        <v>4.2437760000000004</v>
      </c>
      <c r="K48" s="14">
        <f t="shared" si="32"/>
        <v>1.2731328E-3</v>
      </c>
      <c r="L48" s="14">
        <f t="shared" si="33"/>
        <v>4.2425028672000007</v>
      </c>
      <c r="M48" s="14">
        <f t="shared" si="34"/>
        <v>195.15513189120003</v>
      </c>
      <c r="N48" s="14">
        <f t="shared" si="11"/>
        <v>0.78955223880597014</v>
      </c>
      <c r="O48" s="174"/>
    </row>
    <row r="49" spans="1:15" s="49" customFormat="1" ht="17.25" customHeight="1" x14ac:dyDescent="0.25">
      <c r="A49" s="18" t="s">
        <v>101</v>
      </c>
      <c r="B49" s="18" t="s">
        <v>87</v>
      </c>
      <c r="C49" s="18">
        <v>7307</v>
      </c>
      <c r="D49" s="18" t="s">
        <v>34</v>
      </c>
      <c r="E49" s="53" t="s">
        <v>169</v>
      </c>
      <c r="F49" s="18" t="s">
        <v>115</v>
      </c>
      <c r="G49" s="18">
        <v>36</v>
      </c>
      <c r="H49" s="73">
        <v>44.55</v>
      </c>
      <c r="I49" s="14">
        <f t="shared" si="30"/>
        <v>6.8250599999999997</v>
      </c>
      <c r="J49" s="14">
        <f t="shared" si="31"/>
        <v>51.375059999999998</v>
      </c>
      <c r="K49" s="14">
        <f t="shared" si="32"/>
        <v>1.5412517999999998E-2</v>
      </c>
      <c r="L49" s="14">
        <f t="shared" si="33"/>
        <v>51.359647482</v>
      </c>
      <c r="M49" s="14">
        <f t="shared" si="34"/>
        <v>1848.947309352</v>
      </c>
      <c r="N49" s="14">
        <f t="shared" si="11"/>
        <v>9.4742438563327021</v>
      </c>
      <c r="O49" s="174"/>
    </row>
    <row r="50" spans="1:15" s="49" customFormat="1" ht="17.25" customHeight="1" x14ac:dyDescent="0.25">
      <c r="A50" s="18" t="s">
        <v>136</v>
      </c>
      <c r="B50" s="18" t="s">
        <v>87</v>
      </c>
      <c r="C50" s="18">
        <v>7292</v>
      </c>
      <c r="D50" s="18" t="s">
        <v>34</v>
      </c>
      <c r="E50" s="51" t="s">
        <v>170</v>
      </c>
      <c r="F50" s="18" t="s">
        <v>115</v>
      </c>
      <c r="G50" s="18">
        <f>3.6*2</f>
        <v>7.2</v>
      </c>
      <c r="H50" s="73">
        <v>41.3</v>
      </c>
      <c r="I50" s="14">
        <f t="shared" si="30"/>
        <v>6.3271600000000001</v>
      </c>
      <c r="J50" s="14">
        <f t="shared" si="31"/>
        <v>47.627159999999996</v>
      </c>
      <c r="K50" s="14">
        <f t="shared" si="32"/>
        <v>1.4288147999999997E-2</v>
      </c>
      <c r="L50" s="14">
        <f t="shared" si="33"/>
        <v>47.612871851999998</v>
      </c>
      <c r="M50" s="14">
        <f t="shared" si="34"/>
        <v>342.81267733440001</v>
      </c>
      <c r="N50" s="14">
        <f t="shared" si="11"/>
        <v>0.18540965207631874</v>
      </c>
      <c r="O50" s="174"/>
    </row>
    <row r="51" spans="1:15" s="49" customFormat="1" ht="17.25" customHeight="1" x14ac:dyDescent="0.25">
      <c r="A51" s="18" t="s">
        <v>94</v>
      </c>
      <c r="B51" s="18" t="s">
        <v>87</v>
      </c>
      <c r="C51" s="18">
        <v>43647</v>
      </c>
      <c r="D51" s="18" t="s">
        <v>34</v>
      </c>
      <c r="E51" s="51" t="s">
        <v>171</v>
      </c>
      <c r="F51" s="18" t="s">
        <v>115</v>
      </c>
      <c r="G51" s="18">
        <f>3.6*5</f>
        <v>18</v>
      </c>
      <c r="H51" s="73">
        <v>30.71</v>
      </c>
      <c r="I51" s="14">
        <f t="shared" ref="I51:I52" si="35">H51*0.1532</f>
        <v>4.7047720000000002</v>
      </c>
      <c r="J51" s="14">
        <f t="shared" ref="J51:J52" si="36">H51+I51</f>
        <v>35.414771999999999</v>
      </c>
      <c r="K51" s="14">
        <f t="shared" ref="K51:K52" si="37">J51*(0.03%)</f>
        <v>1.0624431599999999E-2</v>
      </c>
      <c r="L51" s="14">
        <f t="shared" ref="L51:L52" si="38">J51-K51</f>
        <v>35.404147568399999</v>
      </c>
      <c r="M51" s="14">
        <f t="shared" ref="M51:M52" si="39">L51*G51</f>
        <v>637.27465623119997</v>
      </c>
      <c r="N51" s="14">
        <f t="shared" si="11"/>
        <v>1.8589588377723969</v>
      </c>
      <c r="O51" s="174"/>
    </row>
    <row r="52" spans="1:15" s="49" customFormat="1" ht="17.25" customHeight="1" x14ac:dyDescent="0.25">
      <c r="A52" s="18" t="s">
        <v>137</v>
      </c>
      <c r="B52" s="18" t="s">
        <v>87</v>
      </c>
      <c r="C52" s="18">
        <v>7292</v>
      </c>
      <c r="D52" s="18" t="s">
        <v>34</v>
      </c>
      <c r="E52" s="51" t="s">
        <v>172</v>
      </c>
      <c r="F52" s="18" t="s">
        <v>115</v>
      </c>
      <c r="G52" s="18">
        <v>18</v>
      </c>
      <c r="H52" s="73">
        <v>41.3</v>
      </c>
      <c r="I52" s="14">
        <f t="shared" si="35"/>
        <v>6.3271600000000001</v>
      </c>
      <c r="J52" s="14">
        <f t="shared" si="36"/>
        <v>47.627159999999996</v>
      </c>
      <c r="K52" s="14">
        <f t="shared" si="37"/>
        <v>1.4288147999999997E-2</v>
      </c>
      <c r="L52" s="14">
        <f t="shared" si="38"/>
        <v>47.612871851999998</v>
      </c>
      <c r="M52" s="14">
        <f t="shared" si="39"/>
        <v>857.03169333599999</v>
      </c>
      <c r="N52" s="14">
        <f t="shared" si="11"/>
        <v>1.3448388147183328</v>
      </c>
      <c r="O52" s="174"/>
    </row>
    <row r="53" spans="1:15" s="49" customFormat="1" ht="17.25" customHeight="1" x14ac:dyDescent="0.25">
      <c r="A53" s="18" t="s">
        <v>127</v>
      </c>
      <c r="B53" s="18" t="s">
        <v>87</v>
      </c>
      <c r="C53" s="18">
        <v>7292</v>
      </c>
      <c r="D53" s="18" t="s">
        <v>34</v>
      </c>
      <c r="E53" s="51" t="s">
        <v>173</v>
      </c>
      <c r="F53" s="18" t="s">
        <v>115</v>
      </c>
      <c r="G53" s="18">
        <v>7.2</v>
      </c>
      <c r="H53" s="73">
        <v>41.3</v>
      </c>
      <c r="I53" s="14">
        <f t="shared" ref="I53" si="40">H53*0.1532</f>
        <v>6.3271600000000001</v>
      </c>
      <c r="J53" s="14">
        <f t="shared" ref="J53" si="41">H53+I53</f>
        <v>47.627159999999996</v>
      </c>
      <c r="K53" s="14">
        <f t="shared" ref="K53" si="42">J53*(0.03%)</f>
        <v>1.4288147999999997E-2</v>
      </c>
      <c r="L53" s="14">
        <f t="shared" ref="L53" si="43">J53-K53</f>
        <v>47.612871851999998</v>
      </c>
      <c r="M53" s="14">
        <f t="shared" ref="M53" si="44">L53*G53</f>
        <v>342.81267733440001</v>
      </c>
      <c r="N53" s="14">
        <f t="shared" si="11"/>
        <v>0.4</v>
      </c>
      <c r="O53" s="174"/>
    </row>
    <row r="54" spans="1:15" s="49" customFormat="1" ht="17.25" customHeight="1" x14ac:dyDescent="0.25">
      <c r="A54" s="18" t="s">
        <v>102</v>
      </c>
      <c r="B54" s="18" t="s">
        <v>87</v>
      </c>
      <c r="C54" s="60">
        <v>35692</v>
      </c>
      <c r="D54" s="60" t="s">
        <v>34</v>
      </c>
      <c r="E54" s="62" t="s">
        <v>141</v>
      </c>
      <c r="F54" s="60" t="s">
        <v>115</v>
      </c>
      <c r="G54" s="60">
        <v>18</v>
      </c>
      <c r="H54" s="79">
        <v>20.12</v>
      </c>
      <c r="I54" s="35">
        <f>H54*0.1532</f>
        <v>3.0823840000000002</v>
      </c>
      <c r="J54" s="35">
        <f>H54+I54</f>
        <v>23.202384000000002</v>
      </c>
      <c r="K54" s="35">
        <f>J54*(0.03%)</f>
        <v>6.9607152000000002E-3</v>
      </c>
      <c r="L54" s="35">
        <f>J54-K54</f>
        <v>23.1954232848</v>
      </c>
      <c r="M54" s="35">
        <f>L54*G54</f>
        <v>417.51761912640001</v>
      </c>
      <c r="N54" s="14">
        <f t="shared" si="11"/>
        <v>1.2179176755447942</v>
      </c>
      <c r="O54" s="174"/>
    </row>
    <row r="55" spans="1:15" s="49" customFormat="1" ht="17.25" customHeight="1" x14ac:dyDescent="0.25">
      <c r="A55" s="18" t="s">
        <v>91</v>
      </c>
      <c r="B55" s="18" t="s">
        <v>87</v>
      </c>
      <c r="C55" s="60">
        <v>35692</v>
      </c>
      <c r="D55" s="60" t="s">
        <v>34</v>
      </c>
      <c r="E55" s="62" t="s">
        <v>140</v>
      </c>
      <c r="F55" s="60" t="s">
        <v>115</v>
      </c>
      <c r="G55" s="60">
        <f>4*18</f>
        <v>72</v>
      </c>
      <c r="H55" s="79">
        <v>20.12</v>
      </c>
      <c r="I55" s="35">
        <f>H55*0.1532</f>
        <v>3.0823840000000002</v>
      </c>
      <c r="J55" s="35">
        <f>H55+I55</f>
        <v>23.202384000000002</v>
      </c>
      <c r="K55" s="35">
        <f>J55*(0.03%)</f>
        <v>6.9607152000000002E-3</v>
      </c>
      <c r="L55" s="35">
        <f>J55-K55</f>
        <v>23.1954232848</v>
      </c>
      <c r="M55" s="35">
        <f>L55*G55</f>
        <v>1670.0704765056</v>
      </c>
      <c r="N55" s="14">
        <f t="shared" si="11"/>
        <v>4</v>
      </c>
      <c r="O55" s="174"/>
    </row>
    <row r="56" spans="1:15" s="49" customFormat="1" ht="17.25" customHeight="1" x14ac:dyDescent="0.25">
      <c r="A56" s="18" t="s">
        <v>103</v>
      </c>
      <c r="B56" s="18" t="s">
        <v>87</v>
      </c>
      <c r="C56" s="60">
        <v>35692</v>
      </c>
      <c r="D56" s="60" t="s">
        <v>34</v>
      </c>
      <c r="E56" s="62" t="s">
        <v>142</v>
      </c>
      <c r="F56" s="60" t="s">
        <v>115</v>
      </c>
      <c r="G56" s="60">
        <v>36</v>
      </c>
      <c r="H56" s="79">
        <v>20.12</v>
      </c>
      <c r="I56" s="35">
        <f>H56*0.1532</f>
        <v>3.0823840000000002</v>
      </c>
      <c r="J56" s="35">
        <f>H56+I56</f>
        <v>23.202384000000002</v>
      </c>
      <c r="K56" s="35">
        <f>J56*(0.03%)</f>
        <v>6.9607152000000002E-3</v>
      </c>
      <c r="L56" s="35">
        <f>J56-K56</f>
        <v>23.1954232848</v>
      </c>
      <c r="M56" s="35">
        <f>L56*G56</f>
        <v>835.03523825280001</v>
      </c>
      <c r="N56" s="14">
        <f t="shared" si="11"/>
        <v>0.5</v>
      </c>
      <c r="O56" s="174"/>
    </row>
    <row r="57" spans="1:15" s="49" customFormat="1" ht="17.25" customHeight="1" x14ac:dyDescent="0.25">
      <c r="A57" s="18" t="s">
        <v>138</v>
      </c>
      <c r="B57" s="60" t="s">
        <v>87</v>
      </c>
      <c r="C57" s="60">
        <v>11414</v>
      </c>
      <c r="D57" s="60" t="s">
        <v>111</v>
      </c>
      <c r="E57" s="62" t="s">
        <v>143</v>
      </c>
      <c r="F57" s="18" t="s">
        <v>21</v>
      </c>
      <c r="G57" s="60">
        <v>100</v>
      </c>
      <c r="H57" s="79">
        <v>0.87</v>
      </c>
      <c r="I57" s="35">
        <f t="shared" ref="I57" si="45">H57*0.1532</f>
        <v>0.13328400000000001</v>
      </c>
      <c r="J57" s="35">
        <f t="shared" ref="J57" si="46">H57+I57</f>
        <v>1.0032840000000001</v>
      </c>
      <c r="K57" s="35">
        <f t="shared" ref="K57" si="47">J57*(0.03%)</f>
        <v>3.0098519999999999E-4</v>
      </c>
      <c r="L57" s="35">
        <f t="shared" ref="L57" si="48">J57-K57</f>
        <v>1.0029830148000001</v>
      </c>
      <c r="M57" s="14">
        <f t="shared" ref="M57" si="49">L57*G57</f>
        <v>100.29830148000001</v>
      </c>
      <c r="N57" s="14">
        <f t="shared" si="11"/>
        <v>0.12011265738899934</v>
      </c>
      <c r="O57" s="174"/>
    </row>
    <row r="58" spans="1:15" s="49" customFormat="1" ht="17.100000000000001" customHeight="1" x14ac:dyDescent="0.25">
      <c r="A58" s="18" t="s">
        <v>139</v>
      </c>
      <c r="B58" s="18" t="s">
        <v>87</v>
      </c>
      <c r="C58" s="11">
        <v>43651</v>
      </c>
      <c r="D58" s="18" t="s">
        <v>34</v>
      </c>
      <c r="E58" s="50" t="s">
        <v>144</v>
      </c>
      <c r="F58" s="18" t="s">
        <v>90</v>
      </c>
      <c r="G58" s="18">
        <v>46</v>
      </c>
      <c r="H58" s="75">
        <v>6.62</v>
      </c>
      <c r="I58" s="14">
        <f>H58*0.1532</f>
        <v>1.014184</v>
      </c>
      <c r="J58" s="14">
        <f>H58+I58</f>
        <v>7.6341840000000003</v>
      </c>
      <c r="K58" s="14">
        <f>J58*(0.03%)</f>
        <v>2.2902551999999998E-3</v>
      </c>
      <c r="L58" s="14">
        <f>J58-K58</f>
        <v>7.6318937448000002</v>
      </c>
      <c r="M58" s="14">
        <f>L58*G58</f>
        <v>351.0671122608</v>
      </c>
      <c r="N58" s="14">
        <f t="shared" si="11"/>
        <v>3.5002298850574709</v>
      </c>
      <c r="O58" s="174"/>
    </row>
    <row r="59" spans="1:15" s="49" customFormat="1" ht="17.25" customHeight="1" x14ac:dyDescent="0.25">
      <c r="A59" s="18" t="s">
        <v>104</v>
      </c>
      <c r="B59" s="92" t="s">
        <v>33</v>
      </c>
      <c r="C59" s="44" t="s">
        <v>108</v>
      </c>
      <c r="D59" s="44" t="s">
        <v>81</v>
      </c>
      <c r="E59" s="45" t="s">
        <v>109</v>
      </c>
      <c r="F59" s="18" t="s">
        <v>21</v>
      </c>
      <c r="G59" s="44">
        <v>3</v>
      </c>
      <c r="H59" s="80">
        <v>427.99</v>
      </c>
      <c r="I59" s="43">
        <f>H59*0.2232</f>
        <v>95.52736800000001</v>
      </c>
      <c r="J59" s="43">
        <f t="shared" ref="J59" si="50">H59+I59</f>
        <v>523.51736800000003</v>
      </c>
      <c r="K59" s="43">
        <f t="shared" ref="K59" si="51">J59*(0.03%)</f>
        <v>0.15705521040000001</v>
      </c>
      <c r="L59" s="43">
        <f t="shared" ref="L59" si="52">J59-K59</f>
        <v>523.36031278960002</v>
      </c>
      <c r="M59" s="43">
        <f t="shared" ref="M59" si="53">L59*G59</f>
        <v>1570.0809383688002</v>
      </c>
      <c r="N59" s="14">
        <f t="shared" si="11"/>
        <v>4.4723099473995207</v>
      </c>
      <c r="O59" s="174"/>
    </row>
    <row r="60" spans="1:15" s="49" customFormat="1" ht="17.25" customHeight="1" x14ac:dyDescent="0.25">
      <c r="A60" s="18"/>
      <c r="B60" s="18"/>
      <c r="C60" s="18"/>
      <c r="D60" s="18"/>
      <c r="E60" s="52"/>
      <c r="F60" s="18"/>
      <c r="G60" s="18"/>
      <c r="H60" s="40"/>
      <c r="I60" s="14"/>
      <c r="J60" s="14"/>
      <c r="K60" s="14"/>
      <c r="L60" s="14"/>
      <c r="M60" s="14"/>
      <c r="N60" s="14"/>
      <c r="O60" s="174"/>
    </row>
    <row r="61" spans="1:15" s="19" customFormat="1" ht="17.25" customHeight="1" x14ac:dyDescent="0.2">
      <c r="A61" s="18"/>
      <c r="B61" s="18"/>
      <c r="C61" s="23"/>
      <c r="D61" s="18"/>
      <c r="E61" s="24"/>
      <c r="F61" s="18"/>
      <c r="G61" s="18"/>
      <c r="H61" s="26"/>
      <c r="I61" s="14"/>
      <c r="J61" s="14"/>
      <c r="K61" s="14"/>
      <c r="L61" s="14"/>
      <c r="M61" s="14"/>
      <c r="N61" s="14"/>
      <c r="O61" s="174"/>
    </row>
    <row r="62" spans="1:15" s="27" customFormat="1" ht="17.100000000000001" customHeight="1" x14ac:dyDescent="0.25">
      <c r="A62" s="135" t="s">
        <v>16</v>
      </c>
      <c r="B62" s="128" t="s">
        <v>17</v>
      </c>
      <c r="C62" s="128" t="s">
        <v>18</v>
      </c>
      <c r="D62" s="128" t="s">
        <v>19</v>
      </c>
      <c r="E62" s="128" t="s">
        <v>20</v>
      </c>
      <c r="F62" s="128" t="s">
        <v>21</v>
      </c>
      <c r="G62" s="128" t="s">
        <v>22</v>
      </c>
      <c r="H62" s="183" t="s">
        <v>23</v>
      </c>
      <c r="I62" s="183"/>
      <c r="J62" s="183"/>
      <c r="K62" s="183"/>
      <c r="L62" s="184"/>
      <c r="M62" s="128" t="s">
        <v>24</v>
      </c>
      <c r="N62" s="128" t="s">
        <v>25</v>
      </c>
      <c r="O62" s="99"/>
    </row>
    <row r="63" spans="1:15" s="27" customFormat="1" ht="17.100000000000001" customHeight="1" x14ac:dyDescent="0.25">
      <c r="A63" s="136"/>
      <c r="B63" s="129"/>
      <c r="C63" s="129"/>
      <c r="D63" s="129"/>
      <c r="E63" s="129"/>
      <c r="F63" s="129"/>
      <c r="G63" s="129"/>
      <c r="H63" s="4" t="s">
        <v>27</v>
      </c>
      <c r="I63" s="4" t="s">
        <v>28</v>
      </c>
      <c r="J63" s="4" t="s">
        <v>29</v>
      </c>
      <c r="K63" s="4" t="s">
        <v>53</v>
      </c>
      <c r="L63" s="4" t="s">
        <v>30</v>
      </c>
      <c r="M63" s="129"/>
      <c r="N63" s="129"/>
      <c r="O63" s="99"/>
    </row>
    <row r="64" spans="1:15" s="28" customFormat="1" ht="17.100000000000001" customHeight="1" x14ac:dyDescent="0.2">
      <c r="A64" s="29">
        <v>3</v>
      </c>
      <c r="B64" s="175" t="s">
        <v>38</v>
      </c>
      <c r="C64" s="176"/>
      <c r="D64" s="176"/>
      <c r="E64" s="176"/>
      <c r="F64" s="177"/>
      <c r="G64" s="30"/>
      <c r="H64" s="30"/>
      <c r="I64" s="30"/>
      <c r="J64" s="30"/>
      <c r="K64" s="30"/>
      <c r="L64" s="30"/>
      <c r="M64" s="31">
        <f>SUM(M65:M78)</f>
        <v>48011.400914602833</v>
      </c>
      <c r="N64" s="30"/>
      <c r="O64" s="99"/>
    </row>
    <row r="65" spans="1:19" s="28" customFormat="1" ht="26.25" customHeight="1" x14ac:dyDescent="0.2">
      <c r="A65" s="32" t="s">
        <v>76</v>
      </c>
      <c r="B65" s="32" t="s">
        <v>33</v>
      </c>
      <c r="C65" s="32" t="s">
        <v>58</v>
      </c>
      <c r="D65" s="32" t="s">
        <v>34</v>
      </c>
      <c r="E65" s="33" t="s">
        <v>59</v>
      </c>
      <c r="F65" s="34" t="s">
        <v>35</v>
      </c>
      <c r="G65" s="88">
        <v>162</v>
      </c>
      <c r="H65" s="71">
        <v>32.57</v>
      </c>
      <c r="I65" s="35">
        <f>H65*0.2232</f>
        <v>7.2696240000000003</v>
      </c>
      <c r="J65" s="35">
        <f>H65+I65</f>
        <v>39.839624000000001</v>
      </c>
      <c r="K65" s="35">
        <f>J65*(0.03%)</f>
        <v>1.1951887199999999E-2</v>
      </c>
      <c r="L65" s="35">
        <f>J65-K65</f>
        <v>39.827672112800002</v>
      </c>
      <c r="M65" s="35">
        <f>L65*G65</f>
        <v>6452.0828822736003</v>
      </c>
      <c r="N65" s="35">
        <f>M65/M$16</f>
        <v>8.3403635411761531E-2</v>
      </c>
      <c r="O65" s="174"/>
    </row>
    <row r="66" spans="1:19" s="28" customFormat="1" ht="23.25" customHeight="1" x14ac:dyDescent="0.2">
      <c r="A66" s="32" t="s">
        <v>78</v>
      </c>
      <c r="B66" s="32" t="s">
        <v>33</v>
      </c>
      <c r="C66" s="32" t="s">
        <v>60</v>
      </c>
      <c r="D66" s="32" t="s">
        <v>34</v>
      </c>
      <c r="E66" s="33" t="s">
        <v>61</v>
      </c>
      <c r="F66" s="34" t="s">
        <v>35</v>
      </c>
      <c r="G66" s="88">
        <v>90</v>
      </c>
      <c r="H66" s="71">
        <v>30.38</v>
      </c>
      <c r="I66" s="35">
        <f t="shared" ref="I66" si="54">H66*0.2232</f>
        <v>6.7808159999999997</v>
      </c>
      <c r="J66" s="35">
        <f t="shared" ref="J66" si="55">H66+I66</f>
        <v>37.160815999999997</v>
      </c>
      <c r="K66" s="35">
        <f t="shared" ref="K66" si="56">J66*(0.03%)</f>
        <v>1.1148244799999998E-2</v>
      </c>
      <c r="L66" s="35">
        <f t="shared" ref="L66" si="57">J66-K66</f>
        <v>37.149667755199999</v>
      </c>
      <c r="M66" s="35">
        <f t="shared" ref="M66" si="58">L66*G66</f>
        <v>3343.4700979680001</v>
      </c>
      <c r="N66" s="35">
        <f>M66/M$16</f>
        <v>4.3219773544320182E-2</v>
      </c>
      <c r="O66" s="174"/>
    </row>
    <row r="67" spans="1:19" s="28" customFormat="1" ht="23.25" customHeight="1" x14ac:dyDescent="0.2">
      <c r="A67" s="11" t="s">
        <v>77</v>
      </c>
      <c r="B67" s="11" t="s">
        <v>33</v>
      </c>
      <c r="C67" s="11">
        <v>88310</v>
      </c>
      <c r="D67" s="11" t="s">
        <v>34</v>
      </c>
      <c r="E67" s="20" t="s">
        <v>79</v>
      </c>
      <c r="F67" s="13" t="s">
        <v>35</v>
      </c>
      <c r="G67" s="82">
        <v>167</v>
      </c>
      <c r="H67" s="71">
        <v>35.880000000000003</v>
      </c>
      <c r="I67" s="14">
        <f>H67*0.2232</f>
        <v>8.0084160000000004</v>
      </c>
      <c r="J67" s="14">
        <f>H67+I67</f>
        <v>43.888416000000007</v>
      </c>
      <c r="K67" s="14">
        <f>J67*(0.03%)</f>
        <v>1.3166524800000001E-2</v>
      </c>
      <c r="L67" s="14">
        <f>J67-K67</f>
        <v>43.875249475200008</v>
      </c>
      <c r="M67" s="14">
        <f>L67*G67</f>
        <v>7327.1666623584015</v>
      </c>
      <c r="N67" s="14">
        <f>M67/M$16</f>
        <v>9.471551250333729E-2</v>
      </c>
      <c r="O67" s="174"/>
    </row>
    <row r="68" spans="1:19" s="28" customFormat="1" ht="23.25" customHeight="1" x14ac:dyDescent="0.2">
      <c r="A68" s="11" t="s">
        <v>83</v>
      </c>
      <c r="B68" s="17" t="s">
        <v>33</v>
      </c>
      <c r="C68" s="63">
        <v>93588</v>
      </c>
      <c r="D68" s="63" t="s">
        <v>34</v>
      </c>
      <c r="E68" s="64" t="s">
        <v>145</v>
      </c>
      <c r="F68" s="65" t="s">
        <v>146</v>
      </c>
      <c r="G68" s="63">
        <f>11*17</f>
        <v>187</v>
      </c>
      <c r="H68" s="80">
        <v>3.19</v>
      </c>
      <c r="I68" s="43">
        <f t="shared" ref="I68" si="59">H68*0.2232</f>
        <v>0.71200799999999997</v>
      </c>
      <c r="J68" s="43">
        <f t="shared" ref="J68" si="60">H68+I68</f>
        <v>3.9020079999999999</v>
      </c>
      <c r="K68" s="43">
        <f t="shared" ref="K68" si="61">J68*(0.03%)</f>
        <v>1.1706023999999999E-3</v>
      </c>
      <c r="L68" s="43">
        <f t="shared" ref="L68" si="62">J68-K68</f>
        <v>3.9008373975999997</v>
      </c>
      <c r="M68" s="43">
        <f t="shared" ref="M68" si="63">L68*G68</f>
        <v>729.4565933511999</v>
      </c>
      <c r="N68" s="43">
        <f t="shared" ref="N68" si="64">M68/M67</f>
        <v>9.9555070461084486E-2</v>
      </c>
      <c r="O68" s="174"/>
    </row>
    <row r="69" spans="1:19" s="28" customFormat="1" ht="23.25" customHeight="1" x14ac:dyDescent="0.2">
      <c r="A69" s="130" t="s">
        <v>181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/>
      <c r="O69" s="174"/>
    </row>
    <row r="70" spans="1:19" s="28" customFormat="1" ht="29.25" customHeight="1" x14ac:dyDescent="0.2">
      <c r="A70" s="82" t="s">
        <v>84</v>
      </c>
      <c r="B70" s="82" t="s">
        <v>33</v>
      </c>
      <c r="C70" s="83" t="s">
        <v>193</v>
      </c>
      <c r="D70" s="83" t="s">
        <v>192</v>
      </c>
      <c r="E70" s="84" t="s">
        <v>194</v>
      </c>
      <c r="F70" s="83" t="s">
        <v>80</v>
      </c>
      <c r="G70" s="83">
        <f>(4*3.7)+(6*2)-26.8</f>
        <v>0</v>
      </c>
      <c r="H70" s="85">
        <v>222.42</v>
      </c>
      <c r="I70" s="86">
        <f t="shared" ref="I70:I71" si="65">H70*0.2232</f>
        <v>49.644143999999997</v>
      </c>
      <c r="J70" s="86">
        <f t="shared" ref="J70:J71" si="66">H70+I70</f>
        <v>272.064144</v>
      </c>
      <c r="K70" s="87">
        <f t="shared" ref="K70:K71" si="67">J70*(0.03%)</f>
        <v>8.1619243199999997E-2</v>
      </c>
      <c r="L70" s="86">
        <f t="shared" ref="L70:L71" si="68">J70-K70</f>
        <v>271.98252475679999</v>
      </c>
      <c r="M70" s="86">
        <f t="shared" ref="M70:M71" si="69">L70*G70</f>
        <v>0</v>
      </c>
      <c r="N70" s="86">
        <f>M70/J80</f>
        <v>0</v>
      </c>
      <c r="O70" s="174"/>
      <c r="P70" s="28" t="s">
        <v>188</v>
      </c>
    </row>
    <row r="71" spans="1:19" s="28" customFormat="1" ht="23.25" customHeight="1" x14ac:dyDescent="0.2">
      <c r="A71" s="11" t="s">
        <v>85</v>
      </c>
      <c r="B71" s="11" t="s">
        <v>33</v>
      </c>
      <c r="C71" s="41">
        <v>100746</v>
      </c>
      <c r="D71" s="41" t="s">
        <v>34</v>
      </c>
      <c r="E71" s="42" t="s">
        <v>82</v>
      </c>
      <c r="F71" s="41" t="s">
        <v>80</v>
      </c>
      <c r="G71" s="55">
        <f>26.8-26.8</f>
        <v>0</v>
      </c>
      <c r="H71" s="81">
        <v>29.83</v>
      </c>
      <c r="I71" s="46">
        <f t="shared" si="65"/>
        <v>6.6580560000000002</v>
      </c>
      <c r="J71" s="46">
        <f t="shared" si="66"/>
        <v>36.488056</v>
      </c>
      <c r="K71" s="47">
        <f t="shared" si="67"/>
        <v>1.0946416799999999E-2</v>
      </c>
      <c r="L71" s="46">
        <f t="shared" si="68"/>
        <v>36.477109583199997</v>
      </c>
      <c r="M71" s="46">
        <f t="shared" si="69"/>
        <v>0</v>
      </c>
      <c r="N71" s="46">
        <f>M71/M65</f>
        <v>0</v>
      </c>
      <c r="O71" s="174"/>
      <c r="P71" s="70" t="s">
        <v>189</v>
      </c>
    </row>
    <row r="72" spans="1:19" s="28" customFormat="1" ht="23.25" customHeight="1" x14ac:dyDescent="0.2">
      <c r="A72" s="48" t="s">
        <v>86</v>
      </c>
      <c r="B72" s="88" t="s">
        <v>195</v>
      </c>
      <c r="C72" s="55" t="s">
        <v>187</v>
      </c>
      <c r="D72" s="55" t="s">
        <v>192</v>
      </c>
      <c r="E72" s="56" t="s">
        <v>186</v>
      </c>
      <c r="F72" s="55" t="s">
        <v>21</v>
      </c>
      <c r="G72" s="55">
        <f>4-4</f>
        <v>0</v>
      </c>
      <c r="H72" s="89">
        <v>1446.31</v>
      </c>
      <c r="I72" s="87">
        <f>H72*0.1532</f>
        <v>221.574692</v>
      </c>
      <c r="J72" s="48">
        <f t="shared" ref="J72" si="70">H72+I72</f>
        <v>1667.8846919999999</v>
      </c>
      <c r="K72" s="48">
        <f t="shared" ref="K72" si="71">J72*(0.03%)</f>
        <v>0.50036540759999992</v>
      </c>
      <c r="L72" s="48">
        <f t="shared" ref="L72" si="72">J72-K72</f>
        <v>1667.3843265923999</v>
      </c>
      <c r="M72" s="48">
        <f t="shared" ref="M72" si="73">L72*G72</f>
        <v>0</v>
      </c>
      <c r="N72" s="35">
        <f t="shared" ref="N72" si="74">M72/M$16</f>
        <v>0</v>
      </c>
      <c r="O72" s="174"/>
      <c r="P72" s="70" t="s">
        <v>190</v>
      </c>
    </row>
    <row r="73" spans="1:19" s="28" customFormat="1" ht="23.25" customHeight="1" x14ac:dyDescent="0.2">
      <c r="A73" s="130" t="s">
        <v>164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/>
      <c r="O73" s="174"/>
      <c r="P73" s="28" t="s">
        <v>191</v>
      </c>
    </row>
    <row r="74" spans="1:19" s="28" customFormat="1" ht="23.25" customHeight="1" x14ac:dyDescent="0.2">
      <c r="A74" s="48" t="s">
        <v>196</v>
      </c>
      <c r="B74" s="32" t="s">
        <v>33</v>
      </c>
      <c r="C74" s="41">
        <v>102161</v>
      </c>
      <c r="D74" s="41" t="s">
        <v>34</v>
      </c>
      <c r="E74" s="66" t="s">
        <v>165</v>
      </c>
      <c r="F74" s="41" t="s">
        <v>80</v>
      </c>
      <c r="G74" s="41">
        <v>8.25</v>
      </c>
      <c r="H74" s="90">
        <v>297.45</v>
      </c>
      <c r="I74" s="48">
        <f t="shared" ref="I74" si="75">H74*0.2232</f>
        <v>66.390839999999997</v>
      </c>
      <c r="J74" s="48">
        <f t="shared" ref="J74" si="76">H74+I74</f>
        <v>363.84083999999996</v>
      </c>
      <c r="K74" s="48">
        <f t="shared" ref="K74" si="77">J74*(0.03%)</f>
        <v>0.10915225199999998</v>
      </c>
      <c r="L74" s="48">
        <f t="shared" ref="L74" si="78">J74-K74</f>
        <v>363.73168774799996</v>
      </c>
      <c r="M74" s="48">
        <f t="shared" ref="M74" si="79">L74*G74</f>
        <v>3000.7864239209998</v>
      </c>
      <c r="N74" s="35">
        <f t="shared" ref="N74" si="80">M74/M$16</f>
        <v>3.8790031283832134E-2</v>
      </c>
      <c r="O74" s="174"/>
    </row>
    <row r="75" spans="1:19" s="28" customFormat="1" ht="23.25" customHeight="1" x14ac:dyDescent="0.2">
      <c r="A75" s="130" t="s">
        <v>147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/>
      <c r="O75" s="174"/>
    </row>
    <row r="76" spans="1:19" s="28" customFormat="1" ht="23.25" customHeight="1" x14ac:dyDescent="0.2">
      <c r="A76" s="11" t="s">
        <v>197</v>
      </c>
      <c r="B76" s="11" t="s">
        <v>33</v>
      </c>
      <c r="C76" s="41">
        <v>100701</v>
      </c>
      <c r="D76" s="41" t="s">
        <v>34</v>
      </c>
      <c r="E76" s="42" t="s">
        <v>184</v>
      </c>
      <c r="F76" s="41" t="s">
        <v>80</v>
      </c>
      <c r="G76" s="41">
        <f>(3*3*1.5) + (2*3.2*1.5)</f>
        <v>23.1</v>
      </c>
      <c r="H76" s="81">
        <v>566.45000000000005</v>
      </c>
      <c r="I76" s="46">
        <f t="shared" ref="I76:I78" si="81">H76*0.2232</f>
        <v>126.43164000000002</v>
      </c>
      <c r="J76" s="46">
        <f t="shared" ref="J76:J78" si="82">H76+I76</f>
        <v>692.88164000000006</v>
      </c>
      <c r="K76" s="47">
        <f t="shared" ref="K76:K78" si="83">J76*(0.03%)</f>
        <v>0.20786449200000001</v>
      </c>
      <c r="L76" s="46">
        <f t="shared" ref="L76:L78" si="84">J76-K76</f>
        <v>692.67377550800006</v>
      </c>
      <c r="M76" s="46">
        <f t="shared" ref="M76:M78" si="85">L76*G76</f>
        <v>16000.764214234803</v>
      </c>
      <c r="N76" s="46">
        <f>M76/J80</f>
        <v>0.1110641830913412</v>
      </c>
      <c r="O76" s="174"/>
      <c r="P76" s="69" t="s">
        <v>183</v>
      </c>
    </row>
    <row r="77" spans="1:19" s="28" customFormat="1" ht="23.25" customHeight="1" x14ac:dyDescent="0.2">
      <c r="A77" s="11" t="s">
        <v>198</v>
      </c>
      <c r="B77" s="11" t="s">
        <v>33</v>
      </c>
      <c r="C77" s="41" t="s">
        <v>148</v>
      </c>
      <c r="D77" s="41" t="s">
        <v>81</v>
      </c>
      <c r="E77" s="66" t="s">
        <v>149</v>
      </c>
      <c r="F77" s="41" t="s">
        <v>80</v>
      </c>
      <c r="G77" s="41">
        <v>5</v>
      </c>
      <c r="H77" s="91">
        <v>1549.26</v>
      </c>
      <c r="I77" s="46">
        <f t="shared" si="81"/>
        <v>345.79483199999999</v>
      </c>
      <c r="J77" s="46">
        <f t="shared" si="82"/>
        <v>1895.054832</v>
      </c>
      <c r="K77" s="47">
        <f t="shared" si="83"/>
        <v>0.56851644959999992</v>
      </c>
      <c r="L77" s="46">
        <f t="shared" si="84"/>
        <v>1894.4863155503999</v>
      </c>
      <c r="M77" s="46">
        <f t="shared" si="85"/>
        <v>9472.4315777519987</v>
      </c>
      <c r="N77" s="46">
        <f>M77/J80</f>
        <v>6.5749851756187611E-2</v>
      </c>
      <c r="O77" s="174"/>
      <c r="P77" s="69" t="s">
        <v>182</v>
      </c>
    </row>
    <row r="78" spans="1:19" s="28" customFormat="1" ht="23.25" customHeight="1" x14ac:dyDescent="0.2">
      <c r="A78" s="11" t="s">
        <v>199</v>
      </c>
      <c r="B78" s="11" t="s">
        <v>33</v>
      </c>
      <c r="C78" s="41">
        <v>100746</v>
      </c>
      <c r="D78" s="41" t="s">
        <v>34</v>
      </c>
      <c r="E78" s="42" t="s">
        <v>82</v>
      </c>
      <c r="F78" s="41" t="s">
        <v>80</v>
      </c>
      <c r="G78" s="41">
        <f>G76*2</f>
        <v>46.2</v>
      </c>
      <c r="H78" s="81">
        <v>29.83</v>
      </c>
      <c r="I78" s="46">
        <f t="shared" si="81"/>
        <v>6.6580560000000002</v>
      </c>
      <c r="J78" s="46">
        <f t="shared" si="82"/>
        <v>36.488056</v>
      </c>
      <c r="K78" s="47">
        <f t="shared" si="83"/>
        <v>1.0946416799999999E-2</v>
      </c>
      <c r="L78" s="46">
        <f t="shared" si="84"/>
        <v>36.477109583199997</v>
      </c>
      <c r="M78" s="46">
        <f t="shared" si="85"/>
        <v>1685.24246274384</v>
      </c>
      <c r="N78" s="46">
        <f>M78/J80</f>
        <v>1.1697571124069935E-2</v>
      </c>
      <c r="O78" s="174"/>
      <c r="S78" s="28">
        <f>6*8.6</f>
        <v>51.599999999999994</v>
      </c>
    </row>
    <row r="79" spans="1:19" s="39" customFormat="1" ht="17.100000000000001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174"/>
    </row>
    <row r="80" spans="1:19" s="39" customFormat="1" ht="17.100000000000001" customHeight="1" x14ac:dyDescent="0.2">
      <c r="A80" s="178"/>
      <c r="B80" s="179"/>
      <c r="C80" s="179"/>
      <c r="D80" s="179"/>
      <c r="E80" s="179"/>
      <c r="F80" s="179"/>
      <c r="G80" s="179"/>
      <c r="H80" s="37" t="s">
        <v>39</v>
      </c>
      <c r="I80" s="38"/>
      <c r="J80" s="180">
        <f>M16+M31+M64</f>
        <v>144067.72524564003</v>
      </c>
      <c r="K80" s="181"/>
      <c r="L80" s="181"/>
      <c r="M80" s="181"/>
      <c r="N80" s="182"/>
      <c r="O80" s="99"/>
    </row>
    <row r="81" spans="1:15" ht="17.100000000000001" customHeight="1" x14ac:dyDescent="0.25">
      <c r="A81" s="141" t="s">
        <v>105</v>
      </c>
      <c r="B81" s="104"/>
      <c r="C81" s="104"/>
      <c r="D81" s="104"/>
      <c r="E81" s="104"/>
      <c r="F81" s="104"/>
      <c r="G81" s="104"/>
      <c r="H81" s="101"/>
      <c r="I81" s="101"/>
      <c r="J81" s="101"/>
      <c r="K81" s="101"/>
      <c r="L81" s="101"/>
      <c r="M81" s="101"/>
      <c r="N81" s="102"/>
      <c r="O81" s="99"/>
    </row>
    <row r="82" spans="1:15" ht="17.100000000000001" customHeight="1" x14ac:dyDescent="0.25">
      <c r="A82" s="103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5"/>
      <c r="O82" s="99"/>
    </row>
    <row r="83" spans="1:15" ht="17.100000000000001" customHeight="1" x14ac:dyDescent="0.25">
      <c r="A83" s="103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5"/>
      <c r="O83" s="99"/>
    </row>
    <row r="84" spans="1:15" ht="17.100000000000001" customHeight="1" x14ac:dyDescent="0.25">
      <c r="A84" s="103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5"/>
      <c r="O84" s="99"/>
    </row>
    <row r="85" spans="1:15" ht="17.100000000000001" customHeight="1" x14ac:dyDescent="0.25">
      <c r="A85" s="103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5"/>
      <c r="O85" s="99"/>
    </row>
    <row r="86" spans="1:15" ht="17.100000000000001" customHeight="1" x14ac:dyDescent="0.25">
      <c r="A86" s="103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5"/>
      <c r="O86" s="99"/>
    </row>
    <row r="87" spans="1:15" ht="17.100000000000001" customHeight="1" x14ac:dyDescent="0.25">
      <c r="A87" s="106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8"/>
      <c r="O87" s="99"/>
    </row>
    <row r="88" spans="1:15" ht="17.100000000000001" customHeight="1" x14ac:dyDescent="0.25">
      <c r="A88" s="154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55"/>
    </row>
    <row r="89" spans="1:15" ht="17.100000000000001" customHeight="1" x14ac:dyDescent="0.25">
      <c r="A89" s="156" t="s">
        <v>40</v>
      </c>
      <c r="B89" s="157"/>
      <c r="C89" s="157"/>
      <c r="D89" s="157"/>
      <c r="E89" s="157"/>
      <c r="F89" s="157"/>
      <c r="G89" s="158" t="s">
        <v>41</v>
      </c>
      <c r="H89" s="158"/>
      <c r="I89" s="158"/>
      <c r="J89" s="158"/>
      <c r="K89" s="159"/>
      <c r="L89" s="160"/>
      <c r="M89" s="160"/>
      <c r="N89" s="161"/>
      <c r="O89" s="99" t="s">
        <v>42</v>
      </c>
    </row>
    <row r="90" spans="1:15" ht="17.100000000000001" customHeight="1" x14ac:dyDescent="0.25">
      <c r="A90" s="166" t="s">
        <v>43</v>
      </c>
      <c r="B90" s="167"/>
      <c r="C90" s="167"/>
      <c r="D90" s="167"/>
      <c r="E90" s="167"/>
      <c r="F90" s="168"/>
      <c r="G90" s="172" t="s">
        <v>44</v>
      </c>
      <c r="H90" s="167"/>
      <c r="I90" s="167"/>
      <c r="J90" s="168"/>
      <c r="K90" s="162"/>
      <c r="L90" s="163"/>
      <c r="M90" s="163"/>
      <c r="N90" s="164"/>
      <c r="O90" s="99"/>
    </row>
    <row r="91" spans="1:15" ht="17.100000000000001" customHeight="1" x14ac:dyDescent="0.25">
      <c r="A91" s="169"/>
      <c r="B91" s="170"/>
      <c r="C91" s="170"/>
      <c r="D91" s="170"/>
      <c r="E91" s="170"/>
      <c r="F91" s="171"/>
      <c r="G91" s="173"/>
      <c r="H91" s="170"/>
      <c r="I91" s="170"/>
      <c r="J91" s="171"/>
      <c r="K91" s="162"/>
      <c r="L91" s="163"/>
      <c r="M91" s="163"/>
      <c r="N91" s="164"/>
      <c r="O91" s="99"/>
    </row>
    <row r="92" spans="1:15" ht="17.100000000000001" customHeight="1" x14ac:dyDescent="0.25">
      <c r="A92" s="169"/>
      <c r="B92" s="170"/>
      <c r="C92" s="170"/>
      <c r="D92" s="170"/>
      <c r="E92" s="170"/>
      <c r="F92" s="171"/>
      <c r="G92" s="173"/>
      <c r="H92" s="170"/>
      <c r="I92" s="170"/>
      <c r="J92" s="171"/>
      <c r="K92" s="162"/>
      <c r="L92" s="163"/>
      <c r="M92" s="163"/>
      <c r="N92" s="164"/>
      <c r="O92" s="99"/>
    </row>
    <row r="93" spans="1:15" ht="17.100000000000001" customHeight="1" x14ac:dyDescent="0.25">
      <c r="A93" s="169"/>
      <c r="B93" s="170"/>
      <c r="C93" s="170"/>
      <c r="D93" s="170"/>
      <c r="E93" s="170"/>
      <c r="F93" s="171"/>
      <c r="G93" s="173"/>
      <c r="H93" s="170"/>
      <c r="I93" s="170"/>
      <c r="J93" s="171"/>
      <c r="K93" s="162"/>
      <c r="L93" s="163"/>
      <c r="M93" s="163"/>
      <c r="N93" s="164"/>
      <c r="O93" s="99"/>
    </row>
    <row r="94" spans="1:15" ht="17.100000000000001" customHeight="1" x14ac:dyDescent="0.25">
      <c r="A94" s="169"/>
      <c r="B94" s="170"/>
      <c r="C94" s="170"/>
      <c r="D94" s="170"/>
      <c r="E94" s="170"/>
      <c r="F94" s="171"/>
      <c r="G94" s="173"/>
      <c r="H94" s="170"/>
      <c r="I94" s="170"/>
      <c r="J94" s="171"/>
      <c r="K94" s="162"/>
      <c r="L94" s="163"/>
      <c r="M94" s="163"/>
      <c r="N94" s="164"/>
      <c r="O94" s="99"/>
    </row>
    <row r="95" spans="1:15" ht="17.100000000000001" customHeight="1" x14ac:dyDescent="0.25">
      <c r="A95" s="169"/>
      <c r="B95" s="170"/>
      <c r="C95" s="170"/>
      <c r="D95" s="170"/>
      <c r="E95" s="170"/>
      <c r="F95" s="171"/>
      <c r="G95" s="173"/>
      <c r="H95" s="170"/>
      <c r="I95" s="170"/>
      <c r="J95" s="171"/>
      <c r="K95" s="162"/>
      <c r="L95" s="163"/>
      <c r="M95" s="163"/>
      <c r="N95" s="164"/>
      <c r="O95" s="99"/>
    </row>
    <row r="96" spans="1:15" ht="17.100000000000001" customHeight="1" x14ac:dyDescent="0.25">
      <c r="A96" s="169"/>
      <c r="B96" s="170"/>
      <c r="C96" s="170"/>
      <c r="D96" s="170"/>
      <c r="E96" s="170"/>
      <c r="F96" s="171"/>
      <c r="G96" s="173"/>
      <c r="H96" s="170"/>
      <c r="I96" s="170"/>
      <c r="J96" s="171"/>
      <c r="K96" s="162"/>
      <c r="L96" s="163"/>
      <c r="M96" s="163"/>
      <c r="N96" s="164"/>
      <c r="O96" s="99"/>
    </row>
    <row r="97" spans="1:19" ht="17.100000000000001" customHeight="1" thickBot="1" x14ac:dyDescent="0.3">
      <c r="A97" s="169"/>
      <c r="B97" s="170"/>
      <c r="C97" s="170"/>
      <c r="D97" s="170"/>
      <c r="E97" s="170"/>
      <c r="F97" s="171"/>
      <c r="G97" s="173"/>
      <c r="H97" s="170"/>
      <c r="I97" s="170"/>
      <c r="J97" s="171"/>
      <c r="K97" s="162"/>
      <c r="L97" s="163"/>
      <c r="M97" s="163"/>
      <c r="N97" s="164"/>
      <c r="O97" s="165"/>
    </row>
    <row r="98" spans="1:19" ht="17.100000000000001" customHeight="1" thickBot="1" x14ac:dyDescent="0.3">
      <c r="A98" s="138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40"/>
    </row>
    <row r="99" spans="1:19" ht="17.100000000000001" customHeight="1" x14ac:dyDescent="0.25">
      <c r="A99" s="141" t="s">
        <v>45</v>
      </c>
      <c r="B99" s="104"/>
      <c r="C99" s="104"/>
      <c r="D99" s="105"/>
      <c r="E99" s="142" t="s">
        <v>46</v>
      </c>
      <c r="F99" s="104"/>
      <c r="G99" s="104"/>
      <c r="H99" s="104"/>
      <c r="I99" s="104"/>
      <c r="J99" s="104"/>
      <c r="K99" s="144" t="s">
        <v>47</v>
      </c>
      <c r="L99" s="145"/>
      <c r="M99" s="145"/>
      <c r="N99" s="145"/>
      <c r="O99" s="149" t="s">
        <v>48</v>
      </c>
    </row>
    <row r="100" spans="1:19" ht="17.100000000000001" customHeight="1" x14ac:dyDescent="0.25">
      <c r="A100" s="106"/>
      <c r="B100" s="107"/>
      <c r="C100" s="107"/>
      <c r="D100" s="108"/>
      <c r="E100" s="143"/>
      <c r="F100" s="107"/>
      <c r="G100" s="107"/>
      <c r="H100" s="107"/>
      <c r="I100" s="107"/>
      <c r="J100" s="107"/>
      <c r="K100" s="146"/>
      <c r="L100" s="145"/>
      <c r="M100" s="145"/>
      <c r="N100" s="145"/>
      <c r="O100" s="150"/>
    </row>
    <row r="101" spans="1:19" ht="17.100000000000001" customHeight="1" x14ac:dyDescent="0.25">
      <c r="A101" s="100" t="s">
        <v>49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46"/>
      <c r="L101" s="145"/>
      <c r="M101" s="145"/>
      <c r="N101" s="145"/>
      <c r="O101" s="150"/>
    </row>
    <row r="102" spans="1:19" ht="17.100000000000001" customHeight="1" x14ac:dyDescent="0.25">
      <c r="A102" s="103"/>
      <c r="B102" s="104"/>
      <c r="C102" s="104"/>
      <c r="D102" s="104"/>
      <c r="E102" s="104"/>
      <c r="F102" s="104"/>
      <c r="G102" s="104"/>
      <c r="H102" s="104"/>
      <c r="I102" s="104"/>
      <c r="J102" s="104"/>
      <c r="K102" s="146"/>
      <c r="L102" s="145"/>
      <c r="M102" s="145"/>
      <c r="N102" s="145"/>
      <c r="O102" s="150"/>
    </row>
    <row r="103" spans="1:19" ht="17.100000000000001" customHeight="1" x14ac:dyDescent="0.25">
      <c r="A103" s="103"/>
      <c r="B103" s="104"/>
      <c r="C103" s="104"/>
      <c r="D103" s="104"/>
      <c r="E103" s="104"/>
      <c r="F103" s="104"/>
      <c r="G103" s="104"/>
      <c r="H103" s="104"/>
      <c r="I103" s="104"/>
      <c r="J103" s="104"/>
      <c r="K103" s="146"/>
      <c r="L103" s="145"/>
      <c r="M103" s="145"/>
      <c r="N103" s="145"/>
      <c r="O103" s="150"/>
    </row>
    <row r="104" spans="1:19" ht="17.100000000000001" customHeight="1" x14ac:dyDescent="0.25">
      <c r="A104" s="103"/>
      <c r="B104" s="104"/>
      <c r="C104" s="104"/>
      <c r="D104" s="104"/>
      <c r="E104" s="104"/>
      <c r="F104" s="104"/>
      <c r="G104" s="104"/>
      <c r="H104" s="104"/>
      <c r="I104" s="104"/>
      <c r="J104" s="104"/>
      <c r="K104" s="146"/>
      <c r="L104" s="145"/>
      <c r="M104" s="145"/>
      <c r="N104" s="145"/>
      <c r="O104" s="150"/>
    </row>
    <row r="105" spans="1:19" ht="17.100000000000001" customHeight="1" thickBot="1" x14ac:dyDescent="0.3">
      <c r="A105" s="152"/>
      <c r="B105" s="153"/>
      <c r="C105" s="153"/>
      <c r="D105" s="153"/>
      <c r="E105" s="153"/>
      <c r="F105" s="153"/>
      <c r="G105" s="153"/>
      <c r="H105" s="153"/>
      <c r="I105" s="153"/>
      <c r="J105" s="153"/>
      <c r="K105" s="147"/>
      <c r="L105" s="148"/>
      <c r="M105" s="148"/>
      <c r="N105" s="148"/>
      <c r="O105" s="151"/>
    </row>
    <row r="106" spans="1:19" ht="14.1" customHeight="1" x14ac:dyDescent="0.25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</row>
    <row r="107" spans="1:19" ht="14.1" customHeight="1" x14ac:dyDescent="0.25"/>
    <row r="108" spans="1:19" ht="14.1" customHeight="1" x14ac:dyDescent="0.25"/>
    <row r="109" spans="1:19" ht="14.1" customHeight="1" x14ac:dyDescent="0.25"/>
  </sheetData>
  <sortState xmlns:xlrd2="http://schemas.microsoft.com/office/spreadsheetml/2017/richdata2" ref="A32:N76">
    <sortCondition ref="E32:E76"/>
  </sortState>
  <mergeCells count="75">
    <mergeCell ref="O14:O87"/>
    <mergeCell ref="A29:A30"/>
    <mergeCell ref="B29:B30"/>
    <mergeCell ref="C29:C30"/>
    <mergeCell ref="D29:D30"/>
    <mergeCell ref="E29:E30"/>
    <mergeCell ref="F29:F30"/>
    <mergeCell ref="G29:G30"/>
    <mergeCell ref="B64:F64"/>
    <mergeCell ref="A80:G80"/>
    <mergeCell ref="J80:N80"/>
    <mergeCell ref="A81:N87"/>
    <mergeCell ref="E62:E63"/>
    <mergeCell ref="F62:F63"/>
    <mergeCell ref="G62:G63"/>
    <mergeCell ref="H62:L62"/>
    <mergeCell ref="A88:O88"/>
    <mergeCell ref="A89:F89"/>
    <mergeCell ref="G89:J89"/>
    <mergeCell ref="K89:N97"/>
    <mergeCell ref="O89:O97"/>
    <mergeCell ref="A90:F97"/>
    <mergeCell ref="G90:J97"/>
    <mergeCell ref="A106:J106"/>
    <mergeCell ref="K106:S106"/>
    <mergeCell ref="A98:O98"/>
    <mergeCell ref="A99:D100"/>
    <mergeCell ref="E99:J100"/>
    <mergeCell ref="K99:N105"/>
    <mergeCell ref="O99:O105"/>
    <mergeCell ref="A101:J105"/>
    <mergeCell ref="M62:M63"/>
    <mergeCell ref="A69:N69"/>
    <mergeCell ref="A73:N73"/>
    <mergeCell ref="A75:N75"/>
    <mergeCell ref="H29:L29"/>
    <mergeCell ref="M29:M30"/>
    <mergeCell ref="N29:N30"/>
    <mergeCell ref="B31:F31"/>
    <mergeCell ref="A62:A63"/>
    <mergeCell ref="B62:B63"/>
    <mergeCell ref="C62:C63"/>
    <mergeCell ref="D62:D63"/>
    <mergeCell ref="N62:N63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hyperlinks>
    <hyperlink ref="E32" r:id="rId1" display="VALVULA DE DESCARGA EM METAL CROMADO PARA MICTORIO COM ACIONAMENTO POR PRESSAO E FECHAMENTO AUTOMATICO" xr:uid="{00000000-0004-0000-0000-000000000000}"/>
    <hyperlink ref="E45" r:id="rId2" display="VALVULA DE DESCARGA EM METAL CROMADO PARA MICTORIO COM ACIONAMENTO POR PRESSAO E FECHAMENTO AUTOMATICO" xr:uid="{00000000-0004-0000-0000-000001000000}"/>
  </hyperlinks>
  <pageMargins left="0.25" right="0.25" top="0.75" bottom="0.75" header="0.3" footer="0.3"/>
  <pageSetup paperSize="9" scale="53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I23"/>
  <sheetViews>
    <sheetView topLeftCell="A7" workbookViewId="0">
      <selection activeCell="J29" sqref="J29"/>
    </sheetView>
  </sheetViews>
  <sheetFormatPr defaultRowHeight="15" x14ac:dyDescent="0.25"/>
  <cols>
    <col min="4" max="8" width="18.7109375" customWidth="1"/>
    <col min="9" max="9" width="26.42578125" bestFit="1" customWidth="1"/>
  </cols>
  <sheetData>
    <row r="2" spans="4:9" x14ac:dyDescent="0.25">
      <c r="D2" s="57"/>
      <c r="E2" s="185" t="s">
        <v>121</v>
      </c>
      <c r="F2" s="185"/>
      <c r="G2" s="185"/>
      <c r="H2" s="185"/>
    </row>
    <row r="3" spans="4:9" x14ac:dyDescent="0.25">
      <c r="D3" s="58" t="s">
        <v>116</v>
      </c>
      <c r="E3" s="58" t="s">
        <v>117</v>
      </c>
      <c r="F3" s="58" t="s">
        <v>118</v>
      </c>
      <c r="G3" s="58" t="s">
        <v>119</v>
      </c>
      <c r="H3" s="58" t="s">
        <v>80</v>
      </c>
      <c r="I3" s="58" t="s">
        <v>160</v>
      </c>
    </row>
    <row r="4" spans="4:9" x14ac:dyDescent="0.25">
      <c r="D4" s="57" t="s">
        <v>150</v>
      </c>
      <c r="E4" s="57">
        <v>1</v>
      </c>
      <c r="F4" s="57">
        <v>50</v>
      </c>
      <c r="G4" s="57">
        <v>21</v>
      </c>
      <c r="H4" s="57">
        <f>E4*F4*G4/10000</f>
        <v>0.105</v>
      </c>
      <c r="I4" s="57"/>
    </row>
    <row r="5" spans="4:9" x14ac:dyDescent="0.25">
      <c r="D5" s="57" t="s">
        <v>151</v>
      </c>
      <c r="E5" s="57">
        <v>3</v>
      </c>
      <c r="F5" s="57">
        <v>75</v>
      </c>
      <c r="G5" s="57">
        <v>18</v>
      </c>
      <c r="H5" s="57">
        <f t="shared" ref="H5:H22" si="0">E5*F5*G5/10000</f>
        <v>0.40500000000000003</v>
      </c>
      <c r="I5" s="57"/>
    </row>
    <row r="6" spans="4:9" x14ac:dyDescent="0.25">
      <c r="D6" s="57" t="s">
        <v>152</v>
      </c>
      <c r="E6" s="57">
        <v>2</v>
      </c>
      <c r="F6" s="57">
        <v>86</v>
      </c>
      <c r="G6" s="57">
        <v>25</v>
      </c>
      <c r="H6" s="57">
        <f t="shared" si="0"/>
        <v>0.43</v>
      </c>
      <c r="I6" s="57" t="s">
        <v>153</v>
      </c>
    </row>
    <row r="7" spans="4:9" x14ac:dyDescent="0.25">
      <c r="D7" s="57" t="s">
        <v>154</v>
      </c>
      <c r="E7" s="57">
        <v>1</v>
      </c>
      <c r="F7" s="57">
        <v>66</v>
      </c>
      <c r="G7" s="57">
        <v>20</v>
      </c>
      <c r="H7" s="57">
        <f t="shared" si="0"/>
        <v>0.13200000000000001</v>
      </c>
      <c r="I7" s="57"/>
    </row>
    <row r="8" spans="4:9" x14ac:dyDescent="0.25">
      <c r="D8" s="57" t="s">
        <v>155</v>
      </c>
      <c r="E8" s="57">
        <v>1</v>
      </c>
      <c r="F8" s="57">
        <v>69</v>
      </c>
      <c r="G8" s="57">
        <v>71</v>
      </c>
      <c r="H8" s="57">
        <f t="shared" si="0"/>
        <v>0.4899</v>
      </c>
      <c r="I8" s="57"/>
    </row>
    <row r="9" spans="4:9" x14ac:dyDescent="0.25">
      <c r="D9" s="57" t="s">
        <v>156</v>
      </c>
      <c r="E9" s="57">
        <v>3</v>
      </c>
      <c r="F9" s="57">
        <v>115</v>
      </c>
      <c r="G9" s="57">
        <v>80</v>
      </c>
      <c r="H9" s="57">
        <f t="shared" si="0"/>
        <v>2.76</v>
      </c>
      <c r="I9" s="57" t="s">
        <v>157</v>
      </c>
    </row>
    <row r="10" spans="4:9" x14ac:dyDescent="0.25">
      <c r="D10" s="57" t="s">
        <v>156</v>
      </c>
      <c r="E10" s="57">
        <v>2</v>
      </c>
      <c r="F10" s="57">
        <v>78</v>
      </c>
      <c r="G10" s="57">
        <v>87</v>
      </c>
      <c r="H10" s="57">
        <f t="shared" si="0"/>
        <v>1.3572</v>
      </c>
      <c r="I10" s="57" t="s">
        <v>157</v>
      </c>
    </row>
    <row r="11" spans="4:9" x14ac:dyDescent="0.25">
      <c r="D11" s="57" t="s">
        <v>158</v>
      </c>
      <c r="E11" s="57">
        <v>1</v>
      </c>
      <c r="F11" s="57">
        <v>40</v>
      </c>
      <c r="G11" s="57">
        <v>88</v>
      </c>
      <c r="H11" s="57">
        <f t="shared" si="0"/>
        <v>0.35199999999999998</v>
      </c>
      <c r="I11" s="57" t="s">
        <v>159</v>
      </c>
    </row>
    <row r="12" spans="4:9" x14ac:dyDescent="0.25">
      <c r="D12" s="57" t="s">
        <v>161</v>
      </c>
      <c r="E12" s="57">
        <v>6</v>
      </c>
      <c r="F12" s="57">
        <v>60.5</v>
      </c>
      <c r="G12" s="57">
        <v>18</v>
      </c>
      <c r="H12" s="57">
        <f t="shared" si="0"/>
        <v>0.65339999999999998</v>
      </c>
      <c r="I12" s="57" t="s">
        <v>162</v>
      </c>
    </row>
    <row r="13" spans="4:9" x14ac:dyDescent="0.25">
      <c r="D13" s="57" t="s">
        <v>161</v>
      </c>
      <c r="E13" s="57">
        <v>3</v>
      </c>
      <c r="F13" s="57">
        <v>19</v>
      </c>
      <c r="G13" s="57">
        <v>19</v>
      </c>
      <c r="H13" s="57">
        <f t="shared" si="0"/>
        <v>0.10829999999999999</v>
      </c>
      <c r="I13" s="57"/>
    </row>
    <row r="14" spans="4:9" x14ac:dyDescent="0.25">
      <c r="D14" s="57" t="s">
        <v>161</v>
      </c>
      <c r="E14" s="57">
        <v>2</v>
      </c>
      <c r="F14" s="57">
        <v>63</v>
      </c>
      <c r="G14" s="57">
        <v>18.5</v>
      </c>
      <c r="H14" s="57">
        <f t="shared" si="0"/>
        <v>0.2331</v>
      </c>
      <c r="I14" s="57"/>
    </row>
    <row r="15" spans="4:9" x14ac:dyDescent="0.25">
      <c r="D15" s="57" t="s">
        <v>161</v>
      </c>
      <c r="E15" s="57">
        <v>2</v>
      </c>
      <c r="F15" s="57">
        <v>67</v>
      </c>
      <c r="G15" s="57">
        <v>17.5</v>
      </c>
      <c r="H15" s="57">
        <f t="shared" si="0"/>
        <v>0.23449999999999999</v>
      </c>
      <c r="I15" s="57"/>
    </row>
    <row r="16" spans="4:9" x14ac:dyDescent="0.25">
      <c r="D16" s="57" t="s">
        <v>161</v>
      </c>
      <c r="E16" s="57">
        <v>1</v>
      </c>
      <c r="F16" s="57">
        <v>86.5</v>
      </c>
      <c r="G16" s="57">
        <v>17.5</v>
      </c>
      <c r="H16" s="57">
        <f t="shared" si="0"/>
        <v>0.15137500000000001</v>
      </c>
      <c r="I16" s="57"/>
    </row>
    <row r="17" spans="4:9" x14ac:dyDescent="0.25">
      <c r="D17" s="57" t="s">
        <v>161</v>
      </c>
      <c r="E17" s="57">
        <v>1</v>
      </c>
      <c r="F17" s="57">
        <v>62.5</v>
      </c>
      <c r="G17" s="57">
        <v>18</v>
      </c>
      <c r="H17" s="57">
        <f t="shared" si="0"/>
        <v>0.1125</v>
      </c>
      <c r="I17" s="57"/>
    </row>
    <row r="18" spans="4:9" x14ac:dyDescent="0.25">
      <c r="D18" s="57" t="s">
        <v>161</v>
      </c>
      <c r="E18" s="57">
        <v>1</v>
      </c>
      <c r="F18" s="57">
        <v>57</v>
      </c>
      <c r="G18" s="57">
        <v>18</v>
      </c>
      <c r="H18" s="57">
        <f t="shared" si="0"/>
        <v>0.1026</v>
      </c>
      <c r="I18" s="57"/>
    </row>
    <row r="19" spans="4:9" x14ac:dyDescent="0.25">
      <c r="D19" s="57" t="s">
        <v>161</v>
      </c>
      <c r="E19" s="57">
        <v>1</v>
      </c>
      <c r="F19" s="57">
        <v>87</v>
      </c>
      <c r="G19" s="57">
        <v>22.5</v>
      </c>
      <c r="H19" s="57">
        <f t="shared" si="0"/>
        <v>0.19575000000000001</v>
      </c>
      <c r="I19" s="57"/>
    </row>
    <row r="20" spans="4:9" x14ac:dyDescent="0.25">
      <c r="D20" s="57" t="s">
        <v>161</v>
      </c>
      <c r="E20" s="57">
        <v>1</v>
      </c>
      <c r="F20" s="57">
        <v>49</v>
      </c>
      <c r="G20" s="57">
        <v>21</v>
      </c>
      <c r="H20" s="57">
        <f t="shared" si="0"/>
        <v>0.10290000000000001</v>
      </c>
      <c r="I20" s="57"/>
    </row>
    <row r="21" spans="4:9" x14ac:dyDescent="0.25">
      <c r="D21" s="57" t="s">
        <v>161</v>
      </c>
      <c r="E21" s="57">
        <v>1</v>
      </c>
      <c r="F21" s="57">
        <v>49</v>
      </c>
      <c r="G21" s="57">
        <v>19</v>
      </c>
      <c r="H21" s="57">
        <f t="shared" si="0"/>
        <v>9.3100000000000002E-2</v>
      </c>
      <c r="I21" s="57"/>
    </row>
    <row r="22" spans="4:9" x14ac:dyDescent="0.25">
      <c r="D22" s="57" t="s">
        <v>163</v>
      </c>
      <c r="E22" s="57">
        <v>2</v>
      </c>
      <c r="F22" s="57">
        <v>75</v>
      </c>
      <c r="G22" s="57">
        <v>15.5</v>
      </c>
      <c r="H22" s="57">
        <f t="shared" si="0"/>
        <v>0.23250000000000001</v>
      </c>
      <c r="I22" s="57"/>
    </row>
    <row r="23" spans="4:9" x14ac:dyDescent="0.25">
      <c r="D23" s="186" t="s">
        <v>120</v>
      </c>
      <c r="E23" s="187"/>
      <c r="F23" s="187"/>
      <c r="G23" s="188"/>
      <c r="H23" s="59">
        <f>SUM(H4:H22)</f>
        <v>8.251125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A60C09-14F6-4742-A6BB-FE3791D951D0}"/>
</file>

<file path=customXml/itemProps2.xml><?xml version="1.0" encoding="utf-8"?>
<ds:datastoreItem xmlns:ds="http://schemas.openxmlformats.org/officeDocument/2006/customXml" ds:itemID="{A43C7501-BBED-4B22-B1D1-9ED63CBAAB6F}"/>
</file>

<file path=customXml/itemProps3.xml><?xml version="1.0" encoding="utf-8"?>
<ds:datastoreItem xmlns:ds="http://schemas.openxmlformats.org/officeDocument/2006/customXml" ds:itemID="{EF08947F-C30E-4A32-9B12-919E036BC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Vidros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2024-12-13T17:44:18Z</cp:lastPrinted>
  <dcterms:created xsi:type="dcterms:W3CDTF">2022-01-02T19:12:46Z</dcterms:created>
  <dcterms:modified xsi:type="dcterms:W3CDTF">2024-12-13T17:45:01Z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