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22-Março\"/>
    </mc:Choice>
  </mc:AlternateContent>
  <xr:revisionPtr revIDLastSave="0" documentId="13_ncr:1_{31EA74C8-9E45-4915-9A51-FD7F6487DF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ão Carlos" sheetId="1" r:id="rId1"/>
    <sheet name="Planilh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5" i="1" l="1"/>
  <c r="G44" i="1"/>
  <c r="G28" i="1"/>
  <c r="G27" i="1"/>
  <c r="G26" i="1"/>
  <c r="G25" i="1"/>
  <c r="G24" i="1"/>
  <c r="G23" i="1"/>
  <c r="G22" i="1"/>
  <c r="G21" i="1"/>
  <c r="G20" i="1"/>
  <c r="G19" i="1"/>
  <c r="G18" i="1"/>
  <c r="G17" i="1"/>
  <c r="G46" i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G33" i="1"/>
  <c r="I32" i="1"/>
  <c r="J32" i="1" s="1"/>
  <c r="K38" i="1" l="1"/>
  <c r="L38" i="1" s="1"/>
  <c r="M38" i="1" s="1"/>
  <c r="K37" i="1"/>
  <c r="L37" i="1" s="1"/>
  <c r="M37" i="1" s="1"/>
  <c r="K36" i="1"/>
  <c r="L36" i="1" s="1"/>
  <c r="M36" i="1" s="1"/>
  <c r="K35" i="1"/>
  <c r="L35" i="1" s="1"/>
  <c r="M35" i="1" s="1"/>
  <c r="K34" i="1"/>
  <c r="L34" i="1" s="1"/>
  <c r="M34" i="1" s="1"/>
  <c r="K33" i="1"/>
  <c r="L33" i="1" s="1"/>
  <c r="M33" i="1" s="1"/>
  <c r="K32" i="1"/>
  <c r="L32" i="1" s="1"/>
  <c r="M32" i="1" s="1"/>
  <c r="N35" i="1" l="1"/>
  <c r="N36" i="1"/>
  <c r="N33" i="1"/>
  <c r="N37" i="1"/>
  <c r="N34" i="1"/>
  <c r="N38" i="1"/>
  <c r="I48" i="1" l="1"/>
  <c r="J48" i="1" s="1"/>
  <c r="K48" i="1" l="1"/>
  <c r="L48" i="1" s="1"/>
  <c r="M48" i="1" s="1"/>
  <c r="I46" i="1" l="1"/>
  <c r="J46" i="1" s="1"/>
  <c r="K46" i="1" l="1"/>
  <c r="L46" i="1" s="1"/>
  <c r="M46" i="1" s="1"/>
  <c r="I45" i="1" l="1"/>
  <c r="J45" i="1" s="1"/>
  <c r="K45" i="1" s="1"/>
  <c r="L45" i="1" l="1"/>
  <c r="M45" i="1" s="1"/>
  <c r="I44" i="1" l="1"/>
  <c r="J44" i="1" s="1"/>
  <c r="K44" i="1" l="1"/>
  <c r="L44" i="1" s="1"/>
  <c r="M44" i="1" s="1"/>
  <c r="M43" i="1" s="1"/>
  <c r="M31" i="1" l="1"/>
  <c r="N32" i="1" s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48" i="1" l="1"/>
  <c r="N45" i="1"/>
  <c r="N46" i="1"/>
  <c r="N44" i="1"/>
  <c r="N19" i="1"/>
  <c r="N18" i="1"/>
  <c r="N23" i="1"/>
  <c r="N21" i="1"/>
  <c r="N26" i="1"/>
  <c r="N20" i="1"/>
  <c r="N27" i="1"/>
  <c r="N25" i="1"/>
  <c r="N24" i="1"/>
  <c r="N28" i="1"/>
  <c r="N22" i="1"/>
  <c r="N17" i="1"/>
  <c r="J50" i="1"/>
  <c r="N16" i="1" l="1"/>
</calcChain>
</file>

<file path=xl/sharedStrings.xml><?xml version="1.0" encoding="utf-8"?>
<sst xmlns="http://schemas.openxmlformats.org/spreadsheetml/2006/main" count="222" uniqueCount="119">
  <si>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</si>
  <si>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</si>
  <si>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</si>
  <si>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</si>
  <si>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</si>
  <si>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</si>
  <si>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</si>
  <si>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</si>
  <si>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</si>
  <si>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</si>
  <si>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</si>
  <si>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</si>
  <si>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</si>
  <si>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</si>
  <si>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</si>
  <si>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</si>
  <si>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</si>
  <si>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</si>
  <si>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</si>
  <si>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</si>
  <si>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</si>
  <si>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</si>
  <si>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</si>
  <si>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</si>
  <si>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</si>
  <si>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</si>
  <si>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</si>
  <si>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</si>
  <si>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</si>
  <si>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</si>
  <si>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</si>
  <si>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</si>
  <si>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</si>
  <si>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</si>
  <si>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</si>
  <si>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</si>
  <si>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</si>
  <si>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</si>
  <si>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</si>
  <si>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</si>
  <si>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</si>
  <si>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</si>
  <si>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</si>
  <si>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</si>
  <si>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</si>
  <si>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</si>
  <si>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</si>
  <si>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</si>
  <si>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</si>
  <si>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</si>
  <si>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t>2.1</t>
  </si>
  <si>
    <t>Insumos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</si>
  <si>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</si>
  <si>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</si>
  <si>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</si>
  <si>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</si>
  <si>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</si>
  <si>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</si>
  <si>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</si>
  <si>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</si>
  <si>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</si>
  <si>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</si>
  <si>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</si>
  <si>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</si>
  <si>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 xml:space="preserve"> 90776 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</si>
  <si>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</si>
  <si>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</si>
  <si>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</si>
  <si>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</si>
  <si>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</si>
  <si>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</si>
  <si>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</si>
  <si>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</si>
  <si>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</si>
  <si>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</si>
  <si>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</si>
  <si>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</si>
  <si>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</si>
  <si>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</si>
  <si>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</si>
  <si>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</si>
  <si>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05/2023)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</si>
  <si>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Maio/2023 (data da proposta)</t>
    </r>
  </si>
  <si>
    <r>
      <t xml:space="preserve">Data Orçamento: </t>
    </r>
    <r>
      <rPr>
        <sz val="8"/>
        <color rgb="FFFF0000"/>
        <rFont val="Arial"/>
        <family val="2"/>
      </rPr>
      <t>Jun/23</t>
    </r>
  </si>
  <si>
    <t>3.2</t>
  </si>
  <si>
    <t>PINTOR COM ENCARGOS COMPLEMENTARES</t>
  </si>
  <si>
    <t>KG</t>
  </si>
  <si>
    <t>L</t>
  </si>
  <si>
    <t>FITA CREPE ROLO DE 25 MM X 50 M</t>
  </si>
  <si>
    <t>2.4</t>
  </si>
  <si>
    <t>2.7</t>
  </si>
  <si>
    <t>FDE</t>
  </si>
  <si>
    <t>ITEM 02 – AT. 07</t>
  </si>
  <si>
    <t>QTD</t>
  </si>
  <si>
    <t>DESCRIÇÃO O ITEM</t>
  </si>
  <si>
    <t>R$</t>
  </si>
  <si>
    <t>CHAVE DE STORZ P/ HIDRANTE</t>
  </si>
  <si>
    <t>EXTINTOR DE PÓ BC 4KG (RECARGA)</t>
  </si>
  <si>
    <t>EXTINTOR DE AGUA PRESSURIZADA 10L (RECARGA)</t>
  </si>
  <si>
    <t>MANGUEIRA TIPO 2 – 30m -1.¹/2 (NOVO)</t>
  </si>
  <si>
    <t>ESGUICHO REGULAVEL</t>
  </si>
  <si>
    <t>TORNEIRA METALICA CROMADA PARA JARDIM / TANQUE, COM BICO PLASTICO, CANO LONGO, DE PAREDE, PADRAO POPULAR / USO GERAL , 1/2 " OU 3/4 " (REF 1153 / 1130)</t>
  </si>
  <si>
    <t>2.5</t>
  </si>
  <si>
    <t>ORSE</t>
  </si>
  <si>
    <t>2.2</t>
  </si>
  <si>
    <t>2.3</t>
  </si>
  <si>
    <t>2.6</t>
  </si>
  <si>
    <t>M</t>
  </si>
  <si>
    <t>VIDRACEIRO COM ENCARGOS COMPLEMENTARES</t>
  </si>
  <si>
    <t>Vidros e portas temperados - USE</t>
  </si>
  <si>
    <t>3.20</t>
  </si>
  <si>
    <t>ADESIVO ACRILICO DE BASE AQUOSA / COLA DE CONTATO</t>
  </si>
  <si>
    <t>GESSO EM PO PARA REVESTIMENTOS/MOLDURAS/SANCAS E USO GERAL</t>
  </si>
  <si>
    <t>8.01.02</t>
  </si>
  <si>
    <t>TINTA ESMALTE SINTETICO STANDARD BRILHANTE</t>
  </si>
  <si>
    <t>Piso vinilico placas 30 x 30cm , e=2mm, liso, fixado c/cola (Paviflex ou similar)</t>
  </si>
  <si>
    <t>M²</t>
  </si>
  <si>
    <r>
      <t xml:space="preserve">Descrição serviço: </t>
    </r>
    <r>
      <rPr>
        <b/>
        <sz val="8"/>
        <color theme="1"/>
        <rFont val="Arial"/>
        <family val="2"/>
      </rPr>
      <t>ROTINAS DE MANUTENÇÃO PREDIAL NO CAMPUS SÃO CARLOS, REFERENTE AO PERIDO DE MARÇO/2024</t>
    </r>
  </si>
  <si>
    <t>ALUGUEL CAÇAMBA 4M3 (BDI serviço)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</si>
</sst>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2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333333"/>
      <name val="Arial"/>
      <family val="2"/>
    </font>
    <font>
      <sz val="8"/>
      <name val="Arial"/>
      <family val="1"/>
    </font>
    <font>
      <sz val="8"/>
      <color rgb="FFFF0000"/>
      <name val="Calibri"/>
      <family val="2"/>
      <scheme val="minor"/>
    </font>
    <font>
      <b/>
      <sz val="8"/>
      <color theme="4"/>
      <name val="Arial"/>
      <family val="2"/>
    </font>
    <font>
      <b/>
      <sz val="8"/>
      <color theme="4"/>
      <name val="Calibri"/>
      <family val="2"/>
      <scheme val="minor"/>
    </font>
    <font>
      <b/>
      <sz val="8"/>
      <color rgb="FFFF0000"/>
      <name val="Arial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FFFFFF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7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5" borderId="1" applyProtection="0"/>
    <xf numFmtId="0" fontId="17" fillId="0" borderId="0" applyBorder="0" applyProtection="0"/>
  </cellStyleXfs>
  <cellXfs count="154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13" fillId="0" borderId="24" xfId="4" applyFont="1" applyFill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4" fontId="13" fillId="0" borderId="24" xfId="2" applyNumberFormat="1" applyFont="1" applyFill="1" applyBorder="1" applyAlignment="1" applyProtection="1">
      <alignment horizontal="center" vertical="center"/>
    </xf>
    <xf numFmtId="0" fontId="19" fillId="2" borderId="24" xfId="1" applyFont="1" applyBorder="1"/>
    <xf numFmtId="0" fontId="18" fillId="0" borderId="39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5" fillId="0" borderId="0" xfId="0" applyFont="1"/>
    <xf numFmtId="2" fontId="4" fillId="0" borderId="24" xfId="1" applyNumberFormat="1" applyFont="1" applyFill="1" applyBorder="1" applyAlignment="1">
      <alignment horizontal="center" vertical="center"/>
    </xf>
    <xf numFmtId="0" fontId="21" fillId="0" borderId="24" xfId="0" applyFont="1" applyBorder="1"/>
    <xf numFmtId="8" fontId="0" fillId="0" borderId="0" xfId="0" applyNumberFormat="1"/>
    <xf numFmtId="4" fontId="18" fillId="0" borderId="24" xfId="2" applyNumberFormat="1" applyFont="1" applyFill="1" applyBorder="1" applyAlignment="1" applyProtection="1">
      <alignment horizontal="left" vertical="center"/>
    </xf>
    <xf numFmtId="0" fontId="22" fillId="0" borderId="24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4" xfId="0" applyFont="1" applyBorder="1" applyAlignment="1">
      <alignment vertical="center"/>
    </xf>
    <xf numFmtId="0" fontId="15" fillId="0" borderId="24" xfId="0" applyFont="1" applyBorder="1"/>
    <xf numFmtId="4" fontId="9" fillId="0" borderId="24" xfId="2" applyNumberFormat="1" applyFont="1" applyFill="1" applyBorder="1" applyAlignment="1" applyProtection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4" fontId="8" fillId="0" borderId="24" xfId="2" applyNumberFormat="1" applyFont="1" applyFill="1" applyBorder="1" applyAlignment="1" applyProtection="1">
      <alignment horizontal="center" vertical="center"/>
    </xf>
    <xf numFmtId="4" fontId="24" fillId="0" borderId="24" xfId="2" applyNumberFormat="1" applyFont="1" applyBorder="1" applyAlignment="1" applyProtection="1">
      <alignment horizontal="center" vertical="center"/>
    </xf>
    <xf numFmtId="4" fontId="25" fillId="0" borderId="24" xfId="2" applyNumberFormat="1" applyFont="1" applyBorder="1" applyAlignment="1" applyProtection="1">
      <alignment horizontal="center" vertical="center"/>
    </xf>
    <xf numFmtId="4" fontId="26" fillId="4" borderId="24" xfId="0" applyNumberFormat="1" applyFont="1" applyFill="1" applyBorder="1" applyAlignment="1">
      <alignment horizontal="center" vertical="center" wrapText="1"/>
    </xf>
    <xf numFmtId="4" fontId="24" fillId="0" borderId="24" xfId="0" applyNumberFormat="1" applyFont="1" applyBorder="1" applyAlignment="1">
      <alignment horizontal="center" vertical="center" wrapText="1"/>
    </xf>
    <xf numFmtId="2" fontId="24" fillId="0" borderId="24" xfId="1" applyNumberFormat="1" applyFont="1" applyFill="1" applyBorder="1" applyAlignment="1">
      <alignment horizontal="center" vertical="center"/>
    </xf>
    <xf numFmtId="0" fontId="24" fillId="0" borderId="24" xfId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5" fillId="2" borderId="9" xfId="1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" fillId="2" borderId="28" xfId="1" applyFont="1" applyBorder="1" applyAlignment="1">
      <alignment horizontal="center" vertical="center" textRotation="90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0" fillId="0" borderId="11" xfId="0" applyNumberFormat="1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3" fillId="0" borderId="7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</cellXfs>
  <cellStyles count="7">
    <cellStyle name="Excel Built-in Explanatory Text" xfId="6" xr:uid="{00000000-0005-0000-0000-000000000000}"/>
    <cellStyle name="Excel Built-in Output" xfId="5" xr:uid="{00000000-0005-0000-0000-000001000000}"/>
    <cellStyle name="Hiperlink" xfId="4" builtinId="8"/>
    <cellStyle name="Moeda" xfId="3" builtinId="4"/>
    <cellStyle name="Normal" xfId="0" builtinId="0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"/>
  <sheetViews>
    <sheetView tabSelected="1" topLeftCell="A37" zoomScale="85" zoomScaleNormal="85" workbookViewId="0">
      <selection activeCell="G46" sqref="G46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</cols>
  <sheetData>
    <row r="1" spans="1:15" ht="17.100000000000001" customHeight="1" x14ac:dyDescent="0.25">
      <c r="A1" s="78" t="s">
        <v>0</v>
      </c>
      <c r="B1" s="79"/>
      <c r="C1" s="79"/>
      <c r="D1" s="79"/>
      <c r="E1" s="79"/>
      <c r="F1" s="79"/>
      <c r="G1" s="79"/>
      <c r="H1" s="79"/>
      <c r="I1" s="80"/>
      <c r="J1" s="87" t="s">
        <v>1</v>
      </c>
      <c r="K1" s="87"/>
      <c r="L1" s="87"/>
      <c r="M1" s="87"/>
      <c r="N1" s="87"/>
      <c r="O1" s="88"/>
    </row>
    <row r="2" spans="1:15" ht="17.100000000000001" customHeight="1" x14ac:dyDescent="0.25">
      <c r="A2" s="81"/>
      <c r="B2" s="82"/>
      <c r="C2" s="82"/>
      <c r="D2" s="82"/>
      <c r="E2" s="82"/>
      <c r="F2" s="82"/>
      <c r="G2" s="82"/>
      <c r="H2" s="82"/>
      <c r="I2" s="83"/>
      <c r="J2" s="89" t="s">
        <v>2</v>
      </c>
      <c r="K2" s="89"/>
      <c r="L2" s="89"/>
      <c r="M2" s="89"/>
      <c r="N2" s="89"/>
      <c r="O2" s="90"/>
    </row>
    <row r="3" spans="1:15" ht="17.100000000000001" customHeight="1" x14ac:dyDescent="0.25">
      <c r="A3" s="81"/>
      <c r="B3" s="82"/>
      <c r="C3" s="82"/>
      <c r="D3" s="82"/>
      <c r="E3" s="82"/>
      <c r="F3" s="82"/>
      <c r="G3" s="82"/>
      <c r="H3" s="82"/>
      <c r="I3" s="83"/>
      <c r="J3" s="89" t="s">
        <v>3</v>
      </c>
      <c r="K3" s="89"/>
      <c r="L3" s="89"/>
      <c r="M3" s="89" t="s">
        <v>4</v>
      </c>
      <c r="N3" s="89"/>
      <c r="O3" s="1"/>
    </row>
    <row r="4" spans="1:15" ht="17.100000000000001" customHeight="1" x14ac:dyDescent="0.25">
      <c r="A4" s="81"/>
      <c r="B4" s="82"/>
      <c r="C4" s="82"/>
      <c r="D4" s="82"/>
      <c r="E4" s="82"/>
      <c r="F4" s="82"/>
      <c r="G4" s="82"/>
      <c r="H4" s="82"/>
      <c r="I4" s="83"/>
      <c r="J4" s="89" t="s">
        <v>5</v>
      </c>
      <c r="K4" s="89"/>
      <c r="L4" s="89"/>
      <c r="M4" s="89" t="s">
        <v>6</v>
      </c>
      <c r="N4" s="89"/>
      <c r="O4" s="2"/>
    </row>
    <row r="5" spans="1:15" ht="17.100000000000001" customHeight="1" x14ac:dyDescent="0.25">
      <c r="A5" s="81"/>
      <c r="B5" s="82"/>
      <c r="C5" s="82"/>
      <c r="D5" s="82"/>
      <c r="E5" s="82"/>
      <c r="F5" s="82"/>
      <c r="G5" s="82"/>
      <c r="H5" s="82"/>
      <c r="I5" s="83"/>
      <c r="J5" s="89" t="s">
        <v>7</v>
      </c>
      <c r="K5" s="89"/>
      <c r="L5" s="89"/>
      <c r="M5" s="89" t="s">
        <v>8</v>
      </c>
      <c r="N5" s="89"/>
      <c r="O5" s="1"/>
    </row>
    <row r="6" spans="1:15" ht="17.100000000000001" customHeight="1" x14ac:dyDescent="0.25">
      <c r="A6" s="84"/>
      <c r="B6" s="85"/>
      <c r="C6" s="85"/>
      <c r="D6" s="85"/>
      <c r="E6" s="85"/>
      <c r="F6" s="85"/>
      <c r="G6" s="85"/>
      <c r="H6" s="85"/>
      <c r="I6" s="86"/>
      <c r="J6" s="89" t="s">
        <v>9</v>
      </c>
      <c r="K6" s="89"/>
      <c r="L6" s="89"/>
      <c r="M6" s="89" t="s">
        <v>10</v>
      </c>
      <c r="N6" s="89"/>
      <c r="O6" s="1"/>
    </row>
    <row r="7" spans="1:15" ht="17.100000000000001" customHeight="1" x14ac:dyDescent="0.25">
      <c r="A7" s="62" t="s">
        <v>11</v>
      </c>
      <c r="B7" s="63"/>
      <c r="C7" s="63"/>
      <c r="D7" s="63"/>
      <c r="E7" s="63"/>
      <c r="F7" s="63"/>
      <c r="G7" s="63"/>
      <c r="H7" s="63"/>
      <c r="I7" s="64"/>
      <c r="J7" s="65" t="s">
        <v>53</v>
      </c>
      <c r="K7" s="66"/>
      <c r="L7" s="66"/>
      <c r="M7" s="66"/>
      <c r="N7" s="67"/>
      <c r="O7" s="68" t="s">
        <v>12</v>
      </c>
    </row>
    <row r="8" spans="1:15" ht="17.100000000000001" customHeight="1" x14ac:dyDescent="0.25">
      <c r="A8" s="69" t="s">
        <v>117</v>
      </c>
      <c r="B8" s="70"/>
      <c r="C8" s="70"/>
      <c r="D8" s="70"/>
      <c r="E8" s="70"/>
      <c r="F8" s="70"/>
      <c r="G8" s="70"/>
      <c r="H8" s="70"/>
      <c r="I8" s="71"/>
      <c r="J8" s="65" t="s">
        <v>13</v>
      </c>
      <c r="K8" s="66"/>
      <c r="L8" s="66"/>
      <c r="M8" s="66"/>
      <c r="N8" s="67"/>
      <c r="O8" s="68"/>
    </row>
    <row r="9" spans="1:15" ht="17.100000000000001" customHeight="1" x14ac:dyDescent="0.25">
      <c r="A9" s="72"/>
      <c r="B9" s="73"/>
      <c r="C9" s="73"/>
      <c r="D9" s="73"/>
      <c r="E9" s="73"/>
      <c r="F9" s="73"/>
      <c r="G9" s="73"/>
      <c r="H9" s="73"/>
      <c r="I9" s="74"/>
      <c r="J9" s="65" t="s">
        <v>14</v>
      </c>
      <c r="K9" s="66"/>
      <c r="L9" s="66"/>
      <c r="M9" s="66"/>
      <c r="N9" s="67"/>
      <c r="O9" s="68"/>
    </row>
    <row r="10" spans="1:15" ht="17.100000000000001" customHeight="1" x14ac:dyDescent="0.25">
      <c r="A10" s="72"/>
      <c r="B10" s="73"/>
      <c r="C10" s="73"/>
      <c r="D10" s="73"/>
      <c r="E10" s="73"/>
      <c r="F10" s="73"/>
      <c r="G10" s="73"/>
      <c r="H10" s="73"/>
      <c r="I10" s="74"/>
      <c r="J10" s="65" t="s">
        <v>15</v>
      </c>
      <c r="K10" s="66"/>
      <c r="L10" s="66"/>
      <c r="M10" s="66"/>
      <c r="N10" s="67"/>
      <c r="O10" s="68"/>
    </row>
    <row r="11" spans="1:15" ht="17.100000000000001" customHeight="1" x14ac:dyDescent="0.25">
      <c r="A11" s="72"/>
      <c r="B11" s="73"/>
      <c r="C11" s="73"/>
      <c r="D11" s="73"/>
      <c r="E11" s="73"/>
      <c r="F11" s="73"/>
      <c r="G11" s="73"/>
      <c r="H11" s="73"/>
      <c r="I11" s="74"/>
      <c r="J11" s="65" t="s">
        <v>52</v>
      </c>
      <c r="K11" s="66"/>
      <c r="L11" s="66"/>
      <c r="M11" s="66"/>
      <c r="N11" s="67"/>
      <c r="O11" s="68"/>
    </row>
    <row r="12" spans="1:15" ht="17.100000000000001" customHeight="1" x14ac:dyDescent="0.25">
      <c r="A12" s="72"/>
      <c r="B12" s="73"/>
      <c r="C12" s="73"/>
      <c r="D12" s="73"/>
      <c r="E12" s="73"/>
      <c r="F12" s="73"/>
      <c r="G12" s="73"/>
      <c r="H12" s="73"/>
      <c r="I12" s="74"/>
      <c r="J12" s="65" t="s">
        <v>83</v>
      </c>
      <c r="K12" s="66"/>
      <c r="L12" s="66"/>
      <c r="M12" s="66"/>
      <c r="N12" s="67"/>
      <c r="O12" s="68"/>
    </row>
    <row r="13" spans="1:15" ht="17.100000000000001" customHeight="1" x14ac:dyDescent="0.25">
      <c r="A13" s="75"/>
      <c r="B13" s="76"/>
      <c r="C13" s="76"/>
      <c r="D13" s="76"/>
      <c r="E13" s="76"/>
      <c r="F13" s="76"/>
      <c r="G13" s="76"/>
      <c r="H13" s="76"/>
      <c r="I13" s="77"/>
      <c r="J13" s="65" t="s">
        <v>82</v>
      </c>
      <c r="K13" s="66"/>
      <c r="L13" s="66"/>
      <c r="M13" s="66"/>
      <c r="N13" s="67"/>
      <c r="O13" s="68"/>
    </row>
    <row r="14" spans="1:15" ht="17.100000000000001" customHeight="1" x14ac:dyDescent="0.25">
      <c r="A14" s="91" t="s">
        <v>16</v>
      </c>
      <c r="B14" s="93" t="s">
        <v>17</v>
      </c>
      <c r="C14" s="93" t="s">
        <v>18</v>
      </c>
      <c r="D14" s="93" t="s">
        <v>19</v>
      </c>
      <c r="E14" s="93" t="s">
        <v>20</v>
      </c>
      <c r="F14" s="93" t="s">
        <v>21</v>
      </c>
      <c r="G14" s="93" t="s">
        <v>22</v>
      </c>
      <c r="H14" s="95" t="s">
        <v>23</v>
      </c>
      <c r="I14" s="95"/>
      <c r="J14" s="95"/>
      <c r="K14" s="95"/>
      <c r="L14" s="96"/>
      <c r="M14" s="93" t="s">
        <v>24</v>
      </c>
      <c r="N14" s="93" t="s">
        <v>25</v>
      </c>
      <c r="O14" s="68" t="s">
        <v>26</v>
      </c>
    </row>
    <row r="15" spans="1:15" ht="17.100000000000001" customHeight="1" x14ac:dyDescent="0.25">
      <c r="A15" s="92"/>
      <c r="B15" s="94"/>
      <c r="C15" s="94"/>
      <c r="D15" s="94"/>
      <c r="E15" s="94"/>
      <c r="F15" s="94"/>
      <c r="G15" s="94"/>
      <c r="H15" s="3" t="s">
        <v>27</v>
      </c>
      <c r="I15" s="4" t="s">
        <v>28</v>
      </c>
      <c r="J15" s="3" t="s">
        <v>29</v>
      </c>
      <c r="K15" s="4" t="s">
        <v>54</v>
      </c>
      <c r="L15" s="3" t="s">
        <v>30</v>
      </c>
      <c r="M15" s="94"/>
      <c r="N15" s="94"/>
      <c r="O15" s="68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1">
        <f>SUM(M17:M28)</f>
        <v>65609.749416525592</v>
      </c>
      <c r="N16" s="10">
        <f>SUM(N17:N28)</f>
        <v>1.0000000000000002</v>
      </c>
      <c r="O16" s="68"/>
    </row>
    <row r="17" spans="1:15" ht="26.25" customHeight="1" x14ac:dyDescent="0.25">
      <c r="A17" s="17" t="s">
        <v>32</v>
      </c>
      <c r="B17" s="17" t="s">
        <v>33</v>
      </c>
      <c r="C17" s="11" t="s">
        <v>64</v>
      </c>
      <c r="D17" s="11" t="s">
        <v>34</v>
      </c>
      <c r="E17" s="20" t="s">
        <v>65</v>
      </c>
      <c r="F17" s="13" t="s">
        <v>35</v>
      </c>
      <c r="G17" s="53">
        <f>180-30</f>
        <v>150</v>
      </c>
      <c r="H17" s="56">
        <v>38.46</v>
      </c>
      <c r="I17" s="14">
        <f>H17*0.2232</f>
        <v>8.5842720000000003</v>
      </c>
      <c r="J17" s="14">
        <f>H17+I17</f>
        <v>47.044271999999999</v>
      </c>
      <c r="K17" s="14">
        <f>J17*(0.03%)</f>
        <v>1.4113281599999999E-2</v>
      </c>
      <c r="L17" s="14">
        <f>J17-K17</f>
        <v>47.030158718400003</v>
      </c>
      <c r="M17" s="14">
        <f>L17*G17</f>
        <v>7054.5238077600006</v>
      </c>
      <c r="N17" s="14">
        <f>M17/M$16</f>
        <v>0.10752249277731775</v>
      </c>
      <c r="O17" s="97"/>
    </row>
    <row r="18" spans="1:15" ht="26.25" customHeight="1" x14ac:dyDescent="0.25">
      <c r="A18" s="17" t="s">
        <v>68</v>
      </c>
      <c r="B18" s="17" t="s">
        <v>33</v>
      </c>
      <c r="C18" s="11" t="s">
        <v>56</v>
      </c>
      <c r="D18" s="11" t="s">
        <v>34</v>
      </c>
      <c r="E18" s="20" t="s">
        <v>57</v>
      </c>
      <c r="F18" s="13" t="s">
        <v>35</v>
      </c>
      <c r="G18" s="53">
        <f>180-30</f>
        <v>150</v>
      </c>
      <c r="H18" s="56">
        <v>33.25</v>
      </c>
      <c r="I18" s="14">
        <f t="shared" ref="I18:I28" si="0">H18*0.2232</f>
        <v>7.4214000000000002</v>
      </c>
      <c r="J18" s="14">
        <f t="shared" ref="J18:J28" si="1">H18+I18</f>
        <v>40.671399999999998</v>
      </c>
      <c r="K18" s="14">
        <f t="shared" ref="K18:K28" si="2">J18*(0.03%)</f>
        <v>1.2201419999999999E-2</v>
      </c>
      <c r="L18" s="14">
        <f t="shared" ref="L18:L28" si="3">J18-K18</f>
        <v>40.659198580000002</v>
      </c>
      <c r="M18" s="14">
        <f t="shared" ref="M18:M28" si="4">L18*G18</f>
        <v>6098.8797869999999</v>
      </c>
      <c r="N18" s="14">
        <f t="shared" ref="N18:N28" si="5">M18/M$16</f>
        <v>9.2956913282522494E-2</v>
      </c>
      <c r="O18" s="97"/>
    </row>
    <row r="19" spans="1:15" ht="26.25" customHeight="1" x14ac:dyDescent="0.25">
      <c r="A19" s="17" t="s">
        <v>69</v>
      </c>
      <c r="B19" s="17" t="s">
        <v>33</v>
      </c>
      <c r="C19" s="11" t="s">
        <v>56</v>
      </c>
      <c r="D19" s="11" t="s">
        <v>34</v>
      </c>
      <c r="E19" s="20" t="s">
        <v>57</v>
      </c>
      <c r="F19" s="13" t="s">
        <v>35</v>
      </c>
      <c r="G19" s="53">
        <f>180-30</f>
        <v>150</v>
      </c>
      <c r="H19" s="56">
        <v>33.25</v>
      </c>
      <c r="I19" s="14">
        <f t="shared" si="0"/>
        <v>7.4214000000000002</v>
      </c>
      <c r="J19" s="14">
        <f t="shared" si="1"/>
        <v>40.671399999999998</v>
      </c>
      <c r="K19" s="14">
        <f t="shared" si="2"/>
        <v>1.2201419999999999E-2</v>
      </c>
      <c r="L19" s="14">
        <f t="shared" si="3"/>
        <v>40.659198580000002</v>
      </c>
      <c r="M19" s="14">
        <f t="shared" si="4"/>
        <v>6098.8797869999999</v>
      </c>
      <c r="N19" s="14">
        <f t="shared" si="5"/>
        <v>9.2956913282522494E-2</v>
      </c>
      <c r="O19" s="97"/>
    </row>
    <row r="20" spans="1:15" ht="26.25" customHeight="1" x14ac:dyDescent="0.25">
      <c r="A20" s="17" t="s">
        <v>70</v>
      </c>
      <c r="B20" s="17" t="s">
        <v>33</v>
      </c>
      <c r="C20" s="11" t="s">
        <v>58</v>
      </c>
      <c r="D20" s="11" t="s">
        <v>34</v>
      </c>
      <c r="E20" s="20" t="s">
        <v>59</v>
      </c>
      <c r="F20" s="13" t="s">
        <v>35</v>
      </c>
      <c r="G20" s="53">
        <f>180-30</f>
        <v>150</v>
      </c>
      <c r="H20" s="56">
        <v>28.58</v>
      </c>
      <c r="I20" s="14">
        <f t="shared" si="0"/>
        <v>6.3790560000000003</v>
      </c>
      <c r="J20" s="14">
        <f t="shared" si="1"/>
        <v>34.959055999999997</v>
      </c>
      <c r="K20" s="14">
        <f t="shared" si="2"/>
        <v>1.0487716799999998E-2</v>
      </c>
      <c r="L20" s="14">
        <f t="shared" si="3"/>
        <v>34.948568283199997</v>
      </c>
      <c r="M20" s="14">
        <f t="shared" si="4"/>
        <v>5242.2852424799994</v>
      </c>
      <c r="N20" s="14">
        <f t="shared" si="5"/>
        <v>7.9901009973368201E-2</v>
      </c>
      <c r="O20" s="97"/>
    </row>
    <row r="21" spans="1:15" ht="26.25" customHeight="1" x14ac:dyDescent="0.25">
      <c r="A21" s="17" t="s">
        <v>71</v>
      </c>
      <c r="B21" s="17" t="s">
        <v>33</v>
      </c>
      <c r="C21" s="11" t="s">
        <v>58</v>
      </c>
      <c r="D21" s="11" t="s">
        <v>34</v>
      </c>
      <c r="E21" s="20" t="s">
        <v>59</v>
      </c>
      <c r="F21" s="13" t="s">
        <v>35</v>
      </c>
      <c r="G21" s="53">
        <f>180-30</f>
        <v>150</v>
      </c>
      <c r="H21" s="56">
        <v>28.58</v>
      </c>
      <c r="I21" s="14">
        <f t="shared" si="0"/>
        <v>6.3790560000000003</v>
      </c>
      <c r="J21" s="14">
        <f t="shared" si="1"/>
        <v>34.959055999999997</v>
      </c>
      <c r="K21" s="14">
        <f t="shared" si="2"/>
        <v>1.0487716799999998E-2</v>
      </c>
      <c r="L21" s="14">
        <f t="shared" si="3"/>
        <v>34.948568283199997</v>
      </c>
      <c r="M21" s="14">
        <f t="shared" si="4"/>
        <v>5242.2852424799994</v>
      </c>
      <c r="N21" s="14">
        <f t="shared" si="5"/>
        <v>7.9901009973368201E-2</v>
      </c>
      <c r="O21" s="97"/>
    </row>
    <row r="22" spans="1:15" ht="26.25" customHeight="1" x14ac:dyDescent="0.25">
      <c r="A22" s="17" t="s">
        <v>72</v>
      </c>
      <c r="B22" s="17" t="s">
        <v>33</v>
      </c>
      <c r="C22" s="11" t="s">
        <v>60</v>
      </c>
      <c r="D22" s="11" t="s">
        <v>34</v>
      </c>
      <c r="E22" s="20" t="s">
        <v>61</v>
      </c>
      <c r="F22" s="13" t="s">
        <v>35</v>
      </c>
      <c r="G22" s="53">
        <f>171-30</f>
        <v>141</v>
      </c>
      <c r="H22" s="56">
        <v>31.59</v>
      </c>
      <c r="I22" s="14">
        <f t="shared" si="0"/>
        <v>7.0508880000000005</v>
      </c>
      <c r="J22" s="14">
        <f t="shared" si="1"/>
        <v>38.640888000000004</v>
      </c>
      <c r="K22" s="14">
        <f t="shared" si="2"/>
        <v>1.1592266400000001E-2</v>
      </c>
      <c r="L22" s="14">
        <f t="shared" si="3"/>
        <v>38.629295733600003</v>
      </c>
      <c r="M22" s="14">
        <f t="shared" si="4"/>
        <v>5446.7306984376</v>
      </c>
      <c r="N22" s="14">
        <f t="shared" si="5"/>
        <v>8.3017093448396764E-2</v>
      </c>
      <c r="O22" s="97"/>
    </row>
    <row r="23" spans="1:15" ht="26.25" customHeight="1" x14ac:dyDescent="0.25">
      <c r="A23" s="17" t="s">
        <v>73</v>
      </c>
      <c r="B23" s="17" t="s">
        <v>33</v>
      </c>
      <c r="C23" s="11" t="s">
        <v>60</v>
      </c>
      <c r="D23" s="11" t="s">
        <v>34</v>
      </c>
      <c r="E23" s="20" t="s">
        <v>61</v>
      </c>
      <c r="F23" s="13" t="s">
        <v>35</v>
      </c>
      <c r="G23" s="53">
        <f>180-30</f>
        <v>150</v>
      </c>
      <c r="H23" s="56">
        <v>31.59</v>
      </c>
      <c r="I23" s="14">
        <f t="shared" si="0"/>
        <v>7.0508880000000005</v>
      </c>
      <c r="J23" s="14">
        <f t="shared" si="1"/>
        <v>38.640888000000004</v>
      </c>
      <c r="K23" s="14">
        <f t="shared" si="2"/>
        <v>1.1592266400000001E-2</v>
      </c>
      <c r="L23" s="14">
        <f t="shared" si="3"/>
        <v>38.629295733600003</v>
      </c>
      <c r="M23" s="14">
        <f t="shared" si="4"/>
        <v>5794.3943600400007</v>
      </c>
      <c r="N23" s="14">
        <f t="shared" si="5"/>
        <v>8.8316056859996564E-2</v>
      </c>
      <c r="O23" s="97"/>
    </row>
    <row r="24" spans="1:15" ht="26.25" customHeight="1" x14ac:dyDescent="0.25">
      <c r="A24" s="17" t="s">
        <v>74</v>
      </c>
      <c r="B24" s="17" t="s">
        <v>33</v>
      </c>
      <c r="C24" s="11" t="s">
        <v>62</v>
      </c>
      <c r="D24" s="11" t="s">
        <v>34</v>
      </c>
      <c r="E24" s="20" t="s">
        <v>63</v>
      </c>
      <c r="F24" s="13" t="s">
        <v>35</v>
      </c>
      <c r="G24" s="53">
        <f>171-30</f>
        <v>141</v>
      </c>
      <c r="H24" s="56">
        <v>27.2</v>
      </c>
      <c r="I24" s="14">
        <f t="shared" si="0"/>
        <v>6.07104</v>
      </c>
      <c r="J24" s="14">
        <f t="shared" si="1"/>
        <v>33.271039999999999</v>
      </c>
      <c r="K24" s="14">
        <f t="shared" si="2"/>
        <v>9.9813119999999991E-3</v>
      </c>
      <c r="L24" s="14">
        <f t="shared" si="3"/>
        <v>33.261058687999999</v>
      </c>
      <c r="M24" s="14">
        <f t="shared" si="4"/>
        <v>4689.8092750079995</v>
      </c>
      <c r="N24" s="14">
        <f t="shared" si="5"/>
        <v>7.1480371693459693E-2</v>
      </c>
      <c r="O24" s="97"/>
    </row>
    <row r="25" spans="1:15" ht="26.25" customHeight="1" x14ac:dyDescent="0.25">
      <c r="A25" s="17" t="s">
        <v>75</v>
      </c>
      <c r="B25" s="17" t="s">
        <v>33</v>
      </c>
      <c r="C25" s="11" t="s">
        <v>62</v>
      </c>
      <c r="D25" s="11" t="s">
        <v>34</v>
      </c>
      <c r="E25" s="20" t="s">
        <v>63</v>
      </c>
      <c r="F25" s="13" t="s">
        <v>35</v>
      </c>
      <c r="G25" s="53">
        <f>180-30</f>
        <v>150</v>
      </c>
      <c r="H25" s="56">
        <v>27.2</v>
      </c>
      <c r="I25" s="14">
        <f t="shared" si="0"/>
        <v>6.07104</v>
      </c>
      <c r="J25" s="14">
        <f t="shared" si="1"/>
        <v>33.271039999999999</v>
      </c>
      <c r="K25" s="14">
        <f t="shared" si="2"/>
        <v>9.9813119999999991E-3</v>
      </c>
      <c r="L25" s="14">
        <f t="shared" si="3"/>
        <v>33.261058687999999</v>
      </c>
      <c r="M25" s="14">
        <f t="shared" si="4"/>
        <v>4989.1588032</v>
      </c>
      <c r="N25" s="14">
        <f t="shared" si="5"/>
        <v>7.6042948610063513E-2</v>
      </c>
      <c r="O25" s="97"/>
    </row>
    <row r="26" spans="1:15" ht="26.25" customHeight="1" x14ac:dyDescent="0.25">
      <c r="A26" s="17" t="s">
        <v>76</v>
      </c>
      <c r="B26" s="17" t="s">
        <v>33</v>
      </c>
      <c r="C26" s="11" t="s">
        <v>62</v>
      </c>
      <c r="D26" s="11" t="s">
        <v>34</v>
      </c>
      <c r="E26" s="20" t="s">
        <v>63</v>
      </c>
      <c r="F26" s="13" t="s">
        <v>35</v>
      </c>
      <c r="G26" s="53">
        <f>180-30</f>
        <v>150</v>
      </c>
      <c r="H26" s="56">
        <v>27.2</v>
      </c>
      <c r="I26" s="14">
        <f t="shared" si="0"/>
        <v>6.07104</v>
      </c>
      <c r="J26" s="14">
        <f t="shared" si="1"/>
        <v>33.271039999999999</v>
      </c>
      <c r="K26" s="14">
        <f t="shared" si="2"/>
        <v>9.9813119999999991E-3</v>
      </c>
      <c r="L26" s="14">
        <f t="shared" si="3"/>
        <v>33.261058687999999</v>
      </c>
      <c r="M26" s="14">
        <f t="shared" si="4"/>
        <v>4989.1588032</v>
      </c>
      <c r="N26" s="14">
        <f t="shared" si="5"/>
        <v>7.6042948610063513E-2</v>
      </c>
      <c r="O26" s="97"/>
    </row>
    <row r="27" spans="1:15" ht="26.25" customHeight="1" x14ac:dyDescent="0.25">
      <c r="A27" s="17" t="s">
        <v>77</v>
      </c>
      <c r="B27" s="17" t="s">
        <v>33</v>
      </c>
      <c r="C27" s="11" t="s">
        <v>66</v>
      </c>
      <c r="D27" s="11" t="s">
        <v>34</v>
      </c>
      <c r="E27" s="12" t="s">
        <v>67</v>
      </c>
      <c r="F27" s="13" t="s">
        <v>35</v>
      </c>
      <c r="G27" s="53">
        <f>180-30</f>
        <v>150</v>
      </c>
      <c r="H27" s="56">
        <v>27.16</v>
      </c>
      <c r="I27" s="14">
        <f t="shared" si="0"/>
        <v>6.0621119999999999</v>
      </c>
      <c r="J27" s="14">
        <f t="shared" si="1"/>
        <v>33.222112000000003</v>
      </c>
      <c r="K27" s="14">
        <f t="shared" si="2"/>
        <v>9.9666336000000001E-3</v>
      </c>
      <c r="L27" s="14">
        <f t="shared" si="3"/>
        <v>33.212145366400001</v>
      </c>
      <c r="M27" s="14">
        <f t="shared" si="4"/>
        <v>4981.82180496</v>
      </c>
      <c r="N27" s="14">
        <f t="shared" si="5"/>
        <v>7.593112074446047E-2</v>
      </c>
      <c r="O27" s="97"/>
    </row>
    <row r="28" spans="1:15" ht="26.25" customHeight="1" x14ac:dyDescent="0.25">
      <c r="A28" s="17" t="s">
        <v>78</v>
      </c>
      <c r="B28" s="17" t="s">
        <v>33</v>
      </c>
      <c r="C28" s="11" t="s">
        <v>66</v>
      </c>
      <c r="D28" s="11" t="s">
        <v>34</v>
      </c>
      <c r="E28" s="12" t="s">
        <v>67</v>
      </c>
      <c r="F28" s="13" t="s">
        <v>35</v>
      </c>
      <c r="G28" s="53">
        <f>180-30</f>
        <v>150</v>
      </c>
      <c r="H28" s="56">
        <v>27.16</v>
      </c>
      <c r="I28" s="14">
        <f t="shared" si="0"/>
        <v>6.0621119999999999</v>
      </c>
      <c r="J28" s="14">
        <f t="shared" si="1"/>
        <v>33.222112000000003</v>
      </c>
      <c r="K28" s="14">
        <f t="shared" si="2"/>
        <v>9.9666336000000001E-3</v>
      </c>
      <c r="L28" s="14">
        <f t="shared" si="3"/>
        <v>33.212145366400001</v>
      </c>
      <c r="M28" s="14">
        <f t="shared" si="4"/>
        <v>4981.82180496</v>
      </c>
      <c r="N28" s="14">
        <f t="shared" si="5"/>
        <v>7.593112074446047E-2</v>
      </c>
      <c r="O28" s="97"/>
    </row>
    <row r="29" spans="1:15" x14ac:dyDescent="0.25">
      <c r="A29" s="91" t="s">
        <v>16</v>
      </c>
      <c r="B29" s="93" t="s">
        <v>17</v>
      </c>
      <c r="C29" s="93" t="s">
        <v>18</v>
      </c>
      <c r="D29" s="93" t="s">
        <v>19</v>
      </c>
      <c r="E29" s="93" t="s">
        <v>20</v>
      </c>
      <c r="F29" s="93" t="s">
        <v>21</v>
      </c>
      <c r="G29" s="93" t="s">
        <v>22</v>
      </c>
      <c r="H29" s="95" t="s">
        <v>23</v>
      </c>
      <c r="I29" s="95"/>
      <c r="J29" s="95"/>
      <c r="K29" s="95"/>
      <c r="L29" s="96"/>
      <c r="M29" s="93" t="s">
        <v>24</v>
      </c>
      <c r="N29" s="93" t="s">
        <v>25</v>
      </c>
      <c r="O29" s="97"/>
    </row>
    <row r="30" spans="1:15" ht="17.100000000000001" customHeight="1" x14ac:dyDescent="0.25">
      <c r="A30" s="92"/>
      <c r="B30" s="94"/>
      <c r="C30" s="94"/>
      <c r="D30" s="94"/>
      <c r="E30" s="94"/>
      <c r="F30" s="94"/>
      <c r="G30" s="94"/>
      <c r="H30" s="3" t="s">
        <v>27</v>
      </c>
      <c r="I30" s="26" t="s">
        <v>36</v>
      </c>
      <c r="J30" s="3" t="s">
        <v>29</v>
      </c>
      <c r="K30" s="4" t="s">
        <v>54</v>
      </c>
      <c r="L30" s="3" t="s">
        <v>30</v>
      </c>
      <c r="M30" s="94"/>
      <c r="N30" s="94"/>
      <c r="O30" s="68"/>
    </row>
    <row r="31" spans="1:15" ht="17.100000000000001" customHeight="1" x14ac:dyDescent="0.25">
      <c r="A31" s="15">
        <v>2</v>
      </c>
      <c r="B31" s="98" t="s">
        <v>37</v>
      </c>
      <c r="C31" s="98"/>
      <c r="D31" s="99"/>
      <c r="E31" s="99"/>
      <c r="F31" s="99"/>
      <c r="G31" s="16"/>
      <c r="H31" s="16"/>
      <c r="I31" s="16"/>
      <c r="J31" s="16"/>
      <c r="K31" s="16"/>
      <c r="L31" s="16"/>
      <c r="M31" s="22">
        <f>SUM(M32:M40)</f>
        <v>7762.7383476395999</v>
      </c>
      <c r="N31" s="16"/>
      <c r="O31" s="97"/>
    </row>
    <row r="32" spans="1:15" s="19" customFormat="1" ht="17.100000000000001" customHeight="1" x14ac:dyDescent="0.2">
      <c r="A32" s="18" t="s">
        <v>50</v>
      </c>
      <c r="B32" s="18" t="s">
        <v>51</v>
      </c>
      <c r="C32" s="48" t="s">
        <v>113</v>
      </c>
      <c r="D32" s="48" t="s">
        <v>91</v>
      </c>
      <c r="E32" s="52" t="s">
        <v>118</v>
      </c>
      <c r="F32" s="48" t="s">
        <v>107</v>
      </c>
      <c r="G32" s="48">
        <v>3</v>
      </c>
      <c r="H32" s="59">
        <v>406.4</v>
      </c>
      <c r="I32" s="55">
        <f>H32*0.2232</f>
        <v>90.708479999999994</v>
      </c>
      <c r="J32" s="51">
        <f t="shared" ref="J32:J36" si="6">H32+I32</f>
        <v>497.10847999999999</v>
      </c>
      <c r="K32" s="51">
        <f t="shared" ref="K32:K36" si="7">J32*(0.03%)</f>
        <v>0.14913254399999998</v>
      </c>
      <c r="L32" s="51">
        <f t="shared" ref="L32:L36" si="8">J32-K32</f>
        <v>496.95934745599999</v>
      </c>
      <c r="M32" s="51">
        <f t="shared" ref="M32:M36" si="9">L32*G32</f>
        <v>1490.878042368</v>
      </c>
      <c r="N32" s="14">
        <f t="shared" ref="N32:N36" si="10">M32/M31</f>
        <v>0.19205568648611329</v>
      </c>
      <c r="O32" s="97"/>
    </row>
    <row r="33" spans="1:15" s="19" customFormat="1" ht="17.100000000000001" customHeight="1" x14ac:dyDescent="0.2">
      <c r="A33" s="18" t="s">
        <v>104</v>
      </c>
      <c r="B33" s="18" t="s">
        <v>51</v>
      </c>
      <c r="C33" s="11">
        <v>4791</v>
      </c>
      <c r="D33" s="18" t="s">
        <v>34</v>
      </c>
      <c r="E33" s="49" t="s">
        <v>111</v>
      </c>
      <c r="F33" s="18" t="s">
        <v>86</v>
      </c>
      <c r="G33" s="18">
        <f>2.8*3</f>
        <v>8.3999999999999986</v>
      </c>
      <c r="H33" s="60">
        <v>47.3</v>
      </c>
      <c r="I33" s="14">
        <f t="shared" ref="I33:I36" si="11">H33*0.1532</f>
        <v>7.2463600000000001</v>
      </c>
      <c r="J33" s="14">
        <f t="shared" si="6"/>
        <v>54.54636</v>
      </c>
      <c r="K33" s="14">
        <f t="shared" si="7"/>
        <v>1.6363908E-2</v>
      </c>
      <c r="L33" s="14">
        <f t="shared" si="8"/>
        <v>54.529996091999998</v>
      </c>
      <c r="M33" s="14">
        <f t="shared" si="9"/>
        <v>458.05196717279989</v>
      </c>
      <c r="N33" s="14">
        <f t="shared" si="10"/>
        <v>0.30723637625332795</v>
      </c>
      <c r="O33" s="97"/>
    </row>
    <row r="34" spans="1:15" s="41" customFormat="1" ht="16.5" customHeight="1" x14ac:dyDescent="0.2">
      <c r="A34" s="18" t="s">
        <v>105</v>
      </c>
      <c r="B34" s="18" t="s">
        <v>51</v>
      </c>
      <c r="C34" s="23">
        <v>3315</v>
      </c>
      <c r="D34" s="18" t="s">
        <v>34</v>
      </c>
      <c r="E34" s="24" t="s">
        <v>112</v>
      </c>
      <c r="F34" s="18" t="s">
        <v>86</v>
      </c>
      <c r="G34" s="18">
        <v>5</v>
      </c>
      <c r="H34" s="61">
        <v>0.74</v>
      </c>
      <c r="I34" s="14">
        <f t="shared" si="11"/>
        <v>0.113368</v>
      </c>
      <c r="J34" s="14">
        <f t="shared" si="6"/>
        <v>0.85336800000000002</v>
      </c>
      <c r="K34" s="14">
        <f t="shared" si="7"/>
        <v>2.5601039999999996E-4</v>
      </c>
      <c r="L34" s="14">
        <f t="shared" si="8"/>
        <v>0.85311198960000001</v>
      </c>
      <c r="M34" s="14">
        <f t="shared" si="9"/>
        <v>4.2655599479999999</v>
      </c>
      <c r="N34" s="14">
        <f t="shared" si="10"/>
        <v>9.3123930333232682E-3</v>
      </c>
      <c r="O34" s="97"/>
    </row>
    <row r="35" spans="1:15" x14ac:dyDescent="0.25">
      <c r="A35" s="18" t="s">
        <v>89</v>
      </c>
      <c r="B35" s="18" t="s">
        <v>51</v>
      </c>
      <c r="C35" s="23">
        <v>43647</v>
      </c>
      <c r="D35" s="18" t="s">
        <v>34</v>
      </c>
      <c r="E35" s="24" t="s">
        <v>114</v>
      </c>
      <c r="F35" s="18" t="s">
        <v>87</v>
      </c>
      <c r="G35" s="18">
        <v>3.6</v>
      </c>
      <c r="H35" s="61">
        <v>29.95</v>
      </c>
      <c r="I35" s="14">
        <f t="shared" si="11"/>
        <v>4.5883399999999996</v>
      </c>
      <c r="J35" s="14">
        <f t="shared" si="6"/>
        <v>34.538339999999998</v>
      </c>
      <c r="K35" s="14">
        <f t="shared" si="7"/>
        <v>1.0361501999999998E-2</v>
      </c>
      <c r="L35" s="14">
        <f t="shared" si="8"/>
        <v>34.527978497999996</v>
      </c>
      <c r="M35" s="14">
        <f t="shared" si="9"/>
        <v>124.30072259279999</v>
      </c>
      <c r="N35" s="14">
        <f t="shared" si="10"/>
        <v>29.140540540540538</v>
      </c>
      <c r="O35" s="97"/>
    </row>
    <row r="36" spans="1:15" s="19" customFormat="1" ht="17.100000000000001" customHeight="1" x14ac:dyDescent="0.2">
      <c r="A36" s="18" t="s">
        <v>102</v>
      </c>
      <c r="B36" s="18" t="s">
        <v>51</v>
      </c>
      <c r="C36" s="18">
        <v>12815</v>
      </c>
      <c r="D36" s="18" t="s">
        <v>34</v>
      </c>
      <c r="E36" s="43" t="s">
        <v>88</v>
      </c>
      <c r="F36" s="18" t="s">
        <v>21</v>
      </c>
      <c r="G36" s="18">
        <v>5</v>
      </c>
      <c r="H36" s="60">
        <v>10.89</v>
      </c>
      <c r="I36" s="14">
        <f t="shared" si="11"/>
        <v>1.6683480000000002</v>
      </c>
      <c r="J36" s="14">
        <f t="shared" si="6"/>
        <v>12.558348000000001</v>
      </c>
      <c r="K36" s="14">
        <f t="shared" si="7"/>
        <v>3.7675043999999998E-3</v>
      </c>
      <c r="L36" s="14">
        <f t="shared" si="8"/>
        <v>12.5545804956</v>
      </c>
      <c r="M36" s="14">
        <f t="shared" si="9"/>
        <v>62.772902477999999</v>
      </c>
      <c r="N36" s="14">
        <f t="shared" si="10"/>
        <v>0.50500834724540911</v>
      </c>
      <c r="O36" s="97"/>
    </row>
    <row r="37" spans="1:15" s="19" customFormat="1" ht="17.100000000000001" customHeight="1" x14ac:dyDescent="0.2">
      <c r="A37" s="18" t="s">
        <v>106</v>
      </c>
      <c r="B37" s="18" t="s">
        <v>51</v>
      </c>
      <c r="C37" s="18">
        <v>1767</v>
      </c>
      <c r="D37" s="18" t="s">
        <v>103</v>
      </c>
      <c r="E37" s="50" t="s">
        <v>115</v>
      </c>
      <c r="F37" s="18" t="s">
        <v>116</v>
      </c>
      <c r="G37" s="18">
        <v>40</v>
      </c>
      <c r="H37" s="60">
        <v>107.8</v>
      </c>
      <c r="I37" s="14">
        <f t="shared" ref="I37:I38" si="12">H37*0.1532</f>
        <v>16.514959999999999</v>
      </c>
      <c r="J37" s="14">
        <f t="shared" ref="J37:J38" si="13">H37+I37</f>
        <v>124.31496</v>
      </c>
      <c r="K37" s="14">
        <f t="shared" ref="K37:K38" si="14">J37*(0.03%)</f>
        <v>3.7294487999999994E-2</v>
      </c>
      <c r="L37" s="14">
        <f t="shared" ref="L37:L38" si="15">J37-K37</f>
        <v>124.277665512</v>
      </c>
      <c r="M37" s="14">
        <f t="shared" ref="M37:M38" si="16">L37*G37</f>
        <v>4971.1066204799999</v>
      </c>
      <c r="N37" s="14">
        <f t="shared" ref="N37:N38" si="17">M37/M36</f>
        <v>79.191919191919197</v>
      </c>
      <c r="O37" s="97"/>
    </row>
    <row r="38" spans="1:15" x14ac:dyDescent="0.25">
      <c r="A38" s="18" t="s">
        <v>90</v>
      </c>
      <c r="B38" s="18" t="s">
        <v>51</v>
      </c>
      <c r="C38" s="18">
        <v>11762</v>
      </c>
      <c r="D38" s="18" t="s">
        <v>34</v>
      </c>
      <c r="E38" s="25" t="s">
        <v>101</v>
      </c>
      <c r="F38" s="18" t="s">
        <v>21</v>
      </c>
      <c r="G38" s="18">
        <v>10</v>
      </c>
      <c r="H38" s="60">
        <v>56.5</v>
      </c>
      <c r="I38" s="14">
        <f t="shared" si="12"/>
        <v>8.6557999999999993</v>
      </c>
      <c r="J38" s="14">
        <f t="shared" si="13"/>
        <v>65.155799999999999</v>
      </c>
      <c r="K38" s="14">
        <f t="shared" si="14"/>
        <v>1.9546739999999996E-2</v>
      </c>
      <c r="L38" s="14">
        <f t="shared" si="15"/>
        <v>65.136253260000004</v>
      </c>
      <c r="M38" s="14">
        <f t="shared" si="16"/>
        <v>651.36253260000001</v>
      </c>
      <c r="N38" s="14">
        <f t="shared" si="17"/>
        <v>0.13102968460111317</v>
      </c>
      <c r="O38" s="97"/>
    </row>
    <row r="39" spans="1:15" s="19" customFormat="1" ht="17.100000000000001" customHeight="1" x14ac:dyDescent="0.2">
      <c r="A39" s="18"/>
      <c r="B39" s="18"/>
      <c r="C39" s="18"/>
      <c r="D39" s="18"/>
      <c r="E39" s="50"/>
      <c r="F39" s="18"/>
      <c r="G39" s="18"/>
      <c r="H39" s="42"/>
      <c r="I39" s="14"/>
      <c r="J39" s="14"/>
      <c r="K39" s="14"/>
      <c r="L39" s="14"/>
      <c r="M39" s="14"/>
      <c r="N39" s="14"/>
      <c r="O39" s="97"/>
    </row>
    <row r="40" spans="1:15" s="19" customFormat="1" ht="17.100000000000001" customHeight="1" x14ac:dyDescent="0.2">
      <c r="A40" s="18"/>
      <c r="B40" s="18"/>
      <c r="C40" s="23"/>
      <c r="D40" s="18"/>
      <c r="E40" s="24"/>
      <c r="F40" s="18"/>
      <c r="G40" s="18"/>
      <c r="H40" s="27"/>
      <c r="I40" s="14"/>
      <c r="J40" s="14"/>
      <c r="K40" s="14"/>
      <c r="L40" s="14"/>
      <c r="M40" s="14"/>
      <c r="N40" s="14"/>
      <c r="O40" s="97"/>
    </row>
    <row r="41" spans="1:15" s="28" customFormat="1" ht="17.100000000000001" customHeight="1" x14ac:dyDescent="0.25">
      <c r="A41" s="100" t="s">
        <v>16</v>
      </c>
      <c r="B41" s="102" t="s">
        <v>17</v>
      </c>
      <c r="C41" s="102" t="s">
        <v>18</v>
      </c>
      <c r="D41" s="102" t="s">
        <v>19</v>
      </c>
      <c r="E41" s="102" t="s">
        <v>20</v>
      </c>
      <c r="F41" s="102" t="s">
        <v>21</v>
      </c>
      <c r="G41" s="102" t="s">
        <v>22</v>
      </c>
      <c r="H41" s="113" t="s">
        <v>23</v>
      </c>
      <c r="I41" s="113"/>
      <c r="J41" s="113"/>
      <c r="K41" s="113"/>
      <c r="L41" s="114"/>
      <c r="M41" s="102" t="s">
        <v>24</v>
      </c>
      <c r="N41" s="102" t="s">
        <v>25</v>
      </c>
      <c r="O41" s="68"/>
    </row>
    <row r="42" spans="1:15" s="28" customFormat="1" ht="17.100000000000001" customHeight="1" x14ac:dyDescent="0.25">
      <c r="A42" s="101"/>
      <c r="B42" s="103"/>
      <c r="C42" s="103"/>
      <c r="D42" s="103"/>
      <c r="E42" s="103"/>
      <c r="F42" s="103"/>
      <c r="G42" s="103"/>
      <c r="H42" s="4" t="s">
        <v>27</v>
      </c>
      <c r="I42" s="4" t="s">
        <v>28</v>
      </c>
      <c r="J42" s="4" t="s">
        <v>29</v>
      </c>
      <c r="K42" s="4" t="s">
        <v>55</v>
      </c>
      <c r="L42" s="4" t="s">
        <v>30</v>
      </c>
      <c r="M42" s="103"/>
      <c r="N42" s="103"/>
      <c r="O42" s="68"/>
    </row>
    <row r="43" spans="1:15" s="29" customFormat="1" ht="17.100000000000001" customHeight="1" x14ac:dyDescent="0.2">
      <c r="A43" s="30">
        <v>3</v>
      </c>
      <c r="B43" s="104" t="s">
        <v>38</v>
      </c>
      <c r="C43" s="105"/>
      <c r="D43" s="105"/>
      <c r="E43" s="105"/>
      <c r="F43" s="106"/>
      <c r="G43" s="31"/>
      <c r="H43" s="31"/>
      <c r="I43" s="31"/>
      <c r="J43" s="31"/>
      <c r="K43" s="31"/>
      <c r="L43" s="31"/>
      <c r="M43" s="32">
        <f>SUM(M44:M48)</f>
        <v>13947.3401743104</v>
      </c>
      <c r="N43" s="31"/>
      <c r="O43" s="68"/>
    </row>
    <row r="44" spans="1:15" s="29" customFormat="1" ht="26.25" customHeight="1" x14ac:dyDescent="0.2">
      <c r="A44" s="33" t="s">
        <v>79</v>
      </c>
      <c r="B44" s="33" t="s">
        <v>33</v>
      </c>
      <c r="C44" s="33" t="s">
        <v>60</v>
      </c>
      <c r="D44" s="33" t="s">
        <v>34</v>
      </c>
      <c r="E44" s="34" t="s">
        <v>61</v>
      </c>
      <c r="F44" s="35" t="s">
        <v>35</v>
      </c>
      <c r="G44" s="54">
        <f>54-30</f>
        <v>24</v>
      </c>
      <c r="H44" s="57">
        <v>31.59</v>
      </c>
      <c r="I44" s="36">
        <f>H44*0.2232</f>
        <v>7.0508880000000005</v>
      </c>
      <c r="J44" s="36">
        <f>H44+I44</f>
        <v>38.640888000000004</v>
      </c>
      <c r="K44" s="36">
        <f>J44*(0.03%)</f>
        <v>1.1592266400000001E-2</v>
      </c>
      <c r="L44" s="36">
        <f>J44-K44</f>
        <v>38.629295733600003</v>
      </c>
      <c r="M44" s="36">
        <f>L44*G44</f>
        <v>927.10309760640007</v>
      </c>
      <c r="N44" s="36">
        <f>M44/M$16</f>
        <v>1.413056909759945E-2</v>
      </c>
      <c r="O44" s="97"/>
    </row>
    <row r="45" spans="1:15" s="29" customFormat="1" ht="23.25" customHeight="1" x14ac:dyDescent="0.2">
      <c r="A45" s="33" t="s">
        <v>84</v>
      </c>
      <c r="B45" s="33" t="s">
        <v>33</v>
      </c>
      <c r="C45" s="33" t="s">
        <v>62</v>
      </c>
      <c r="D45" s="33" t="s">
        <v>34</v>
      </c>
      <c r="E45" s="34" t="s">
        <v>63</v>
      </c>
      <c r="F45" s="35" t="s">
        <v>35</v>
      </c>
      <c r="G45" s="54">
        <f>54-30</f>
        <v>24</v>
      </c>
      <c r="H45" s="57">
        <v>27.2</v>
      </c>
      <c r="I45" s="36">
        <f t="shared" ref="I45" si="18">H45*0.2232</f>
        <v>6.07104</v>
      </c>
      <c r="J45" s="36">
        <f t="shared" ref="J45" si="19">H45+I45</f>
        <v>33.271039999999999</v>
      </c>
      <c r="K45" s="36">
        <f t="shared" ref="K45" si="20">J45*(0.03%)</f>
        <v>9.9813119999999991E-3</v>
      </c>
      <c r="L45" s="36">
        <f t="shared" ref="L45" si="21">J45-K45</f>
        <v>33.261058687999999</v>
      </c>
      <c r="M45" s="36">
        <f t="shared" ref="M45" si="22">L45*G45</f>
        <v>798.26540851200002</v>
      </c>
      <c r="N45" s="36">
        <f>M45/M$16</f>
        <v>1.2166871777610161E-2</v>
      </c>
      <c r="O45" s="97"/>
    </row>
    <row r="46" spans="1:15" s="28" customFormat="1" ht="26.25" customHeight="1" x14ac:dyDescent="0.25">
      <c r="A46" s="11" t="s">
        <v>80</v>
      </c>
      <c r="B46" s="11" t="s">
        <v>33</v>
      </c>
      <c r="C46" s="11">
        <v>88310</v>
      </c>
      <c r="D46" s="11" t="s">
        <v>34</v>
      </c>
      <c r="E46" s="20" t="s">
        <v>85</v>
      </c>
      <c r="F46" s="13" t="s">
        <v>35</v>
      </c>
      <c r="G46" s="53">
        <f>180-40</f>
        <v>140</v>
      </c>
      <c r="H46" s="56">
        <v>36.42</v>
      </c>
      <c r="I46" s="14">
        <f>H46*0.2232</f>
        <v>8.1289440000000006</v>
      </c>
      <c r="J46" s="14">
        <f>H46+I46</f>
        <v>44.548944000000006</v>
      </c>
      <c r="K46" s="14">
        <f>J46*(0.03%)</f>
        <v>1.3364683200000001E-2</v>
      </c>
      <c r="L46" s="14">
        <f>J46-K46</f>
        <v>44.535579316800003</v>
      </c>
      <c r="M46" s="14">
        <f>L46*G46</f>
        <v>6234.9811043520003</v>
      </c>
      <c r="N46" s="14">
        <f>M46/M$16</f>
        <v>9.5031320189458784E-2</v>
      </c>
      <c r="O46" s="97"/>
    </row>
    <row r="47" spans="1:15" s="29" customFormat="1" ht="23.25" customHeight="1" x14ac:dyDescent="0.2">
      <c r="A47" s="115" t="s">
        <v>109</v>
      </c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7"/>
      <c r="N47" s="45"/>
      <c r="O47" s="97"/>
    </row>
    <row r="48" spans="1:15" s="29" customFormat="1" ht="23.25" customHeight="1" x14ac:dyDescent="0.2">
      <c r="A48" s="37" t="s">
        <v>110</v>
      </c>
      <c r="B48" s="33" t="s">
        <v>33</v>
      </c>
      <c r="C48" s="46">
        <v>88325</v>
      </c>
      <c r="D48" s="46" t="s">
        <v>34</v>
      </c>
      <c r="E48" s="47" t="s">
        <v>108</v>
      </c>
      <c r="F48" s="46" t="s">
        <v>35</v>
      </c>
      <c r="G48" s="46">
        <v>180</v>
      </c>
      <c r="H48" s="58">
        <v>27.2</v>
      </c>
      <c r="I48" s="37">
        <f t="shared" ref="I48" si="23">H48*0.2232</f>
        <v>6.07104</v>
      </c>
      <c r="J48" s="37">
        <f t="shared" ref="J48" si="24">H48+I48</f>
        <v>33.271039999999999</v>
      </c>
      <c r="K48" s="37">
        <f t="shared" ref="K48" si="25">J48*(0.03%)</f>
        <v>9.9813119999999991E-3</v>
      </c>
      <c r="L48" s="37">
        <f t="shared" ref="L48" si="26">J48-K48</f>
        <v>33.261058687999999</v>
      </c>
      <c r="M48" s="37">
        <f t="shared" ref="M48" si="27">L48*G48</f>
        <v>5986.9905638399996</v>
      </c>
      <c r="N48" s="36">
        <f t="shared" ref="N48" si="28">M48/M$16</f>
        <v>9.1251538332076207E-2</v>
      </c>
      <c r="O48" s="97"/>
    </row>
    <row r="49" spans="1:15" s="41" customFormat="1" ht="17.100000000000001" customHeight="1" x14ac:dyDescent="0.2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97"/>
    </row>
    <row r="50" spans="1:15" s="41" customFormat="1" ht="17.100000000000001" customHeight="1" x14ac:dyDescent="0.2">
      <c r="A50" s="107"/>
      <c r="B50" s="108"/>
      <c r="C50" s="108"/>
      <c r="D50" s="108"/>
      <c r="E50" s="108"/>
      <c r="F50" s="108"/>
      <c r="G50" s="108"/>
      <c r="H50" s="39" t="s">
        <v>39</v>
      </c>
      <c r="I50" s="40"/>
      <c r="J50" s="109">
        <f>M16+M31+M43</f>
        <v>87319.827938475602</v>
      </c>
      <c r="K50" s="110"/>
      <c r="L50" s="110"/>
      <c r="M50" s="110"/>
      <c r="N50" s="111"/>
      <c r="O50" s="68"/>
    </row>
    <row r="51" spans="1:15" ht="17.100000000000001" customHeight="1" x14ac:dyDescent="0.25">
      <c r="A51" s="112" t="s">
        <v>81</v>
      </c>
      <c r="B51" s="73"/>
      <c r="C51" s="73"/>
      <c r="D51" s="73"/>
      <c r="E51" s="73"/>
      <c r="F51" s="73"/>
      <c r="G51" s="73"/>
      <c r="H51" s="70"/>
      <c r="I51" s="70"/>
      <c r="J51" s="70"/>
      <c r="K51" s="70"/>
      <c r="L51" s="70"/>
      <c r="M51" s="70"/>
      <c r="N51" s="71"/>
      <c r="O51" s="68"/>
    </row>
    <row r="52" spans="1:15" ht="17.100000000000001" customHeight="1" x14ac:dyDescent="0.25">
      <c r="A52" s="72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4"/>
      <c r="O52" s="68"/>
    </row>
    <row r="53" spans="1:15" ht="17.100000000000001" customHeight="1" x14ac:dyDescent="0.25">
      <c r="A53" s="72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4"/>
      <c r="O53" s="68"/>
    </row>
    <row r="54" spans="1:15" ht="17.100000000000001" customHeight="1" x14ac:dyDescent="0.25">
      <c r="A54" s="72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4"/>
      <c r="O54" s="68"/>
    </row>
    <row r="55" spans="1:15" ht="17.100000000000001" customHeight="1" x14ac:dyDescent="0.25">
      <c r="A55" s="72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4"/>
      <c r="O55" s="68"/>
    </row>
    <row r="56" spans="1:15" ht="17.100000000000001" customHeight="1" x14ac:dyDescent="0.25">
      <c r="A56" s="72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4"/>
      <c r="O56" s="68"/>
    </row>
    <row r="57" spans="1:15" ht="17.100000000000001" customHeight="1" x14ac:dyDescent="0.25">
      <c r="A57" s="75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7"/>
      <c r="O57" s="68"/>
    </row>
    <row r="58" spans="1:15" ht="17.100000000000001" customHeight="1" x14ac:dyDescent="0.25">
      <c r="A58" s="134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35"/>
    </row>
    <row r="59" spans="1:15" ht="17.100000000000001" customHeight="1" x14ac:dyDescent="0.25">
      <c r="A59" s="136" t="s">
        <v>40</v>
      </c>
      <c r="B59" s="137"/>
      <c r="C59" s="137"/>
      <c r="D59" s="137"/>
      <c r="E59" s="137"/>
      <c r="F59" s="137"/>
      <c r="G59" s="138" t="s">
        <v>41</v>
      </c>
      <c r="H59" s="138"/>
      <c r="I59" s="138"/>
      <c r="J59" s="138"/>
      <c r="K59" s="139"/>
      <c r="L59" s="140"/>
      <c r="M59" s="140"/>
      <c r="N59" s="141"/>
      <c r="O59" s="68" t="s">
        <v>42</v>
      </c>
    </row>
    <row r="60" spans="1:15" ht="17.100000000000001" customHeight="1" x14ac:dyDescent="0.25">
      <c r="A60" s="146" t="s">
        <v>43</v>
      </c>
      <c r="B60" s="147"/>
      <c r="C60" s="147"/>
      <c r="D60" s="147"/>
      <c r="E60" s="147"/>
      <c r="F60" s="148"/>
      <c r="G60" s="152" t="s">
        <v>44</v>
      </c>
      <c r="H60" s="147"/>
      <c r="I60" s="147"/>
      <c r="J60" s="148"/>
      <c r="K60" s="142"/>
      <c r="L60" s="143"/>
      <c r="M60" s="143"/>
      <c r="N60" s="144"/>
      <c r="O60" s="68"/>
    </row>
    <row r="61" spans="1:15" ht="17.100000000000001" customHeight="1" x14ac:dyDescent="0.25">
      <c r="A61" s="149"/>
      <c r="B61" s="150"/>
      <c r="C61" s="150"/>
      <c r="D61" s="150"/>
      <c r="E61" s="150"/>
      <c r="F61" s="151"/>
      <c r="G61" s="153"/>
      <c r="H61" s="150"/>
      <c r="I61" s="150"/>
      <c r="J61" s="151"/>
      <c r="K61" s="142"/>
      <c r="L61" s="143"/>
      <c r="M61" s="143"/>
      <c r="N61" s="144"/>
      <c r="O61" s="68"/>
    </row>
    <row r="62" spans="1:15" ht="17.100000000000001" customHeight="1" x14ac:dyDescent="0.25">
      <c r="A62" s="149"/>
      <c r="B62" s="150"/>
      <c r="C62" s="150"/>
      <c r="D62" s="150"/>
      <c r="E62" s="150"/>
      <c r="F62" s="151"/>
      <c r="G62" s="153"/>
      <c r="H62" s="150"/>
      <c r="I62" s="150"/>
      <c r="J62" s="151"/>
      <c r="K62" s="142"/>
      <c r="L62" s="143"/>
      <c r="M62" s="143"/>
      <c r="N62" s="144"/>
      <c r="O62" s="68"/>
    </row>
    <row r="63" spans="1:15" ht="17.100000000000001" customHeight="1" x14ac:dyDescent="0.25">
      <c r="A63" s="149"/>
      <c r="B63" s="150"/>
      <c r="C63" s="150"/>
      <c r="D63" s="150"/>
      <c r="E63" s="150"/>
      <c r="F63" s="151"/>
      <c r="G63" s="153"/>
      <c r="H63" s="150"/>
      <c r="I63" s="150"/>
      <c r="J63" s="151"/>
      <c r="K63" s="142"/>
      <c r="L63" s="143"/>
      <c r="M63" s="143"/>
      <c r="N63" s="144"/>
      <c r="O63" s="68"/>
    </row>
    <row r="64" spans="1:15" ht="17.100000000000001" customHeight="1" x14ac:dyDescent="0.25">
      <c r="A64" s="149"/>
      <c r="B64" s="150"/>
      <c r="C64" s="150"/>
      <c r="D64" s="150"/>
      <c r="E64" s="150"/>
      <c r="F64" s="151"/>
      <c r="G64" s="153"/>
      <c r="H64" s="150"/>
      <c r="I64" s="150"/>
      <c r="J64" s="151"/>
      <c r="K64" s="142"/>
      <c r="L64" s="143"/>
      <c r="M64" s="143"/>
      <c r="N64" s="144"/>
      <c r="O64" s="68"/>
    </row>
    <row r="65" spans="1:19" ht="17.100000000000001" customHeight="1" x14ac:dyDescent="0.25">
      <c r="A65" s="149"/>
      <c r="B65" s="150"/>
      <c r="C65" s="150"/>
      <c r="D65" s="150"/>
      <c r="E65" s="150"/>
      <c r="F65" s="151"/>
      <c r="G65" s="153"/>
      <c r="H65" s="150"/>
      <c r="I65" s="150"/>
      <c r="J65" s="151"/>
      <c r="K65" s="142"/>
      <c r="L65" s="143"/>
      <c r="M65" s="143"/>
      <c r="N65" s="144"/>
      <c r="O65" s="68"/>
    </row>
    <row r="66" spans="1:19" ht="17.100000000000001" customHeight="1" x14ac:dyDescent="0.25">
      <c r="A66" s="149"/>
      <c r="B66" s="150"/>
      <c r="C66" s="150"/>
      <c r="D66" s="150"/>
      <c r="E66" s="150"/>
      <c r="F66" s="151"/>
      <c r="G66" s="153"/>
      <c r="H66" s="150"/>
      <c r="I66" s="150"/>
      <c r="J66" s="151"/>
      <c r="K66" s="142"/>
      <c r="L66" s="143"/>
      <c r="M66" s="143"/>
      <c r="N66" s="144"/>
      <c r="O66" s="68"/>
    </row>
    <row r="67" spans="1:19" ht="17.100000000000001" customHeight="1" thickBot="1" x14ac:dyDescent="0.3">
      <c r="A67" s="149"/>
      <c r="B67" s="150"/>
      <c r="C67" s="150"/>
      <c r="D67" s="150"/>
      <c r="E67" s="150"/>
      <c r="F67" s="151"/>
      <c r="G67" s="153"/>
      <c r="H67" s="150"/>
      <c r="I67" s="150"/>
      <c r="J67" s="151"/>
      <c r="K67" s="142"/>
      <c r="L67" s="143"/>
      <c r="M67" s="143"/>
      <c r="N67" s="144"/>
      <c r="O67" s="145"/>
    </row>
    <row r="68" spans="1:19" ht="17.100000000000001" customHeight="1" thickBot="1" x14ac:dyDescent="0.3">
      <c r="A68" s="119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1"/>
    </row>
    <row r="69" spans="1:19" ht="17.100000000000001" customHeight="1" x14ac:dyDescent="0.25">
      <c r="A69" s="112" t="s">
        <v>45</v>
      </c>
      <c r="B69" s="73"/>
      <c r="C69" s="73"/>
      <c r="D69" s="74"/>
      <c r="E69" s="122" t="s">
        <v>46</v>
      </c>
      <c r="F69" s="73"/>
      <c r="G69" s="73"/>
      <c r="H69" s="73"/>
      <c r="I69" s="73"/>
      <c r="J69" s="73"/>
      <c r="K69" s="124" t="s">
        <v>47</v>
      </c>
      <c r="L69" s="125"/>
      <c r="M69" s="125"/>
      <c r="N69" s="125"/>
      <c r="O69" s="129" t="s">
        <v>48</v>
      </c>
    </row>
    <row r="70" spans="1:19" ht="17.100000000000001" customHeight="1" x14ac:dyDescent="0.25">
      <c r="A70" s="75"/>
      <c r="B70" s="76"/>
      <c r="C70" s="76"/>
      <c r="D70" s="77"/>
      <c r="E70" s="123"/>
      <c r="F70" s="76"/>
      <c r="G70" s="76"/>
      <c r="H70" s="76"/>
      <c r="I70" s="76"/>
      <c r="J70" s="76"/>
      <c r="K70" s="126"/>
      <c r="L70" s="125"/>
      <c r="M70" s="125"/>
      <c r="N70" s="125"/>
      <c r="O70" s="130"/>
    </row>
    <row r="71" spans="1:19" ht="17.100000000000001" customHeight="1" x14ac:dyDescent="0.25">
      <c r="A71" s="69" t="s">
        <v>49</v>
      </c>
      <c r="B71" s="70"/>
      <c r="C71" s="70"/>
      <c r="D71" s="70"/>
      <c r="E71" s="70"/>
      <c r="F71" s="70"/>
      <c r="G71" s="70"/>
      <c r="H71" s="70"/>
      <c r="I71" s="70"/>
      <c r="J71" s="70"/>
      <c r="K71" s="126"/>
      <c r="L71" s="125"/>
      <c r="M71" s="125"/>
      <c r="N71" s="125"/>
      <c r="O71" s="130"/>
    </row>
    <row r="72" spans="1:19" ht="17.100000000000001" customHeight="1" x14ac:dyDescent="0.25">
      <c r="A72" s="72"/>
      <c r="B72" s="73"/>
      <c r="C72" s="73"/>
      <c r="D72" s="73"/>
      <c r="E72" s="73"/>
      <c r="F72" s="73"/>
      <c r="G72" s="73"/>
      <c r="H72" s="73"/>
      <c r="I72" s="73"/>
      <c r="J72" s="73"/>
      <c r="K72" s="126"/>
      <c r="L72" s="125"/>
      <c r="M72" s="125"/>
      <c r="N72" s="125"/>
      <c r="O72" s="130"/>
    </row>
    <row r="73" spans="1:19" ht="17.100000000000001" customHeight="1" x14ac:dyDescent="0.25">
      <c r="A73" s="72"/>
      <c r="B73" s="73"/>
      <c r="C73" s="73"/>
      <c r="D73" s="73"/>
      <c r="E73" s="73"/>
      <c r="F73" s="73"/>
      <c r="G73" s="73"/>
      <c r="H73" s="73"/>
      <c r="I73" s="73"/>
      <c r="J73" s="73"/>
      <c r="K73" s="126"/>
      <c r="L73" s="125"/>
      <c r="M73" s="125"/>
      <c r="N73" s="125"/>
      <c r="O73" s="130"/>
    </row>
    <row r="74" spans="1:19" ht="17.100000000000001" customHeight="1" x14ac:dyDescent="0.25">
      <c r="A74" s="72"/>
      <c r="B74" s="73"/>
      <c r="C74" s="73"/>
      <c r="D74" s="73"/>
      <c r="E74" s="73"/>
      <c r="F74" s="73"/>
      <c r="G74" s="73"/>
      <c r="H74" s="73"/>
      <c r="I74" s="73"/>
      <c r="J74" s="73"/>
      <c r="K74" s="126"/>
      <c r="L74" s="125"/>
      <c r="M74" s="125"/>
      <c r="N74" s="125"/>
      <c r="O74" s="130"/>
    </row>
    <row r="75" spans="1:19" ht="17.100000000000001" customHeight="1" thickBot="1" x14ac:dyDescent="0.3">
      <c r="A75" s="132"/>
      <c r="B75" s="133"/>
      <c r="C75" s="133"/>
      <c r="D75" s="133"/>
      <c r="E75" s="133"/>
      <c r="F75" s="133"/>
      <c r="G75" s="133"/>
      <c r="H75" s="133"/>
      <c r="I75" s="133"/>
      <c r="J75" s="133"/>
      <c r="K75" s="127"/>
      <c r="L75" s="128"/>
      <c r="M75" s="128"/>
      <c r="N75" s="128"/>
      <c r="O75" s="131"/>
    </row>
    <row r="76" spans="1:19" ht="14.1" customHeight="1" x14ac:dyDescent="0.25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</row>
    <row r="77" spans="1:19" ht="14.1" customHeight="1" x14ac:dyDescent="0.25"/>
    <row r="78" spans="1:19" ht="14.1" customHeight="1" x14ac:dyDescent="0.25"/>
    <row r="79" spans="1:19" ht="14.1" customHeight="1" x14ac:dyDescent="0.25"/>
  </sheetData>
  <sortState xmlns:xlrd2="http://schemas.microsoft.com/office/spreadsheetml/2017/richdata2" ref="A32:N76">
    <sortCondition ref="E32:E76"/>
  </sortState>
  <mergeCells count="73">
    <mergeCell ref="A58:O58"/>
    <mergeCell ref="A59:F59"/>
    <mergeCell ref="G59:J59"/>
    <mergeCell ref="K59:N67"/>
    <mergeCell ref="O59:O67"/>
    <mergeCell ref="A60:F67"/>
    <mergeCell ref="G60:J67"/>
    <mergeCell ref="A76:J76"/>
    <mergeCell ref="K76:S76"/>
    <mergeCell ref="A68:O68"/>
    <mergeCell ref="A69:D70"/>
    <mergeCell ref="E69:J70"/>
    <mergeCell ref="K69:N75"/>
    <mergeCell ref="O69:O75"/>
    <mergeCell ref="A71:J75"/>
    <mergeCell ref="N41:N42"/>
    <mergeCell ref="B43:F43"/>
    <mergeCell ref="A50:G50"/>
    <mergeCell ref="J50:N50"/>
    <mergeCell ref="A51:N57"/>
    <mergeCell ref="E41:E42"/>
    <mergeCell ref="F41:F42"/>
    <mergeCell ref="G41:G42"/>
    <mergeCell ref="H41:L41"/>
    <mergeCell ref="M41:M42"/>
    <mergeCell ref="A47:M47"/>
    <mergeCell ref="O14:O57"/>
    <mergeCell ref="A29:A30"/>
    <mergeCell ref="B29:B30"/>
    <mergeCell ref="C29:C30"/>
    <mergeCell ref="D29:D30"/>
    <mergeCell ref="E29:E30"/>
    <mergeCell ref="F29:F30"/>
    <mergeCell ref="G29:G30"/>
    <mergeCell ref="H29:L29"/>
    <mergeCell ref="M29:M30"/>
    <mergeCell ref="N29:N30"/>
    <mergeCell ref="B31:F31"/>
    <mergeCell ref="A41:A42"/>
    <mergeCell ref="B41:B42"/>
    <mergeCell ref="C41:C42"/>
    <mergeCell ref="D41:D42"/>
    <mergeCell ref="F14:F15"/>
    <mergeCell ref="G14:G15"/>
    <mergeCell ref="H14:L14"/>
    <mergeCell ref="M14:M15"/>
    <mergeCell ref="N14:N15"/>
    <mergeCell ref="A14:A15"/>
    <mergeCell ref="B14:B15"/>
    <mergeCell ref="C14:C15"/>
    <mergeCell ref="D14:D15"/>
    <mergeCell ref="E14:E15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</mergeCells>
  <phoneticPr fontId="13" type="noConversion"/>
  <pageMargins left="0.25" right="0.25" top="0.75" bottom="0.75" header="0.3" footer="0.3"/>
  <pageSetup paperSize="9" scale="5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B24"/>
  <sheetViews>
    <sheetView workbookViewId="0">
      <selection activeCell="B8" sqref="B8"/>
    </sheetView>
  </sheetViews>
  <sheetFormatPr defaultRowHeight="15" x14ac:dyDescent="0.25"/>
  <cols>
    <col min="2" max="2" width="46.28515625" bestFit="1" customWidth="1"/>
  </cols>
  <sheetData>
    <row r="3" spans="2:2" x14ac:dyDescent="0.25">
      <c r="B3" t="s">
        <v>92</v>
      </c>
    </row>
    <row r="4" spans="2:2" x14ac:dyDescent="0.25">
      <c r="B4" t="s">
        <v>93</v>
      </c>
    </row>
    <row r="5" spans="2:2" x14ac:dyDescent="0.25">
      <c r="B5" t="s">
        <v>94</v>
      </c>
    </row>
    <row r="6" spans="2:2" x14ac:dyDescent="0.25">
      <c r="B6" t="s">
        <v>95</v>
      </c>
    </row>
    <row r="7" spans="2:2" x14ac:dyDescent="0.25">
      <c r="B7">
        <v>1</v>
      </c>
    </row>
    <row r="8" spans="2:2" x14ac:dyDescent="0.25">
      <c r="B8" t="s">
        <v>96</v>
      </c>
    </row>
    <row r="9" spans="2:2" x14ac:dyDescent="0.25">
      <c r="B9" s="44">
        <v>20</v>
      </c>
    </row>
    <row r="10" spans="2:2" x14ac:dyDescent="0.25">
      <c r="B10" s="44">
        <v>40</v>
      </c>
    </row>
    <row r="11" spans="2:2" x14ac:dyDescent="0.25">
      <c r="B11">
        <v>7</v>
      </c>
    </row>
    <row r="12" spans="2:2" x14ac:dyDescent="0.25">
      <c r="B12" t="s">
        <v>97</v>
      </c>
    </row>
    <row r="13" spans="2:2" x14ac:dyDescent="0.25">
      <c r="B13" s="44">
        <v>45</v>
      </c>
    </row>
    <row r="14" spans="2:2" x14ac:dyDescent="0.25">
      <c r="B14" s="44">
        <v>315</v>
      </c>
    </row>
    <row r="15" spans="2:2" x14ac:dyDescent="0.25">
      <c r="B15">
        <v>7</v>
      </c>
    </row>
    <row r="16" spans="2:2" x14ac:dyDescent="0.25">
      <c r="B16" t="s">
        <v>98</v>
      </c>
    </row>
    <row r="17" spans="2:2" x14ac:dyDescent="0.25">
      <c r="B17" s="44">
        <v>45</v>
      </c>
    </row>
    <row r="18" spans="2:2" x14ac:dyDescent="0.25">
      <c r="B18" s="44">
        <v>315</v>
      </c>
    </row>
    <row r="19" spans="2:2" x14ac:dyDescent="0.25">
      <c r="B19">
        <v>7</v>
      </c>
    </row>
    <row r="20" spans="2:2" x14ac:dyDescent="0.25">
      <c r="B20" t="s">
        <v>99</v>
      </c>
    </row>
    <row r="21" spans="2:2" x14ac:dyDescent="0.25">
      <c r="B21" s="44">
        <v>690</v>
      </c>
    </row>
    <row r="22" spans="2:2" x14ac:dyDescent="0.25">
      <c r="B22" s="44">
        <v>4830</v>
      </c>
    </row>
    <row r="23" spans="2:2" x14ac:dyDescent="0.25">
      <c r="B23">
        <v>7</v>
      </c>
    </row>
    <row r="24" spans="2:2" x14ac:dyDescent="0.25">
      <c r="B24" t="s">
        <v>100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482779A-E776-495F-A4F3-057F66960275}"/>
</file>

<file path=customXml/itemProps2.xml><?xml version="1.0" encoding="utf-8"?>
<ds:datastoreItem xmlns:ds="http://schemas.openxmlformats.org/officeDocument/2006/customXml" ds:itemID="{09A7714B-789F-44AD-A2AD-1E20ED74C204}"/>
</file>

<file path=customXml/itemProps3.xml><?xml version="1.0" encoding="utf-8"?>
<ds:datastoreItem xmlns:ds="http://schemas.openxmlformats.org/officeDocument/2006/customXml" ds:itemID="{2CF1F51B-F44C-423B-9A69-22F465631F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São Carlos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2022-04-24T23:49:58Z</cp:lastPrinted>
  <dcterms:created xsi:type="dcterms:W3CDTF">2022-01-02T19:12:46Z</dcterms:created>
  <dcterms:modified xsi:type="dcterms:W3CDTF">2024-04-15T21:39:49Z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