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G:\Meu Drive\0-Gi contrato 2022\Medições\20-Janeiro-24\"/>
    </mc:Choice>
  </mc:AlternateContent>
  <xr:revisionPtr revIDLastSave="0" documentId="13_ncr:1_{3F590AA8-983E-47AF-BB56-E7FCEF8321C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ão Carlos" sheetId="1" r:id="rId1"/>
    <sheet name="Planilha1" sheetId="2" r:id="rId2"/>
  </sheets>
  <definedNames>
    <definedName name="_xlnm.Print_Area" localSheetId="0">'São Carlos'!$A$1:$O$108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77" i="1" l="1"/>
  <c r="G80" i="1"/>
  <c r="G79" i="1"/>
  <c r="I77" i="1" l="1"/>
  <c r="J77" i="1" s="1"/>
  <c r="K77" i="1" l="1"/>
  <c r="L77" i="1" s="1"/>
  <c r="M77" i="1" s="1"/>
  <c r="I72" i="1" l="1"/>
  <c r="J72" i="1" s="1"/>
  <c r="K72" i="1" l="1"/>
  <c r="L72" i="1" s="1"/>
  <c r="M72" i="1" s="1"/>
  <c r="I69" i="1" l="1"/>
  <c r="J69" i="1" s="1"/>
  <c r="I70" i="1"/>
  <c r="J70" i="1" s="1"/>
  <c r="K70" i="1" s="1"/>
  <c r="I68" i="1"/>
  <c r="J68" i="1" s="1"/>
  <c r="I67" i="1"/>
  <c r="J67" i="1" s="1"/>
  <c r="I71" i="1"/>
  <c r="J71" i="1" s="1"/>
  <c r="K69" i="1" l="1"/>
  <c r="L69" i="1" s="1"/>
  <c r="M69" i="1" s="1"/>
  <c r="L70" i="1"/>
  <c r="M70" i="1" s="1"/>
  <c r="K68" i="1"/>
  <c r="L68" i="1"/>
  <c r="M68" i="1" s="1"/>
  <c r="K71" i="1"/>
  <c r="L71" i="1" s="1"/>
  <c r="M71" i="1" s="1"/>
  <c r="K67" i="1"/>
  <c r="L67" i="1"/>
  <c r="M67" i="1" s="1"/>
  <c r="I37" i="1" l="1"/>
  <c r="J37" i="1" s="1"/>
  <c r="I38" i="1"/>
  <c r="J38" i="1" s="1"/>
  <c r="I39" i="1"/>
  <c r="J39" i="1" s="1"/>
  <c r="G40" i="1"/>
  <c r="I40" i="1"/>
  <c r="J40" i="1" s="1"/>
  <c r="I41" i="1"/>
  <c r="J41" i="1" s="1"/>
  <c r="I42" i="1"/>
  <c r="J42" i="1" s="1"/>
  <c r="I43" i="1"/>
  <c r="J43" i="1" s="1"/>
  <c r="G44" i="1"/>
  <c r="I44" i="1"/>
  <c r="J44" i="1" s="1"/>
  <c r="G45" i="1"/>
  <c r="I45" i="1"/>
  <c r="J45" i="1" s="1"/>
  <c r="K37" i="1" l="1"/>
  <c r="L37" i="1" s="1"/>
  <c r="M37" i="1" s="1"/>
  <c r="N37" i="1" s="1"/>
  <c r="K38" i="1"/>
  <c r="L38" i="1" s="1"/>
  <c r="M38" i="1" s="1"/>
  <c r="K39" i="1"/>
  <c r="L39" i="1" s="1"/>
  <c r="M39" i="1" s="1"/>
  <c r="K40" i="1"/>
  <c r="L40" i="1" s="1"/>
  <c r="M40" i="1" s="1"/>
  <c r="K41" i="1"/>
  <c r="L41" i="1" s="1"/>
  <c r="M41" i="1" s="1"/>
  <c r="K42" i="1"/>
  <c r="L42" i="1" s="1"/>
  <c r="M42" i="1" s="1"/>
  <c r="K43" i="1"/>
  <c r="L43" i="1"/>
  <c r="M43" i="1" s="1"/>
  <c r="K44" i="1"/>
  <c r="L44" i="1" s="1"/>
  <c r="M44" i="1" s="1"/>
  <c r="K45" i="1"/>
  <c r="L45" i="1" s="1"/>
  <c r="M45" i="1" s="1"/>
  <c r="N44" i="1" l="1"/>
  <c r="N38" i="1"/>
  <c r="N39" i="1"/>
  <c r="N40" i="1"/>
  <c r="N41" i="1"/>
  <c r="N42" i="1"/>
  <c r="N43" i="1"/>
  <c r="N45" i="1"/>
  <c r="I46" i="1" l="1"/>
  <c r="J46" i="1" s="1"/>
  <c r="I51" i="1"/>
  <c r="J51" i="1" s="1"/>
  <c r="I52" i="1"/>
  <c r="J52" i="1" s="1"/>
  <c r="I53" i="1"/>
  <c r="J53" i="1" s="1"/>
  <c r="I54" i="1"/>
  <c r="J54" i="1" s="1"/>
  <c r="I55" i="1"/>
  <c r="J55" i="1" s="1"/>
  <c r="K46" i="1" l="1"/>
  <c r="L46" i="1" s="1"/>
  <c r="M46" i="1" s="1"/>
  <c r="N46" i="1" s="1"/>
  <c r="K51" i="1"/>
  <c r="L51" i="1" s="1"/>
  <c r="M51" i="1" s="1"/>
  <c r="K52" i="1"/>
  <c r="L52" i="1" s="1"/>
  <c r="M52" i="1" s="1"/>
  <c r="K53" i="1"/>
  <c r="L53" i="1" s="1"/>
  <c r="M53" i="1" s="1"/>
  <c r="K54" i="1"/>
  <c r="L54" i="1" s="1"/>
  <c r="M54" i="1" s="1"/>
  <c r="K55" i="1"/>
  <c r="L55" i="1" s="1"/>
  <c r="M55" i="1" s="1"/>
  <c r="N52" i="1" l="1"/>
  <c r="N54" i="1"/>
  <c r="N55" i="1"/>
  <c r="I50" i="1" l="1"/>
  <c r="J50" i="1" s="1"/>
  <c r="I49" i="1"/>
  <c r="J49" i="1" s="1"/>
  <c r="K50" i="1" l="1"/>
  <c r="L50" i="1" s="1"/>
  <c r="M50" i="1" s="1"/>
  <c r="N51" i="1" s="1"/>
  <c r="K49" i="1"/>
  <c r="L49" i="1" s="1"/>
  <c r="M49" i="1" s="1"/>
  <c r="I48" i="1"/>
  <c r="J48" i="1" s="1"/>
  <c r="I47" i="1"/>
  <c r="J47" i="1" s="1"/>
  <c r="I36" i="1"/>
  <c r="J36" i="1" s="1"/>
  <c r="I35" i="1"/>
  <c r="J35" i="1" s="1"/>
  <c r="I34" i="1"/>
  <c r="J34" i="1" s="1"/>
  <c r="I33" i="1"/>
  <c r="J33" i="1" s="1"/>
  <c r="I32" i="1"/>
  <c r="J32" i="1" s="1"/>
  <c r="I80" i="1"/>
  <c r="J80" i="1" s="1"/>
  <c r="I75" i="1"/>
  <c r="J75" i="1" s="1"/>
  <c r="N50" i="1" l="1"/>
  <c r="K48" i="1"/>
  <c r="L48" i="1" s="1"/>
  <c r="M48" i="1" s="1"/>
  <c r="K47" i="1"/>
  <c r="L47" i="1" s="1"/>
  <c r="M47" i="1" s="1"/>
  <c r="K36" i="1"/>
  <c r="L36" i="1" s="1"/>
  <c r="M36" i="1" s="1"/>
  <c r="K35" i="1"/>
  <c r="L35" i="1" s="1"/>
  <c r="M35" i="1" s="1"/>
  <c r="K34" i="1"/>
  <c r="L34" i="1" s="1"/>
  <c r="M34" i="1" s="1"/>
  <c r="N34" i="1" s="1"/>
  <c r="K33" i="1"/>
  <c r="L33" i="1" s="1"/>
  <c r="M33" i="1" s="1"/>
  <c r="N33" i="1" s="1"/>
  <c r="K32" i="1"/>
  <c r="L32" i="1" s="1"/>
  <c r="M32" i="1" s="1"/>
  <c r="K80" i="1"/>
  <c r="L80" i="1" s="1"/>
  <c r="M80" i="1" s="1"/>
  <c r="K75" i="1"/>
  <c r="L75" i="1" s="1"/>
  <c r="M75" i="1" s="1"/>
  <c r="N32" i="1" l="1"/>
  <c r="N48" i="1"/>
  <c r="N47" i="1"/>
  <c r="N49" i="1"/>
  <c r="N53" i="1" l="1"/>
  <c r="N36" i="1"/>
  <c r="N35" i="1"/>
  <c r="I65" i="1" l="1"/>
  <c r="J65" i="1" s="1"/>
  <c r="K65" i="1" l="1"/>
  <c r="L65" i="1" s="1"/>
  <c r="M65" i="1" s="1"/>
  <c r="I81" i="1" l="1"/>
  <c r="J81" i="1" s="1"/>
  <c r="I79" i="1"/>
  <c r="J79" i="1" s="1"/>
  <c r="I73" i="1"/>
  <c r="J73" i="1" s="1"/>
  <c r="K79" i="1" l="1"/>
  <c r="L79" i="1" s="1"/>
  <c r="M79" i="1" s="1"/>
  <c r="K81" i="1"/>
  <c r="L81" i="1" s="1"/>
  <c r="M81" i="1" s="1"/>
  <c r="K73" i="1"/>
  <c r="L73" i="1" s="1"/>
  <c r="M73" i="1" s="1"/>
  <c r="I64" i="1" l="1"/>
  <c r="J64" i="1" s="1"/>
  <c r="K64" i="1" s="1"/>
  <c r="L64" i="1" l="1"/>
  <c r="M64" i="1" s="1"/>
  <c r="I63" i="1" l="1"/>
  <c r="J63" i="1" s="1"/>
  <c r="K63" i="1" l="1"/>
  <c r="L63" i="1" s="1"/>
  <c r="M63" i="1" s="1"/>
  <c r="M62" i="1" s="1"/>
  <c r="M31" i="1" l="1"/>
  <c r="I18" i="1" l="1"/>
  <c r="J18" i="1" s="1"/>
  <c r="K18" i="1" s="1"/>
  <c r="I19" i="1"/>
  <c r="J19" i="1" s="1"/>
  <c r="I20" i="1"/>
  <c r="J20" i="1" s="1"/>
  <c r="K20" i="1" s="1"/>
  <c r="I21" i="1"/>
  <c r="J21" i="1" s="1"/>
  <c r="I22" i="1"/>
  <c r="J22" i="1" s="1"/>
  <c r="K22" i="1" s="1"/>
  <c r="I23" i="1"/>
  <c r="J23" i="1" s="1"/>
  <c r="I24" i="1"/>
  <c r="J24" i="1" s="1"/>
  <c r="K24" i="1" s="1"/>
  <c r="I25" i="1"/>
  <c r="J25" i="1" s="1"/>
  <c r="I26" i="1"/>
  <c r="J26" i="1" s="1"/>
  <c r="K26" i="1" s="1"/>
  <c r="I27" i="1"/>
  <c r="J27" i="1" s="1"/>
  <c r="I28" i="1"/>
  <c r="J28" i="1" s="1"/>
  <c r="K28" i="1" s="1"/>
  <c r="K23" i="1" l="1"/>
  <c r="L23" i="1" s="1"/>
  <c r="M23" i="1" s="1"/>
  <c r="K25" i="1"/>
  <c r="L25" i="1" s="1"/>
  <c r="M25" i="1" s="1"/>
  <c r="K27" i="1"/>
  <c r="L27" i="1" s="1"/>
  <c r="M27" i="1" s="1"/>
  <c r="K19" i="1"/>
  <c r="L19" i="1" s="1"/>
  <c r="M19" i="1" s="1"/>
  <c r="K21" i="1"/>
  <c r="L21" i="1" s="1"/>
  <c r="M21" i="1" s="1"/>
  <c r="L28" i="1"/>
  <c r="M28" i="1" s="1"/>
  <c r="L26" i="1"/>
  <c r="M26" i="1" s="1"/>
  <c r="L24" i="1"/>
  <c r="M24" i="1" s="1"/>
  <c r="L22" i="1"/>
  <c r="M22" i="1" s="1"/>
  <c r="L20" i="1"/>
  <c r="M20" i="1" s="1"/>
  <c r="L18" i="1"/>
  <c r="M18" i="1" s="1"/>
  <c r="I17" i="1"/>
  <c r="J17" i="1" s="1"/>
  <c r="K17" i="1" s="1"/>
  <c r="L17" i="1" l="1"/>
  <c r="M17" i="1" s="1"/>
  <c r="M16" i="1" s="1"/>
  <c r="N72" i="1" l="1"/>
  <c r="N77" i="1"/>
  <c r="N70" i="1"/>
  <c r="N69" i="1"/>
  <c r="N71" i="1"/>
  <c r="N67" i="1"/>
  <c r="N68" i="1"/>
  <c r="N64" i="1"/>
  <c r="N80" i="1"/>
  <c r="N75" i="1"/>
  <c r="N65" i="1"/>
  <c r="N81" i="1"/>
  <c r="N79" i="1"/>
  <c r="N73" i="1"/>
  <c r="N63" i="1"/>
  <c r="N19" i="1"/>
  <c r="N18" i="1"/>
  <c r="N23" i="1"/>
  <c r="N21" i="1"/>
  <c r="N26" i="1"/>
  <c r="N20" i="1"/>
  <c r="N27" i="1"/>
  <c r="N25" i="1"/>
  <c r="N24" i="1"/>
  <c r="N28" i="1"/>
  <c r="N22" i="1"/>
  <c r="N17" i="1"/>
  <c r="J83" i="1"/>
  <c r="V87" i="1" s="1"/>
  <c r="V89" i="1" s="1"/>
  <c r="V90" i="1" s="1"/>
  <c r="N16" i="1" l="1"/>
</calcChain>
</file>

<file path=xl/sharedStrings.xml><?xml version="1.0" encoding="utf-8"?>
<sst xmlns="http://schemas.openxmlformats.org/spreadsheetml/2006/main" count="378" uniqueCount="189">
  <si>
    <t>LOGO</t>
  </si>
  <si>
    <t>Ordem de Serviço</t>
  </si>
  <si>
    <t>Prioridade:</t>
  </si>
  <si>
    <t>URGENTE</t>
  </si>
  <si>
    <t xml:space="preserve">24 horas </t>
  </si>
  <si>
    <t>ALTA</t>
  </si>
  <si>
    <t>3 dias</t>
  </si>
  <si>
    <t>MÉDIA</t>
  </si>
  <si>
    <t>7 dias</t>
  </si>
  <si>
    <t>BAIXA</t>
  </si>
  <si>
    <t xml:space="preserve">15 dias </t>
  </si>
  <si>
    <r>
      <t xml:space="preserve">UNIDADE: </t>
    </r>
    <r>
      <rPr>
        <sz val="8"/>
        <color rgb="FFFF0000"/>
        <rFont val="Arial"/>
        <family val="2"/>
      </rPr>
      <t>UFSCar Campus São Carlos</t>
    </r>
  </si>
  <si>
    <t>SOLICITAÇÃO</t>
  </si>
  <si>
    <r>
      <t xml:space="preserve">Solicitante: </t>
    </r>
    <r>
      <rPr>
        <sz val="8"/>
        <color rgb="FFFF0000"/>
        <rFont val="Arial"/>
        <family val="2"/>
      </rPr>
      <t>Prefeitura Universitária do Campus São Carlos</t>
    </r>
  </si>
  <si>
    <r>
      <t xml:space="preserve">Ambiente: </t>
    </r>
    <r>
      <rPr>
        <sz val="8"/>
        <color rgb="FFFF0000"/>
        <rFont val="Arial"/>
        <family val="2"/>
      </rPr>
      <t>Campus São Carlos</t>
    </r>
  </si>
  <si>
    <r>
      <t xml:space="preserve">Prazo de execução: </t>
    </r>
    <r>
      <rPr>
        <sz val="8"/>
        <color rgb="FFFF0000"/>
        <rFont val="Arial"/>
        <family val="2"/>
      </rPr>
      <t>Continuado</t>
    </r>
  </si>
  <si>
    <t>ITEM</t>
  </si>
  <si>
    <t>TIPO</t>
  </si>
  <si>
    <t>CÓDIGO</t>
  </si>
  <si>
    <t>BANCO</t>
  </si>
  <si>
    <t>DESCRIÇÃO DAS ETAPAS</t>
  </si>
  <si>
    <t>UNID.</t>
  </si>
  <si>
    <t>QUANT.</t>
  </si>
  <si>
    <t>PREÇO</t>
  </si>
  <si>
    <t>TOTAL DA ETAPA</t>
  </si>
  <si>
    <t>%</t>
  </si>
  <si>
    <t>ORÇAMENTO</t>
  </si>
  <si>
    <t>UNITÁRIO SEM BDI</t>
  </si>
  <si>
    <t>BDI (22,32%)</t>
  </si>
  <si>
    <t>UNITÁRIO COM BDI</t>
  </si>
  <si>
    <t>UNITÁRIO C/ BDI e DESCONTO</t>
  </si>
  <si>
    <t>EQUIPE DE PRESTAÇÃO DE SERVIÇOS ROTINEIROS DE MANUTENÇÃO PREDIAL</t>
  </si>
  <si>
    <t>1.1</t>
  </si>
  <si>
    <t xml:space="preserve">Composição </t>
  </si>
  <si>
    <t>SINAPI</t>
  </si>
  <si>
    <t>h</t>
  </si>
  <si>
    <t>BDI (15,32%)</t>
  </si>
  <si>
    <t>MATERIAIS NECESSÁRIOS PARA O DESEMPENHO DAS ROTINAS</t>
  </si>
  <si>
    <t>SERVIÇOS / EQUIPAMENTOS ADICIONAIS NECESSÁRIOS DURANTE AS ROTINAS</t>
  </si>
  <si>
    <t>TOTAL DO SERVIÇO - R$</t>
  </si>
  <si>
    <t>APROVAÇÃO DO ORÇAMENTO</t>
  </si>
  <si>
    <t>Ordem Serviço Eletrônica</t>
  </si>
  <si>
    <t>APROVAÇÃO ORÇAMENTO</t>
  </si>
  <si>
    <t>Conforme Serviços.UFSCar</t>
  </si>
  <si>
    <t xml:space="preserve">
Conforme Servicos.UFSCar
</t>
  </si>
  <si>
    <t xml:space="preserve">Data de início:
Hora de início:
</t>
  </si>
  <si>
    <t xml:space="preserve">Data de conclusão:
Hora de conclusão:
</t>
  </si>
  <si>
    <t xml:space="preserve"> _____________________________________________
Fiscal do Contrato / Assinatura
</t>
  </si>
  <si>
    <t xml:space="preserve">EXECUÇÃO / ATESTE DE
APROVAÇAO DO SERVIÇO
</t>
  </si>
  <si>
    <t xml:space="preserve">Observações do fiscal do contrato: </t>
  </si>
  <si>
    <t>2.1</t>
  </si>
  <si>
    <t>Insumos</t>
  </si>
  <si>
    <r>
      <t xml:space="preserve">Prazo de início: </t>
    </r>
    <r>
      <rPr>
        <sz val="8"/>
        <color rgb="FFFF0000"/>
        <rFont val="Arial"/>
        <family val="2"/>
      </rPr>
      <t>13/06/2022</t>
    </r>
  </si>
  <si>
    <r>
      <t xml:space="preserve">CONTRATO: </t>
    </r>
    <r>
      <rPr>
        <sz val="8"/>
        <color rgb="FFFF0000"/>
        <rFont val="Arial"/>
        <family val="2"/>
      </rPr>
      <t xml:space="preserve"> 023/2022</t>
    </r>
  </si>
  <si>
    <t>DESCONTO (0,03%)</t>
  </si>
  <si>
    <t>ESCONTO (0,03%)</t>
  </si>
  <si>
    <t xml:space="preserve"> 88267 </t>
  </si>
  <si>
    <t>ENCANADOR OU BOMBEIRO HIDRÁULICO COM ENCARGOS COMPLEMENTARES</t>
  </si>
  <si>
    <t xml:space="preserve"> 88248 </t>
  </si>
  <si>
    <t>AUXILIAR DE ENCANADOR OU BOMBEIRO HIDRÁULICO COM ENCARGOS COMPLEMENTARES</t>
  </si>
  <si>
    <t xml:space="preserve"> 88309 </t>
  </si>
  <si>
    <t>PEDREIRO COM ENCARGOS COMPLEMENTARES</t>
  </si>
  <si>
    <t xml:space="preserve"> 88242 </t>
  </si>
  <si>
    <t>AJUDANTE DE PEDREIRO COM ENCARGOS COMPLEMENTARES</t>
  </si>
  <si>
    <t xml:space="preserve"> 90776 </t>
  </si>
  <si>
    <t>ENCARREGADO GERAL COM ENCARGOS COMPLEMENTARES</t>
  </si>
  <si>
    <t xml:space="preserve"> 88241 </t>
  </si>
  <si>
    <t>AJUDANTE DE OPERAÇÃO EM GERAL COM ENCARGOS COMPLEMENTARES</t>
  </si>
  <si>
    <t>1.2</t>
  </si>
  <si>
    <t>1.3</t>
  </si>
  <si>
    <t>1.4</t>
  </si>
  <si>
    <t>1.5</t>
  </si>
  <si>
    <t>1.6</t>
  </si>
  <si>
    <t>1.7</t>
  </si>
  <si>
    <t>1.8</t>
  </si>
  <si>
    <t>1.9</t>
  </si>
  <si>
    <t>1.10</t>
  </si>
  <si>
    <t>1.11</t>
  </si>
  <si>
    <t>1.12</t>
  </si>
  <si>
    <t>2.9</t>
  </si>
  <si>
    <t>2.13</t>
  </si>
  <si>
    <t>3.1</t>
  </si>
  <si>
    <t>3.3</t>
  </si>
  <si>
    <t>3.4</t>
  </si>
  <si>
    <t>m²</t>
  </si>
  <si>
    <r>
      <t xml:space="preserve">Observações: 
1) As composições de custos apresentadas nesta planilha orçamentária englobam em seu valor toda a mão de obra, materiais, ferramentas, equipamentos e demais itens necessários à sua perfeita e completa execução.
2) Preços das composições e insumos do </t>
    </r>
    <r>
      <rPr>
        <b/>
        <sz val="8"/>
        <color rgb="FFFF0000"/>
        <rFont val="Arial"/>
        <family val="2"/>
      </rPr>
      <t xml:space="preserve">SINAPI São Paulo (mês 05/2023) </t>
    </r>
    <r>
      <rPr>
        <sz val="8"/>
        <color theme="1"/>
        <rFont val="Arial"/>
        <family val="2"/>
      </rPr>
      <t xml:space="preserve">e/ou demais preços do mercado vigentes na mesma data.
3) A identificação de materiais ou equipamentos por determinada marca implica apenas na caracterização de uma analogia ou similaridade, não tendo caráter vinculante e sim, meramente indicativo.
4) O BDI e o desconto adotados são os acordados no respectivo contrato, bem como a modalidade de impostos desonerados ou padrão, considerando o ISS da Prefeitura local do serviço.
</t>
    </r>
  </si>
  <si>
    <r>
      <t xml:space="preserve">Mês de referência: </t>
    </r>
    <r>
      <rPr>
        <sz val="8"/>
        <color rgb="FFFF0000"/>
        <rFont val="Arial"/>
        <family val="2"/>
      </rPr>
      <t>Maio/2023 (data da proposta)</t>
    </r>
  </si>
  <si>
    <r>
      <t xml:space="preserve">Data Orçamento: </t>
    </r>
    <r>
      <rPr>
        <sz val="8"/>
        <color rgb="FFFF0000"/>
        <rFont val="Arial"/>
        <family val="2"/>
      </rPr>
      <t>Jun/23</t>
    </r>
  </si>
  <si>
    <t>3.2</t>
  </si>
  <si>
    <t>ASSENTO SANITARIO DE PLASTICO, TIPO CONVENCIONAL</t>
  </si>
  <si>
    <t>PINTOR COM ENCARGOS COMPLEMENTARES</t>
  </si>
  <si>
    <t>2.22</t>
  </si>
  <si>
    <t>2.19</t>
  </si>
  <si>
    <t>KG</t>
  </si>
  <si>
    <t>2.10</t>
  </si>
  <si>
    <t>2.14</t>
  </si>
  <si>
    <t>2.11</t>
  </si>
  <si>
    <t>2.16</t>
  </si>
  <si>
    <t>2.18</t>
  </si>
  <si>
    <t>TINTA ACRILICA PREMIUM PARA PISO</t>
  </si>
  <si>
    <t>L</t>
  </si>
  <si>
    <t>TINTA LATEX ACRILICA STANDARD, COR BRANCA</t>
  </si>
  <si>
    <t>FITA CREPE ROLO DE 25 MM X 50 M</t>
  </si>
  <si>
    <t>2.4</t>
  </si>
  <si>
    <t>2.7</t>
  </si>
  <si>
    <t>2.15</t>
  </si>
  <si>
    <t>2.24</t>
  </si>
  <si>
    <t>6.95.47</t>
  </si>
  <si>
    <t>REPARO P/VALVULA DESCARGA HIDRA LISA II</t>
  </si>
  <si>
    <t>ACO CA-50, 8,0 MM, VERGALHAO</t>
  </si>
  <si>
    <t>LIXA D'AGUA EM FOLHA, GRAO 100</t>
  </si>
  <si>
    <t>3.5</t>
  </si>
  <si>
    <t>3.6</t>
  </si>
  <si>
    <t>3.7</t>
  </si>
  <si>
    <t>3.8</t>
  </si>
  <si>
    <t>3.9</t>
  </si>
  <si>
    <t>3.10</t>
  </si>
  <si>
    <t>FORRO EM RÉGUAS DE PVC, FRISADO, PARA AMBIENTES COMERCIAIS, INCLUSIVE ESTRUTURA DE FIXAÇÃO. AF_05/2017_PSr</t>
  </si>
  <si>
    <t>ENGATE / RABICHO FLEXIVEL INOX 1/2 " X 40 CM</t>
  </si>
  <si>
    <t>FITA VEDA ROSCA EM ROLOS DE 18 MM X 50 M (L X C)</t>
  </si>
  <si>
    <t>FDE</t>
  </si>
  <si>
    <t>ACO CA-60, 4,2 MM, OU 5,0 MM, OU 6,0 MM, OU 7,0 MM, VERGALHAO</t>
  </si>
  <si>
    <t>ITEM 02 – AT. 07</t>
  </si>
  <si>
    <t>QTD</t>
  </si>
  <si>
    <t>DESCRIÇÃO O ITEM</t>
  </si>
  <si>
    <t>R$</t>
  </si>
  <si>
    <t>CHAVE DE STORZ P/ HIDRANTE</t>
  </si>
  <si>
    <t>EXTINTOR DE PÓ BC 4KG (RECARGA)</t>
  </si>
  <si>
    <t>EXTINTOR DE AGUA PRESSURIZADA 10L (RECARGA)</t>
  </si>
  <si>
    <t>MANGUEIRA TIPO 2 – 30m -1.¹/2 (NOVO)</t>
  </si>
  <si>
    <t>ESGUICHO REGULAVEL</t>
  </si>
  <si>
    <t>FUNDO PREPARADOR ACRILICO BASE AGUA</t>
  </si>
  <si>
    <t>IMPERMEABILIZANTE FLEXIVEL BRANCO DE BASE ACRILICA PARA COBERTURAS</t>
  </si>
  <si>
    <t>TORNEIRA METALICA CROMADA PARA JARDIM / TANQUE, COM BICO PLASTICO, CANO LONGO, DE PAREDE, PADRAO POPULAR / USO GERAL , 1/2 " OU 3/4 " (REF 1153 / 1130)</t>
  </si>
  <si>
    <t>VALVULA DE DESCARGA METALICA, BASE 1 1/2 " E ACABAMENTO METALICO CROMADO</t>
  </si>
  <si>
    <t>JOELHO, PVC SOLDAVEL, 45 GRAUS, 25 MM, COR MARROM, PARA AGUA FRIA PREDIAL</t>
  </si>
  <si>
    <t>JOELHO PVC, SOLDAVEL, COM BUCHA DE LATAO, 90 GRAUS, 25 MM X 1/2", PARA AGUA FRIA PREDIAL</t>
  </si>
  <si>
    <t>JOELHO PVC, SOLDAVEL, COM BUCHA DE LATAO, 90 GRAUS, 25 MM X 3/4", PARA AGUA FRIA PREDIAL</t>
  </si>
  <si>
    <t>JOELHO PVC, SOLDAVEL, 90 GRAUS, 32 MM, COR MARROM, PARA AGUA FRIA PREDIAL</t>
  </si>
  <si>
    <t>CIMENTO PORTLAND COMPOSTO CP II-32</t>
  </si>
  <si>
    <t>PEDRA BRITADA N. 0, OU PEDRISCO (4,8 A 9,5 MM) POSTO PEDREIRA/FORNECEDOR, SEM FRETE</t>
  </si>
  <si>
    <t>m3</t>
  </si>
  <si>
    <t>AREIA GROSSA - POSTO JAZIDA/FORNECEDOR (RETIRADO NA JAZIDA, SEM TRANSPORTE)</t>
  </si>
  <si>
    <t>MASSA ACRILICA PARA SUPERFICIES INTERNAS E EXTERNAS</t>
  </si>
  <si>
    <t>2.5</t>
  </si>
  <si>
    <t>PINTURA PISO ENFERMAGEM</t>
  </si>
  <si>
    <t>PINTURA DE PISO COM TINTA ACRÍLICA, APLICAÇÃO MANUAL, 2 DEMÃOS, INCLUSO FUNDO PREPARADOR. AF_05/2021</t>
  </si>
  <si>
    <t>ORSE</t>
  </si>
  <si>
    <t>RETIRADA DE DIVISORIA TIPO NAVAL COM APROVEITAMENTO DE MATERIAL</t>
  </si>
  <si>
    <t>REMOÇÃO DE VIDRO LISO COMUM DE ESQUADRIA COM BAGUETE DE ALUMÍNIO OU PVC. AF_01/2021</t>
  </si>
  <si>
    <t>MANUTENÇÃO LABORATORIO DEMA</t>
  </si>
  <si>
    <t>UNID</t>
  </si>
  <si>
    <t>PLACA DE FIBRA MINERAL PARA FORRO, DE 1250 X 625 MM, E = 15 MM, BORDA RETA, COM PINTURA ANTIMOFO (NAO INCLUI PERFIS)</t>
  </si>
  <si>
    <t>2.2</t>
  </si>
  <si>
    <t>2.3</t>
  </si>
  <si>
    <t>2.6</t>
  </si>
  <si>
    <t>2.8</t>
  </si>
  <si>
    <t>2.12</t>
  </si>
  <si>
    <t>2.17</t>
  </si>
  <si>
    <t>2.20</t>
  </si>
  <si>
    <t>2.21</t>
  </si>
  <si>
    <t>2.23</t>
  </si>
  <si>
    <t>PORTA NAP</t>
  </si>
  <si>
    <t>AJUDANTE DE CARPINTEIRO COM ENCARGOS COMPLEMENTARES</t>
  </si>
  <si>
    <t>H</t>
  </si>
  <si>
    <t>CARPINTEIRO DE ESQUADRIA COM ENCARGOS COMPLEMENTARES</t>
  </si>
  <si>
    <t>PORTA DE MADEIRA FRISADA, SEMI-OCA (LEVE OU MÉDIA), 80X210CM, ESPESSURA DE 3,5CM, INCLUSO DOBRADIÇAS - FORNECIMENTO E INSTALAÇÃO. AF_12/2019</t>
  </si>
  <si>
    <t xml:space="preserve"> 32.16.060 </t>
  </si>
  <si>
    <t>CPOS/CDHU</t>
  </si>
  <si>
    <t>Impermeabilização em membrana à base de polímeros acrílicos, na cor branca e reforço em tela poliéster</t>
  </si>
  <si>
    <t>MANUTENÇÃO TELHADO GERONTOLOGIA</t>
  </si>
  <si>
    <r>
      <t xml:space="preserve">Descrição serviço: </t>
    </r>
    <r>
      <rPr>
        <b/>
        <sz val="8"/>
        <color theme="1"/>
        <rFont val="Arial"/>
        <family val="2"/>
      </rPr>
      <t>ROTINAS DE MANUTENÇÃO PREDIAL NO CAMPUS SÃO CARLOS, REFERENTE AO PERIDO DE JANEIRO/2024</t>
    </r>
  </si>
  <si>
    <t>TORNEIRA DE MESA/BANCADA, PARA LAVATORIO, FIXA, METALICA CROMADA, PADRAO POPULAR, 1/2 " OU 3/4 " (REF 1193)</t>
  </si>
  <si>
    <t>RECOLOCAÇÃO DE DIVISÓRIAS - CHAPAS OU TÁBUAS, INCLUSIVE ENTARUGAMENTO</t>
  </si>
  <si>
    <t>SIURB (01/2023)</t>
  </si>
  <si>
    <t>INSTALAÇÃO DE VIDRO LISO INCOLOR, E = 3 MM, EM ESQUADRIA DE ALUMÍNIO OU PVC, FIXADO COM BAGUETE. AF_01/2021_PS</t>
  </si>
  <si>
    <t>14.30.110</t>
  </si>
  <si>
    <t>Divisória cega tipo naval, acabamento em laminado fenólico melamínico, com espessura de 3,5 cm</t>
  </si>
  <si>
    <t>Porta para divisória, dim. 820 x 2110 x 35mm, Naval ou similar - Rev. 01</t>
  </si>
  <si>
    <t>Porta já contempla fornecimento e instalação</t>
  </si>
  <si>
    <t>Acumulado MED 19</t>
  </si>
  <si>
    <t>ANS</t>
  </si>
  <si>
    <t>Valor MED 20 parcial</t>
  </si>
  <si>
    <t>Valor MED 20 final</t>
  </si>
  <si>
    <t>Valor total Residual + MED20</t>
  </si>
  <si>
    <t>Remanejamento período férias</t>
  </si>
  <si>
    <t>Encanador - &gt; encarregado</t>
  </si>
  <si>
    <t>Ajudante -&gt; encanador</t>
  </si>
  <si>
    <t>Ajudante temporário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</si>
</sst>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</numFmts>
  <fonts count="34" x14ac:knownFonts="1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8"/>
      <color theme="1"/>
      <name val="Arial"/>
      <family val="2"/>
    </font>
    <font>
      <b/>
      <sz val="8"/>
      <color rgb="FF3F3F3F"/>
      <name val="Arial"/>
      <family val="2"/>
    </font>
    <font>
      <sz val="8"/>
      <color rgb="FF3F3F3F"/>
      <name val="Arial"/>
      <family val="2"/>
    </font>
    <font>
      <b/>
      <sz val="8"/>
      <color theme="1"/>
      <name val="Arial"/>
      <family val="2"/>
    </font>
    <font>
      <sz val="8"/>
      <color rgb="FFFF000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8"/>
      <color rgb="FFFF0000"/>
      <name val="Arial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3F3F3F"/>
      <name val="Calibri"/>
      <family val="2"/>
      <charset val="1"/>
    </font>
    <font>
      <i/>
      <sz val="11"/>
      <color rgb="FF7F7F7F"/>
      <name val="Calibri"/>
      <family val="2"/>
      <charset val="1"/>
    </font>
    <font>
      <b/>
      <sz val="8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8"/>
      <color rgb="FF000000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F0000"/>
      <name val="Calibri"/>
      <family val="2"/>
      <scheme val="minor"/>
    </font>
    <font>
      <sz val="8"/>
      <name val="Arial"/>
      <family val="2"/>
      <charset val="1"/>
    </font>
    <font>
      <sz val="8"/>
      <color rgb="FF333333"/>
      <name val="Arial"/>
      <family val="2"/>
    </font>
    <font>
      <sz val="8"/>
      <color rgb="FF000000"/>
      <name val="Arial"/>
      <family val="1"/>
    </font>
    <font>
      <sz val="8"/>
      <color rgb="FFFF0000"/>
      <name val="Calibri"/>
      <family val="2"/>
      <scheme val="minor"/>
    </font>
    <font>
      <b/>
      <sz val="8"/>
      <color theme="4"/>
      <name val="Arial"/>
      <family val="2"/>
    </font>
    <font>
      <sz val="8"/>
      <color rgb="FFFF0000"/>
      <name val="Arial"/>
      <family val="2"/>
      <charset val="1"/>
    </font>
    <font>
      <b/>
      <sz val="8"/>
      <color theme="4"/>
      <name val="Calibri"/>
      <family val="2"/>
      <scheme val="minor"/>
    </font>
    <font>
      <sz val="8"/>
      <color rgb="FFFF0000"/>
      <name val="Arial"/>
      <family val="1"/>
    </font>
    <font>
      <b/>
      <sz val="8"/>
      <color rgb="FFFF0000"/>
      <name val="Arial"/>
      <family val="1"/>
    </font>
    <font>
      <b/>
      <sz val="8"/>
      <color theme="4"/>
      <name val="Arial"/>
      <family val="1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2F2F2"/>
        <bgColor rgb="FFFFFFFF"/>
      </patternFill>
    </fill>
  </fills>
  <borders count="45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rgb="FF3F3F3F"/>
      </left>
      <right style="thin">
        <color rgb="FF3F3F3F"/>
      </right>
      <top style="medium">
        <color indexed="64"/>
      </top>
      <bottom style="thin">
        <color rgb="FF3F3F3F"/>
      </bottom>
      <diagonal/>
    </border>
    <border>
      <left style="thin">
        <color rgb="FF3F3F3F"/>
      </left>
      <right style="medium">
        <color indexed="64"/>
      </right>
      <top style="medium">
        <color indexed="64"/>
      </top>
      <bottom style="thin">
        <color rgb="FF3F3F3F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3F3F3F"/>
      </left>
      <right style="medium">
        <color indexed="64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3F3F3F"/>
      </right>
      <top style="thin">
        <color rgb="FF3F3F3F"/>
      </top>
      <bottom/>
      <diagonal/>
    </border>
    <border>
      <left style="thin">
        <color rgb="FF3F3F3F"/>
      </left>
      <right/>
      <top style="thin">
        <color indexed="64"/>
      </top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/>
      <diagonal/>
    </border>
    <border>
      <left/>
      <right style="medium">
        <color indexed="64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/>
      <top style="thin">
        <color rgb="FF3F3F3F"/>
      </top>
      <bottom/>
      <diagonal/>
    </border>
    <border>
      <left style="medium">
        <color indexed="64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3F3F3F"/>
      </left>
      <right style="medium">
        <color indexed="64"/>
      </right>
      <top style="thin">
        <color rgb="FF3F3F3F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rgb="FF3F3F3F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rgb="FF3F3F3F"/>
      </top>
      <bottom style="medium">
        <color indexed="64"/>
      </bottom>
      <diagonal/>
    </border>
    <border>
      <left/>
      <right style="thin">
        <color rgb="FF3F3F3F"/>
      </right>
      <top style="thin">
        <color indexed="64"/>
      </top>
      <bottom/>
      <diagonal/>
    </border>
  </borders>
  <cellStyleXfs count="8">
    <xf numFmtId="0" fontId="0" fillId="0" borderId="0"/>
    <xf numFmtId="0" fontId="1" fillId="2" borderId="1" applyNumberFormat="0" applyAlignment="0" applyProtection="0"/>
    <xf numFmtId="0" fontId="2" fillId="0" borderId="0" applyNumberFormat="0" applyFill="0" applyBorder="0" applyAlignment="0" applyProtection="0"/>
    <xf numFmtId="44" fontId="11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6" fillId="5" borderId="1" applyProtection="0"/>
    <xf numFmtId="0" fontId="17" fillId="0" borderId="0" applyBorder="0" applyProtection="0"/>
    <xf numFmtId="9" fontId="11" fillId="0" borderId="0" applyFont="0" applyFill="0" applyBorder="0" applyAlignment="0" applyProtection="0"/>
  </cellStyleXfs>
  <cellXfs count="193">
    <xf numFmtId="0" fontId="0" fillId="0" borderId="0" xfId="0"/>
    <xf numFmtId="0" fontId="4" fillId="2" borderId="9" xfId="1" applyFont="1" applyBorder="1" applyAlignment="1"/>
    <xf numFmtId="0" fontId="5" fillId="2" borderId="9" xfId="1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5" fillId="2" borderId="25" xfId="1" applyFont="1" applyBorder="1" applyAlignment="1">
      <alignment horizontal="center" vertical="center"/>
    </xf>
    <xf numFmtId="0" fontId="4" fillId="2" borderId="26" xfId="1" applyFont="1" applyBorder="1" applyAlignment="1">
      <alignment vertical="center"/>
    </xf>
    <xf numFmtId="0" fontId="4" fillId="2" borderId="18" xfId="1" applyFont="1" applyBorder="1" applyAlignment="1">
      <alignment vertical="center"/>
    </xf>
    <xf numFmtId="0" fontId="4" fillId="2" borderId="26" xfId="1" applyFont="1" applyBorder="1" applyAlignment="1">
      <alignment horizontal="center" vertical="center"/>
    </xf>
    <xf numFmtId="0" fontId="4" fillId="2" borderId="27" xfId="1" applyFont="1" applyBorder="1" applyAlignment="1">
      <alignment horizontal="center" vertical="center"/>
    </xf>
    <xf numFmtId="4" fontId="4" fillId="2" borderId="27" xfId="1" applyNumberFormat="1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9" fillId="0" borderId="24" xfId="2" applyFont="1" applyBorder="1" applyAlignment="1" applyProtection="1">
      <alignment horizontal="left" vertical="center" wrapText="1"/>
    </xf>
    <xf numFmtId="0" fontId="9" fillId="0" borderId="24" xfId="2" applyFont="1" applyBorder="1" applyAlignment="1" applyProtection="1">
      <alignment horizontal="center" vertical="center"/>
    </xf>
    <xf numFmtId="4" fontId="9" fillId="0" borderId="24" xfId="2" applyNumberFormat="1" applyFont="1" applyBorder="1" applyAlignment="1" applyProtection="1">
      <alignment horizontal="center" vertical="center"/>
    </xf>
    <xf numFmtId="0" fontId="5" fillId="2" borderId="29" xfId="1" applyFont="1" applyBorder="1" applyAlignment="1">
      <alignment horizontal="center" vertical="center"/>
    </xf>
    <xf numFmtId="0" fontId="4" fillId="2" borderId="24" xfId="1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9" fillId="0" borderId="24" xfId="1" applyFont="1" applyFill="1" applyBorder="1" applyAlignment="1">
      <alignment horizontal="center" vertical="center"/>
    </xf>
    <xf numFmtId="0" fontId="9" fillId="0" borderId="0" xfId="0" applyFont="1"/>
    <xf numFmtId="0" fontId="9" fillId="0" borderId="24" xfId="2" applyFont="1" applyFill="1" applyBorder="1" applyAlignment="1" applyProtection="1">
      <alignment horizontal="left" vertical="center" wrapText="1"/>
    </xf>
    <xf numFmtId="44" fontId="4" fillId="2" borderId="27" xfId="3" applyFont="1" applyFill="1" applyBorder="1" applyAlignment="1">
      <alignment horizontal="center" vertical="center"/>
    </xf>
    <xf numFmtId="44" fontId="4" fillId="2" borderId="24" xfId="3" applyFont="1" applyFill="1" applyBorder="1" applyAlignment="1">
      <alignment horizontal="center" vertical="center"/>
    </xf>
    <xf numFmtId="0" fontId="9" fillId="0" borderId="24" xfId="0" applyFont="1" applyBorder="1" applyAlignment="1">
      <alignment horizontal="center"/>
    </xf>
    <xf numFmtId="0" fontId="9" fillId="0" borderId="24" xfId="0" applyFont="1" applyBorder="1"/>
    <xf numFmtId="0" fontId="13" fillId="0" borderId="24" xfId="4" applyFont="1" applyFill="1" applyBorder="1"/>
    <xf numFmtId="0" fontId="8" fillId="3" borderId="24" xfId="0" applyFont="1" applyFill="1" applyBorder="1" applyAlignment="1">
      <alignment horizontal="center" vertical="center"/>
    </xf>
    <xf numFmtId="0" fontId="8" fillId="0" borderId="24" xfId="1" applyFont="1" applyFill="1" applyBorder="1" applyAlignment="1">
      <alignment horizontal="center" vertical="center"/>
    </xf>
    <xf numFmtId="0" fontId="14" fillId="0" borderId="0" xfId="0" applyFont="1"/>
    <xf numFmtId="0" fontId="13" fillId="0" borderId="0" xfId="0" applyFont="1"/>
    <xf numFmtId="0" fontId="15" fillId="0" borderId="24" xfId="0" applyFont="1" applyBorder="1" applyAlignment="1">
      <alignment vertical="center"/>
    </xf>
    <xf numFmtId="0" fontId="13" fillId="2" borderId="25" xfId="1" applyFont="1" applyBorder="1" applyAlignment="1">
      <alignment horizontal="center" vertical="center"/>
    </xf>
    <xf numFmtId="0" fontId="18" fillId="2" borderId="27" xfId="1" applyFont="1" applyBorder="1" applyAlignment="1">
      <alignment horizontal="center" vertical="center"/>
    </xf>
    <xf numFmtId="44" fontId="18" fillId="2" borderId="27" xfId="3" applyFont="1" applyFill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0" fontId="13" fillId="0" borderId="24" xfId="2" applyFont="1" applyFill="1" applyBorder="1" applyAlignment="1" applyProtection="1">
      <alignment horizontal="left" vertical="center" wrapText="1"/>
    </xf>
    <xf numFmtId="0" fontId="13" fillId="0" borderId="24" xfId="2" applyFont="1" applyBorder="1" applyAlignment="1" applyProtection="1">
      <alignment horizontal="center" vertical="center"/>
    </xf>
    <xf numFmtId="4" fontId="13" fillId="0" borderId="24" xfId="2" applyNumberFormat="1" applyFont="1" applyBorder="1" applyAlignment="1" applyProtection="1">
      <alignment horizontal="center" vertical="center"/>
    </xf>
    <xf numFmtId="0" fontId="13" fillId="0" borderId="24" xfId="0" applyFont="1" applyBorder="1" applyAlignment="1">
      <alignment horizontal="center" vertical="center" wrapText="1"/>
    </xf>
    <xf numFmtId="4" fontId="13" fillId="0" borderId="24" xfId="2" applyNumberFormat="1" applyFont="1" applyFill="1" applyBorder="1" applyAlignment="1" applyProtection="1">
      <alignment horizontal="center" vertical="center"/>
    </xf>
    <xf numFmtId="0" fontId="19" fillId="0" borderId="24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left" vertical="top" wrapText="1"/>
    </xf>
    <xf numFmtId="0" fontId="21" fillId="2" borderId="24" xfId="1" applyFont="1" applyBorder="1"/>
    <xf numFmtId="0" fontId="18" fillId="0" borderId="39" xfId="0" applyFont="1" applyBorder="1" applyAlignment="1">
      <alignment vertical="top"/>
    </xf>
    <xf numFmtId="0" fontId="22" fillId="0" borderId="11" xfId="0" applyFont="1" applyBorder="1" applyAlignment="1">
      <alignment vertical="top"/>
    </xf>
    <xf numFmtId="0" fontId="15" fillId="0" borderId="0" xfId="0" applyFont="1"/>
    <xf numFmtId="0" fontId="13" fillId="0" borderId="24" xfId="1" applyFont="1" applyFill="1" applyBorder="1" applyAlignment="1">
      <alignment horizontal="center" vertical="center"/>
    </xf>
    <xf numFmtId="0" fontId="13" fillId="0" borderId="24" xfId="0" applyFont="1" applyBorder="1"/>
    <xf numFmtId="0" fontId="13" fillId="0" borderId="24" xfId="5" applyFont="1" applyFill="1" applyBorder="1" applyAlignment="1" applyProtection="1">
      <alignment horizontal="center" vertical="center"/>
    </xf>
    <xf numFmtId="0" fontId="13" fillId="0" borderId="24" xfId="0" applyFont="1" applyBorder="1" applyAlignment="1">
      <alignment horizontal="left" vertical="center" wrapText="1"/>
    </xf>
    <xf numFmtId="2" fontId="18" fillId="0" borderId="24" xfId="5" applyNumberFormat="1" applyFont="1" applyFill="1" applyBorder="1" applyAlignment="1" applyProtection="1">
      <alignment horizontal="center" vertical="center"/>
    </xf>
    <xf numFmtId="0" fontId="23" fillId="0" borderId="24" xfId="5" applyFont="1" applyFill="1" applyBorder="1" applyAlignment="1" applyProtection="1">
      <alignment horizontal="center" vertical="center"/>
    </xf>
    <xf numFmtId="0" fontId="13" fillId="0" borderId="24" xfId="0" applyFont="1" applyBorder="1" applyAlignment="1">
      <alignment horizontal="left" vertical="top" wrapText="1"/>
    </xf>
    <xf numFmtId="4" fontId="18" fillId="4" borderId="15" xfId="0" applyNumberFormat="1" applyFont="1" applyFill="1" applyBorder="1" applyAlignment="1">
      <alignment horizontal="center" vertical="center" wrapText="1"/>
    </xf>
    <xf numFmtId="0" fontId="13" fillId="0" borderId="24" xfId="0" applyFont="1" applyBorder="1" applyAlignment="1">
      <alignment horizontal="center" vertical="top" wrapText="1"/>
    </xf>
    <xf numFmtId="0" fontId="19" fillId="0" borderId="24" xfId="0" applyFont="1" applyBorder="1" applyAlignment="1">
      <alignment horizontal="left" vertical="center" wrapText="1"/>
    </xf>
    <xf numFmtId="4" fontId="20" fillId="4" borderId="15" xfId="0" applyNumberFormat="1" applyFont="1" applyFill="1" applyBorder="1" applyAlignment="1">
      <alignment horizontal="center" vertical="center" wrapText="1"/>
    </xf>
    <xf numFmtId="0" fontId="24" fillId="0" borderId="24" xfId="0" applyFont="1" applyBorder="1"/>
    <xf numFmtId="0" fontId="9" fillId="0" borderId="24" xfId="5" applyFont="1" applyFill="1" applyBorder="1" applyAlignment="1" applyProtection="1">
      <alignment horizontal="center" vertical="center"/>
    </xf>
    <xf numFmtId="4" fontId="9" fillId="0" borderId="24" xfId="6" applyNumberFormat="1" applyFont="1" applyBorder="1" applyAlignment="1" applyProtection="1">
      <alignment horizontal="center" vertical="center"/>
    </xf>
    <xf numFmtId="8" fontId="0" fillId="0" borderId="0" xfId="0" applyNumberFormat="1"/>
    <xf numFmtId="0" fontId="9" fillId="0" borderId="24" xfId="4" applyFont="1" applyFill="1" applyBorder="1"/>
    <xf numFmtId="0" fontId="23" fillId="0" borderId="0" xfId="0" applyFont="1"/>
    <xf numFmtId="0" fontId="9" fillId="0" borderId="24" xfId="4" applyFont="1" applyFill="1" applyBorder="1" applyAlignment="1">
      <alignment horizontal="left" vertical="center"/>
    </xf>
    <xf numFmtId="0" fontId="25" fillId="0" borderId="24" xfId="0" applyFont="1" applyBorder="1" applyAlignment="1">
      <alignment horizontal="center" vertical="center" wrapText="1"/>
    </xf>
    <xf numFmtId="0" fontId="25" fillId="0" borderId="24" xfId="0" applyFont="1" applyBorder="1" applyAlignment="1">
      <alignment horizontal="left" vertical="top" wrapText="1"/>
    </xf>
    <xf numFmtId="0" fontId="25" fillId="0" borderId="24" xfId="0" applyFont="1" applyBorder="1" applyAlignment="1">
      <alignment vertical="center" wrapText="1"/>
    </xf>
    <xf numFmtId="0" fontId="25" fillId="4" borderId="24" xfId="0" applyFont="1" applyFill="1" applyBorder="1" applyAlignment="1">
      <alignment horizontal="center" vertical="center" wrapText="1"/>
    </xf>
    <xf numFmtId="4" fontId="13" fillId="0" borderId="16" xfId="2" applyNumberFormat="1" applyFont="1" applyFill="1" applyBorder="1" applyAlignment="1" applyProtection="1">
      <alignment horizontal="center" vertical="center"/>
    </xf>
    <xf numFmtId="1" fontId="9" fillId="0" borderId="24" xfId="1" applyNumberFormat="1" applyFont="1" applyFill="1" applyBorder="1" applyAlignment="1">
      <alignment horizontal="center" vertical="center"/>
    </xf>
    <xf numFmtId="0" fontId="26" fillId="0" borderId="0" xfId="0" applyFont="1"/>
    <xf numFmtId="0" fontId="26" fillId="0" borderId="24" xfId="0" applyFont="1" applyBorder="1" applyAlignment="1">
      <alignment horizontal="center" vertical="center" wrapText="1"/>
    </xf>
    <xf numFmtId="0" fontId="7" fillId="0" borderId="24" xfId="0" applyFont="1" applyBorder="1" applyAlignment="1">
      <alignment horizontal="center" vertical="center"/>
    </xf>
    <xf numFmtId="4" fontId="27" fillId="0" borderId="24" xfId="2" applyNumberFormat="1" applyFont="1" applyBorder="1" applyAlignment="1" applyProtection="1">
      <alignment horizontal="center" vertical="center"/>
    </xf>
    <xf numFmtId="0" fontId="7" fillId="0" borderId="24" xfId="1" applyFont="1" applyFill="1" applyBorder="1" applyAlignment="1">
      <alignment horizontal="center" vertical="center"/>
    </xf>
    <xf numFmtId="0" fontId="26" fillId="0" borderId="24" xfId="4" applyFont="1" applyFill="1" applyBorder="1"/>
    <xf numFmtId="2" fontId="10" fillId="0" borderId="24" xfId="1" applyNumberFormat="1" applyFont="1" applyFill="1" applyBorder="1" applyAlignment="1">
      <alignment horizontal="center" vertical="center"/>
    </xf>
    <xf numFmtId="2" fontId="27" fillId="0" borderId="24" xfId="2" applyNumberFormat="1" applyFont="1" applyBorder="1" applyAlignment="1" applyProtection="1">
      <alignment horizontal="center" vertical="center"/>
    </xf>
    <xf numFmtId="0" fontId="28" fillId="0" borderId="0" xfId="0" applyFont="1"/>
    <xf numFmtId="2" fontId="27" fillId="0" borderId="24" xfId="1" applyNumberFormat="1" applyFont="1" applyFill="1" applyBorder="1" applyAlignment="1">
      <alignment horizontal="center" vertical="center"/>
    </xf>
    <xf numFmtId="0" fontId="27" fillId="0" borderId="24" xfId="1" applyFont="1" applyFill="1" applyBorder="1" applyAlignment="1">
      <alignment horizontal="center" vertical="center"/>
    </xf>
    <xf numFmtId="2" fontId="27" fillId="0" borderId="24" xfId="5" applyNumberFormat="1" applyFont="1" applyFill="1" applyBorder="1" applyAlignment="1" applyProtection="1">
      <alignment horizontal="center" vertical="center"/>
    </xf>
    <xf numFmtId="4" fontId="29" fillId="0" borderId="24" xfId="2" applyNumberFormat="1" applyFont="1" applyBorder="1" applyAlignment="1" applyProtection="1">
      <alignment horizontal="center" vertical="center"/>
    </xf>
    <xf numFmtId="0" fontId="30" fillId="0" borderId="24" xfId="0" applyFont="1" applyBorder="1" applyAlignment="1">
      <alignment horizontal="center" vertical="center" wrapText="1"/>
    </xf>
    <xf numFmtId="4" fontId="31" fillId="4" borderId="15" xfId="0" applyNumberFormat="1" applyFont="1" applyFill="1" applyBorder="1" applyAlignment="1">
      <alignment horizontal="center" vertical="center" wrapText="1"/>
    </xf>
    <xf numFmtId="0" fontId="30" fillId="0" borderId="24" xfId="0" applyFont="1" applyBorder="1" applyAlignment="1">
      <alignment horizontal="left" vertical="top" wrapText="1"/>
    </xf>
    <xf numFmtId="0" fontId="30" fillId="4" borderId="24" xfId="0" applyFont="1" applyFill="1" applyBorder="1" applyAlignment="1">
      <alignment horizontal="center" vertical="center" wrapText="1"/>
    </xf>
    <xf numFmtId="4" fontId="10" fillId="4" borderId="24" xfId="0" applyNumberFormat="1" applyFont="1" applyFill="1" applyBorder="1" applyAlignment="1">
      <alignment horizontal="center" vertical="center" wrapText="1"/>
    </xf>
    <xf numFmtId="0" fontId="30" fillId="0" borderId="24" xfId="0" applyFont="1" applyBorder="1" applyAlignment="1">
      <alignment horizontal="left" vertical="center" wrapText="1"/>
    </xf>
    <xf numFmtId="0" fontId="30" fillId="4" borderId="24" xfId="0" applyFont="1" applyFill="1" applyBorder="1" applyAlignment="1">
      <alignment horizontal="left" vertical="center" wrapText="1"/>
    </xf>
    <xf numFmtId="4" fontId="29" fillId="0" borderId="24" xfId="0" applyNumberFormat="1" applyFont="1" applyBorder="1" applyAlignment="1">
      <alignment horizontal="center" vertical="center" wrapText="1"/>
    </xf>
    <xf numFmtId="4" fontId="32" fillId="4" borderId="14" xfId="0" applyNumberFormat="1" applyFont="1" applyFill="1" applyBorder="1" applyAlignment="1">
      <alignment horizontal="center" vertical="center" wrapText="1"/>
    </xf>
    <xf numFmtId="4" fontId="29" fillId="4" borderId="15" xfId="0" applyNumberFormat="1" applyFont="1" applyFill="1" applyBorder="1" applyAlignment="1">
      <alignment horizontal="center" vertical="center" wrapText="1"/>
    </xf>
    <xf numFmtId="4" fontId="29" fillId="0" borderId="14" xfId="2" applyNumberFormat="1" applyFont="1" applyFill="1" applyBorder="1" applyAlignment="1" applyProtection="1">
      <alignment horizontal="center" vertical="center"/>
    </xf>
    <xf numFmtId="44" fontId="0" fillId="0" borderId="24" xfId="3" applyFont="1" applyBorder="1"/>
    <xf numFmtId="43" fontId="0" fillId="0" borderId="24" xfId="0" applyNumberFormat="1" applyBorder="1"/>
    <xf numFmtId="9" fontId="0" fillId="0" borderId="24" xfId="7" applyFont="1" applyBorder="1"/>
    <xf numFmtId="44" fontId="0" fillId="0" borderId="24" xfId="0" applyNumberFormat="1" applyBorder="1"/>
    <xf numFmtId="0" fontId="33" fillId="0" borderId="0" xfId="0" applyFont="1"/>
    <xf numFmtId="0" fontId="3" fillId="0" borderId="7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31" xfId="0" applyFont="1" applyBorder="1" applyAlignment="1">
      <alignment horizontal="center"/>
    </xf>
    <xf numFmtId="0" fontId="5" fillId="2" borderId="30" xfId="1" applyFont="1" applyBorder="1" applyAlignment="1">
      <alignment horizontal="left" vertical="top"/>
    </xf>
    <xf numFmtId="0" fontId="5" fillId="2" borderId="1" xfId="1" applyFont="1" applyAlignment="1">
      <alignment horizontal="left" vertical="top"/>
    </xf>
    <xf numFmtId="0" fontId="5" fillId="2" borderId="1" xfId="1" applyFont="1" applyAlignment="1">
      <alignment horizontal="center" vertical="center"/>
    </xf>
    <xf numFmtId="0" fontId="3" fillId="0" borderId="32" xfId="0" applyFont="1" applyBorder="1" applyAlignment="1">
      <alignment horizontal="left" vertical="center" wrapText="1"/>
    </xf>
    <xf numFmtId="0" fontId="3" fillId="0" borderId="18" xfId="0" applyFont="1" applyBorder="1" applyAlignment="1">
      <alignment horizontal="left" vertical="center"/>
    </xf>
    <xf numFmtId="0" fontId="3" fillId="0" borderId="19" xfId="0" applyFont="1" applyBorder="1" applyAlignment="1">
      <alignment horizontal="left" vertical="center"/>
    </xf>
    <xf numFmtId="0" fontId="3" fillId="0" borderId="33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5" fillId="2" borderId="9" xfId="1" applyFont="1" applyBorder="1" applyAlignment="1">
      <alignment horizontal="center" vertical="center" textRotation="90"/>
    </xf>
    <xf numFmtId="0" fontId="5" fillId="2" borderId="34" xfId="1" applyFont="1" applyBorder="1" applyAlignment="1">
      <alignment horizontal="center" vertical="center" textRotation="90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center" wrapText="1"/>
    </xf>
    <xf numFmtId="0" fontId="7" fillId="0" borderId="33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0" borderId="35" xfId="0" applyFont="1" applyBorder="1" applyAlignment="1">
      <alignment horizontal="center"/>
    </xf>
    <xf numFmtId="0" fontId="3" fillId="0" borderId="36" xfId="0" applyFont="1" applyBorder="1" applyAlignment="1">
      <alignment horizontal="center"/>
    </xf>
    <xf numFmtId="0" fontId="3" fillId="0" borderId="37" xfId="0" applyFont="1" applyBorder="1" applyAlignment="1">
      <alignment horizontal="center"/>
    </xf>
    <xf numFmtId="0" fontId="3" fillId="0" borderId="7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3" fillId="0" borderId="8" xfId="0" applyFont="1" applyBorder="1" applyAlignment="1">
      <alignment horizontal="left" vertical="top"/>
    </xf>
    <xf numFmtId="0" fontId="3" fillId="0" borderId="10" xfId="0" applyFont="1" applyBorder="1" applyAlignment="1">
      <alignment horizontal="left" vertical="top"/>
    </xf>
    <xf numFmtId="0" fontId="3" fillId="0" borderId="11" xfId="0" applyFont="1" applyBorder="1" applyAlignment="1">
      <alignment horizontal="left" vertical="top"/>
    </xf>
    <xf numFmtId="0" fontId="3" fillId="0" borderId="12" xfId="0" applyFont="1" applyBorder="1" applyAlignment="1">
      <alignment horizontal="left" vertical="top"/>
    </xf>
    <xf numFmtId="0" fontId="3" fillId="0" borderId="33" xfId="0" applyFont="1" applyBorder="1" applyAlignment="1">
      <alignment horizontal="left" vertical="top" wrapText="1"/>
    </xf>
    <xf numFmtId="0" fontId="3" fillId="0" borderId="39" xfId="0" applyFont="1" applyBorder="1" applyAlignment="1">
      <alignment horizontal="left" vertical="top"/>
    </xf>
    <xf numFmtId="0" fontId="3" fillId="0" borderId="33" xfId="0" applyFont="1" applyBorder="1" applyAlignment="1">
      <alignment horizontal="center" wrapText="1"/>
    </xf>
    <xf numFmtId="0" fontId="3" fillId="0" borderId="33" xfId="0" applyFont="1" applyBorder="1" applyAlignment="1">
      <alignment horizontal="center"/>
    </xf>
    <xf numFmtId="0" fontId="3" fillId="0" borderId="42" xfId="0" applyFont="1" applyBorder="1" applyAlignment="1">
      <alignment horizontal="center"/>
    </xf>
    <xf numFmtId="0" fontId="3" fillId="0" borderId="41" xfId="0" applyFont="1" applyBorder="1" applyAlignment="1">
      <alignment horizontal="center"/>
    </xf>
    <xf numFmtId="0" fontId="5" fillId="2" borderId="38" xfId="1" applyFont="1" applyBorder="1" applyAlignment="1">
      <alignment horizontal="left" vertical="center" textRotation="90" wrapText="1"/>
    </xf>
    <xf numFmtId="0" fontId="5" fillId="2" borderId="28" xfId="1" applyFont="1" applyBorder="1" applyAlignment="1">
      <alignment horizontal="left" vertical="center" textRotation="90"/>
    </xf>
    <xf numFmtId="0" fontId="5" fillId="2" borderId="43" xfId="1" applyFont="1" applyBorder="1" applyAlignment="1">
      <alignment horizontal="left" vertical="center" textRotation="90"/>
    </xf>
    <xf numFmtId="0" fontId="3" fillId="0" borderId="17" xfId="0" applyFont="1" applyBorder="1" applyAlignment="1">
      <alignment horizontal="left" vertical="top"/>
    </xf>
    <xf numFmtId="0" fontId="3" fillId="0" borderId="18" xfId="0" applyFont="1" applyBorder="1" applyAlignment="1">
      <alignment horizontal="left" vertical="top"/>
    </xf>
    <xf numFmtId="0" fontId="3" fillId="0" borderId="7" xfId="0" applyFont="1" applyBorder="1" applyAlignment="1">
      <alignment horizontal="left" vertical="top"/>
    </xf>
    <xf numFmtId="0" fontId="3" fillId="0" borderId="40" xfId="0" applyFont="1" applyBorder="1" applyAlignment="1">
      <alignment horizontal="left" vertical="top"/>
    </xf>
    <xf numFmtId="0" fontId="3" fillId="0" borderId="41" xfId="0" applyFont="1" applyBorder="1" applyAlignment="1">
      <alignment horizontal="left" vertical="top"/>
    </xf>
    <xf numFmtId="0" fontId="8" fillId="0" borderId="21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18" fillId="2" borderId="26" xfId="1" applyFont="1" applyBorder="1" applyAlignment="1">
      <alignment horizontal="center" vertical="center"/>
    </xf>
    <xf numFmtId="0" fontId="18" fillId="2" borderId="18" xfId="1" applyFont="1" applyBorder="1" applyAlignment="1">
      <alignment horizontal="center" vertical="center"/>
    </xf>
    <xf numFmtId="0" fontId="18" fillId="2" borderId="44" xfId="1" applyFont="1" applyBorder="1" applyAlignment="1">
      <alignment horizontal="center" vertical="center"/>
    </xf>
    <xf numFmtId="0" fontId="15" fillId="0" borderId="7" xfId="0" applyFont="1" applyBorder="1" applyAlignment="1">
      <alignment horizontal="center"/>
    </xf>
    <xf numFmtId="0" fontId="15" fillId="0" borderId="0" xfId="0" applyFont="1" applyAlignment="1">
      <alignment horizontal="center"/>
    </xf>
    <xf numFmtId="43" fontId="22" fillId="0" borderId="11" xfId="0" applyNumberFormat="1" applyFont="1" applyBorder="1" applyAlignment="1">
      <alignment horizontal="center" vertical="top"/>
    </xf>
    <xf numFmtId="0" fontId="22" fillId="0" borderId="11" xfId="0" applyFont="1" applyBorder="1" applyAlignment="1">
      <alignment horizontal="center" vertical="top"/>
    </xf>
    <xf numFmtId="0" fontId="22" fillId="0" borderId="12" xfId="0" applyFont="1" applyBorder="1" applyAlignment="1">
      <alignment horizontal="center" vertical="top"/>
    </xf>
    <xf numFmtId="0" fontId="3" fillId="0" borderId="19" xfId="0" applyFont="1" applyBorder="1" applyAlignment="1">
      <alignment horizontal="left" vertical="top"/>
    </xf>
    <xf numFmtId="0" fontId="8" fillId="0" borderId="14" xfId="0" applyFont="1" applyBorder="1" applyAlignment="1">
      <alignment horizontal="center"/>
    </xf>
    <xf numFmtId="0" fontId="8" fillId="0" borderId="15" xfId="0" applyFont="1" applyBorder="1" applyAlignment="1">
      <alignment horizontal="center"/>
    </xf>
    <xf numFmtId="4" fontId="18" fillId="0" borderId="16" xfId="2" applyNumberFormat="1" applyFont="1" applyFill="1" applyBorder="1" applyAlignment="1" applyProtection="1">
      <alignment horizontal="left" vertical="center"/>
    </xf>
    <xf numFmtId="4" fontId="18" fillId="0" borderId="14" xfId="2" applyNumberFormat="1" applyFont="1" applyFill="1" applyBorder="1" applyAlignment="1" applyProtection="1">
      <alignment horizontal="left" vertical="center"/>
    </xf>
    <xf numFmtId="4" fontId="18" fillId="0" borderId="15" xfId="2" applyNumberFormat="1" applyFont="1" applyFill="1" applyBorder="1" applyAlignment="1" applyProtection="1">
      <alignment horizontal="left" vertical="center"/>
    </xf>
    <xf numFmtId="4" fontId="18" fillId="0" borderId="24" xfId="2" applyNumberFormat="1" applyFont="1" applyFill="1" applyBorder="1" applyAlignment="1" applyProtection="1">
      <alignment horizontal="left" vertical="center"/>
    </xf>
    <xf numFmtId="0" fontId="5" fillId="2" borderId="28" xfId="1" applyFont="1" applyBorder="1" applyAlignment="1">
      <alignment horizontal="center" vertical="center" textRotation="90"/>
    </xf>
    <xf numFmtId="0" fontId="6" fillId="0" borderId="20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4" fillId="2" borderId="21" xfId="1" applyFont="1" applyBorder="1" applyAlignment="1">
      <alignment horizontal="center" vertical="center"/>
    </xf>
    <xf numFmtId="0" fontId="4" fillId="2" borderId="24" xfId="1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2" borderId="5" xfId="1" applyFont="1" applyBorder="1" applyAlignment="1">
      <alignment horizontal="center"/>
    </xf>
    <xf numFmtId="0" fontId="4" fillId="2" borderId="6" xfId="1" applyFont="1" applyBorder="1" applyAlignment="1">
      <alignment horizontal="center"/>
    </xf>
    <xf numFmtId="0" fontId="5" fillId="2" borderId="1" xfId="1" applyFont="1" applyAlignment="1">
      <alignment horizontal="center"/>
    </xf>
    <xf numFmtId="0" fontId="5" fillId="2" borderId="9" xfId="1" applyFont="1" applyBorder="1" applyAlignment="1">
      <alignment horizontal="center"/>
    </xf>
    <xf numFmtId="0" fontId="6" fillId="0" borderId="13" xfId="0" applyFont="1" applyBorder="1" applyAlignment="1">
      <alignment horizontal="left" vertical="top"/>
    </xf>
    <xf numFmtId="0" fontId="6" fillId="0" borderId="14" xfId="0" applyFont="1" applyBorder="1" applyAlignment="1">
      <alignment horizontal="left" vertical="top"/>
    </xf>
    <xf numFmtId="0" fontId="6" fillId="0" borderId="15" xfId="0" applyFont="1" applyBorder="1" applyAlignment="1">
      <alignment horizontal="left" vertical="top"/>
    </xf>
    <xf numFmtId="0" fontId="3" fillId="0" borderId="16" xfId="0" applyFont="1" applyBorder="1" applyAlignment="1">
      <alignment horizontal="left" vertical="top"/>
    </xf>
    <xf numFmtId="0" fontId="3" fillId="0" borderId="14" xfId="0" applyFont="1" applyBorder="1" applyAlignment="1">
      <alignment horizontal="left" vertical="top"/>
    </xf>
    <xf numFmtId="0" fontId="3" fillId="0" borderId="15" xfId="0" applyFont="1" applyBorder="1" applyAlignment="1">
      <alignment horizontal="left" vertical="top"/>
    </xf>
    <xf numFmtId="0" fontId="0" fillId="0" borderId="24" xfId="0" applyBorder="1" applyAlignment="1">
      <alignment horizontal="center"/>
    </xf>
  </cellXfs>
  <cellStyles count="8">
    <cellStyle name="Excel Built-in Explanatory Text" xfId="6" xr:uid="{00000000-0005-0000-0000-000000000000}"/>
    <cellStyle name="Excel Built-in Output" xfId="5" xr:uid="{00000000-0005-0000-0000-000001000000}"/>
    <cellStyle name="Hiperlink" xfId="4" builtinId="8"/>
    <cellStyle name="Moeda" xfId="3" builtinId="4"/>
    <cellStyle name="Normal" xfId="0" builtinId="0"/>
    <cellStyle name="Porcentagem" xfId="7" builtinId="5"/>
    <cellStyle name="Saída" xfId="1" builtinId="21"/>
    <cellStyle name="Texto Explicativo" xfId="2" builtinId="5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2042772</xdr:colOff>
      <xdr:row>1</xdr:row>
      <xdr:rowOff>96683</xdr:rowOff>
    </xdr:from>
    <xdr:to>
      <xdr:col>4</xdr:col>
      <xdr:colOff>2991910</xdr:colOff>
      <xdr:row>4</xdr:row>
      <xdr:rowOff>179114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10855" y="308350"/>
          <a:ext cx="949138" cy="71743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file:///C:/Users/anivaldo/Downloads/2022/10%20Outubro/Notas%20Fiscais/NF%20516064%20Jabu%20SA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12"/>
  <sheetViews>
    <sheetView tabSelected="1" topLeftCell="F78" zoomScale="85" zoomScaleNormal="85" workbookViewId="0">
      <selection activeCell="S82" sqref="S82"/>
    </sheetView>
  </sheetViews>
  <sheetFormatPr defaultRowHeight="15" x14ac:dyDescent="0.25"/>
  <cols>
    <col min="2" max="3" width="10.7109375" customWidth="1"/>
    <col min="4" max="4" width="12.140625" customWidth="1"/>
    <col min="5" max="5" width="66.5703125" customWidth="1"/>
    <col min="6" max="6" width="6.42578125" customWidth="1"/>
    <col min="8" max="8" width="23.7109375" bestFit="1" customWidth="1"/>
    <col min="9" max="9" width="12.42578125" bestFit="1" customWidth="1"/>
    <col min="10" max="10" width="19" bestFit="1" customWidth="1"/>
    <col min="11" max="11" width="18.85546875" bestFit="1" customWidth="1"/>
    <col min="12" max="12" width="29.28515625" bestFit="1" customWidth="1"/>
    <col min="13" max="13" width="18" bestFit="1" customWidth="1"/>
    <col min="14" max="14" width="10.7109375" customWidth="1"/>
    <col min="15" max="15" width="4.7109375" customWidth="1"/>
    <col min="22" max="22" width="15.28515625" bestFit="1" customWidth="1"/>
  </cols>
  <sheetData>
    <row r="1" spans="1:15" ht="17.100000000000001" customHeight="1" x14ac:dyDescent="0.25">
      <c r="A1" s="173" t="s">
        <v>0</v>
      </c>
      <c r="B1" s="174"/>
      <c r="C1" s="174"/>
      <c r="D1" s="174"/>
      <c r="E1" s="174"/>
      <c r="F1" s="174"/>
      <c r="G1" s="174"/>
      <c r="H1" s="174"/>
      <c r="I1" s="175"/>
      <c r="J1" s="182" t="s">
        <v>1</v>
      </c>
      <c r="K1" s="182"/>
      <c r="L1" s="182"/>
      <c r="M1" s="182"/>
      <c r="N1" s="182"/>
      <c r="O1" s="183"/>
    </row>
    <row r="2" spans="1:15" ht="17.100000000000001" customHeight="1" x14ac:dyDescent="0.25">
      <c r="A2" s="176"/>
      <c r="B2" s="177"/>
      <c r="C2" s="177"/>
      <c r="D2" s="177"/>
      <c r="E2" s="177"/>
      <c r="F2" s="177"/>
      <c r="G2" s="177"/>
      <c r="H2" s="177"/>
      <c r="I2" s="178"/>
      <c r="J2" s="184" t="s">
        <v>2</v>
      </c>
      <c r="K2" s="184"/>
      <c r="L2" s="184"/>
      <c r="M2" s="184"/>
      <c r="N2" s="184"/>
      <c r="O2" s="185"/>
    </row>
    <row r="3" spans="1:15" ht="17.100000000000001" customHeight="1" x14ac:dyDescent="0.25">
      <c r="A3" s="176"/>
      <c r="B3" s="177"/>
      <c r="C3" s="177"/>
      <c r="D3" s="177"/>
      <c r="E3" s="177"/>
      <c r="F3" s="177"/>
      <c r="G3" s="177"/>
      <c r="H3" s="177"/>
      <c r="I3" s="178"/>
      <c r="J3" s="184" t="s">
        <v>3</v>
      </c>
      <c r="K3" s="184"/>
      <c r="L3" s="184"/>
      <c r="M3" s="184" t="s">
        <v>4</v>
      </c>
      <c r="N3" s="184"/>
      <c r="O3" s="1"/>
    </row>
    <row r="4" spans="1:15" ht="17.100000000000001" customHeight="1" x14ac:dyDescent="0.25">
      <c r="A4" s="176"/>
      <c r="B4" s="177"/>
      <c r="C4" s="177"/>
      <c r="D4" s="177"/>
      <c r="E4" s="177"/>
      <c r="F4" s="177"/>
      <c r="G4" s="177"/>
      <c r="H4" s="177"/>
      <c r="I4" s="178"/>
      <c r="J4" s="184" t="s">
        <v>5</v>
      </c>
      <c r="K4" s="184"/>
      <c r="L4" s="184"/>
      <c r="M4" s="184" t="s">
        <v>6</v>
      </c>
      <c r="N4" s="184"/>
      <c r="O4" s="2"/>
    </row>
    <row r="5" spans="1:15" ht="17.100000000000001" customHeight="1" x14ac:dyDescent="0.25">
      <c r="A5" s="176"/>
      <c r="B5" s="177"/>
      <c r="C5" s="177"/>
      <c r="D5" s="177"/>
      <c r="E5" s="177"/>
      <c r="F5" s="177"/>
      <c r="G5" s="177"/>
      <c r="H5" s="177"/>
      <c r="I5" s="178"/>
      <c r="J5" s="184" t="s">
        <v>7</v>
      </c>
      <c r="K5" s="184"/>
      <c r="L5" s="184"/>
      <c r="M5" s="184" t="s">
        <v>8</v>
      </c>
      <c r="N5" s="184"/>
      <c r="O5" s="1"/>
    </row>
    <row r="6" spans="1:15" ht="17.100000000000001" customHeight="1" x14ac:dyDescent="0.25">
      <c r="A6" s="179"/>
      <c r="B6" s="180"/>
      <c r="C6" s="180"/>
      <c r="D6" s="180"/>
      <c r="E6" s="180"/>
      <c r="F6" s="180"/>
      <c r="G6" s="180"/>
      <c r="H6" s="180"/>
      <c r="I6" s="181"/>
      <c r="J6" s="184" t="s">
        <v>9</v>
      </c>
      <c r="K6" s="184"/>
      <c r="L6" s="184"/>
      <c r="M6" s="184" t="s">
        <v>10</v>
      </c>
      <c r="N6" s="184"/>
      <c r="O6" s="1"/>
    </row>
    <row r="7" spans="1:15" ht="17.100000000000001" customHeight="1" x14ac:dyDescent="0.25">
      <c r="A7" s="186" t="s">
        <v>11</v>
      </c>
      <c r="B7" s="187"/>
      <c r="C7" s="187"/>
      <c r="D7" s="187"/>
      <c r="E7" s="187"/>
      <c r="F7" s="187"/>
      <c r="G7" s="187"/>
      <c r="H7" s="187"/>
      <c r="I7" s="188"/>
      <c r="J7" s="189" t="s">
        <v>53</v>
      </c>
      <c r="K7" s="190"/>
      <c r="L7" s="190"/>
      <c r="M7" s="190"/>
      <c r="N7" s="191"/>
      <c r="O7" s="111" t="s">
        <v>12</v>
      </c>
    </row>
    <row r="8" spans="1:15" ht="17.100000000000001" customHeight="1" x14ac:dyDescent="0.25">
      <c r="A8" s="140" t="s">
        <v>171</v>
      </c>
      <c r="B8" s="141"/>
      <c r="C8" s="141"/>
      <c r="D8" s="141"/>
      <c r="E8" s="141"/>
      <c r="F8" s="141"/>
      <c r="G8" s="141"/>
      <c r="H8" s="141"/>
      <c r="I8" s="155"/>
      <c r="J8" s="189" t="s">
        <v>13</v>
      </c>
      <c r="K8" s="190"/>
      <c r="L8" s="190"/>
      <c r="M8" s="190"/>
      <c r="N8" s="191"/>
      <c r="O8" s="111"/>
    </row>
    <row r="9" spans="1:15" ht="17.100000000000001" customHeight="1" x14ac:dyDescent="0.25">
      <c r="A9" s="142"/>
      <c r="B9" s="126"/>
      <c r="C9" s="126"/>
      <c r="D9" s="126"/>
      <c r="E9" s="126"/>
      <c r="F9" s="126"/>
      <c r="G9" s="126"/>
      <c r="H9" s="126"/>
      <c r="I9" s="127"/>
      <c r="J9" s="189" t="s">
        <v>14</v>
      </c>
      <c r="K9" s="190"/>
      <c r="L9" s="190"/>
      <c r="M9" s="190"/>
      <c r="N9" s="191"/>
      <c r="O9" s="111"/>
    </row>
    <row r="10" spans="1:15" ht="17.100000000000001" customHeight="1" x14ac:dyDescent="0.25">
      <c r="A10" s="142"/>
      <c r="B10" s="126"/>
      <c r="C10" s="126"/>
      <c r="D10" s="126"/>
      <c r="E10" s="126"/>
      <c r="F10" s="126"/>
      <c r="G10" s="126"/>
      <c r="H10" s="126"/>
      <c r="I10" s="127"/>
      <c r="J10" s="189" t="s">
        <v>15</v>
      </c>
      <c r="K10" s="190"/>
      <c r="L10" s="190"/>
      <c r="M10" s="190"/>
      <c r="N10" s="191"/>
      <c r="O10" s="111"/>
    </row>
    <row r="11" spans="1:15" ht="17.100000000000001" customHeight="1" x14ac:dyDescent="0.25">
      <c r="A11" s="142"/>
      <c r="B11" s="126"/>
      <c r="C11" s="126"/>
      <c r="D11" s="126"/>
      <c r="E11" s="126"/>
      <c r="F11" s="126"/>
      <c r="G11" s="126"/>
      <c r="H11" s="126"/>
      <c r="I11" s="127"/>
      <c r="J11" s="189" t="s">
        <v>52</v>
      </c>
      <c r="K11" s="190"/>
      <c r="L11" s="190"/>
      <c r="M11" s="190"/>
      <c r="N11" s="191"/>
      <c r="O11" s="111"/>
    </row>
    <row r="12" spans="1:15" ht="17.100000000000001" customHeight="1" x14ac:dyDescent="0.25">
      <c r="A12" s="142"/>
      <c r="B12" s="126"/>
      <c r="C12" s="126"/>
      <c r="D12" s="126"/>
      <c r="E12" s="126"/>
      <c r="F12" s="126"/>
      <c r="G12" s="126"/>
      <c r="H12" s="126"/>
      <c r="I12" s="127"/>
      <c r="J12" s="189" t="s">
        <v>87</v>
      </c>
      <c r="K12" s="190"/>
      <c r="L12" s="190"/>
      <c r="M12" s="190"/>
      <c r="N12" s="191"/>
      <c r="O12" s="111"/>
    </row>
    <row r="13" spans="1:15" ht="17.100000000000001" customHeight="1" x14ac:dyDescent="0.25">
      <c r="A13" s="128"/>
      <c r="B13" s="129"/>
      <c r="C13" s="129"/>
      <c r="D13" s="129"/>
      <c r="E13" s="129"/>
      <c r="F13" s="129"/>
      <c r="G13" s="129"/>
      <c r="H13" s="129"/>
      <c r="I13" s="130"/>
      <c r="J13" s="189" t="s">
        <v>86</v>
      </c>
      <c r="K13" s="190"/>
      <c r="L13" s="190"/>
      <c r="M13" s="190"/>
      <c r="N13" s="191"/>
      <c r="O13" s="111"/>
    </row>
    <row r="14" spans="1:15" ht="17.100000000000001" customHeight="1" x14ac:dyDescent="0.25">
      <c r="A14" s="163" t="s">
        <v>16</v>
      </c>
      <c r="B14" s="165" t="s">
        <v>17</v>
      </c>
      <c r="C14" s="165" t="s">
        <v>18</v>
      </c>
      <c r="D14" s="165" t="s">
        <v>19</v>
      </c>
      <c r="E14" s="165" t="s">
        <v>20</v>
      </c>
      <c r="F14" s="165" t="s">
        <v>21</v>
      </c>
      <c r="G14" s="165" t="s">
        <v>22</v>
      </c>
      <c r="H14" s="167" t="s">
        <v>23</v>
      </c>
      <c r="I14" s="167"/>
      <c r="J14" s="167"/>
      <c r="K14" s="167"/>
      <c r="L14" s="168"/>
      <c r="M14" s="165" t="s">
        <v>24</v>
      </c>
      <c r="N14" s="165" t="s">
        <v>25</v>
      </c>
      <c r="O14" s="111" t="s">
        <v>26</v>
      </c>
    </row>
    <row r="15" spans="1:15" ht="17.100000000000001" customHeight="1" x14ac:dyDescent="0.25">
      <c r="A15" s="164"/>
      <c r="B15" s="166"/>
      <c r="C15" s="166"/>
      <c r="D15" s="166"/>
      <c r="E15" s="166"/>
      <c r="F15" s="166"/>
      <c r="G15" s="166"/>
      <c r="H15" s="3" t="s">
        <v>27</v>
      </c>
      <c r="I15" s="4" t="s">
        <v>28</v>
      </c>
      <c r="J15" s="3" t="s">
        <v>29</v>
      </c>
      <c r="K15" s="4" t="s">
        <v>54</v>
      </c>
      <c r="L15" s="3" t="s">
        <v>30</v>
      </c>
      <c r="M15" s="166"/>
      <c r="N15" s="166"/>
      <c r="O15" s="111"/>
    </row>
    <row r="16" spans="1:15" ht="17.100000000000001" customHeight="1" x14ac:dyDescent="0.25">
      <c r="A16" s="5">
        <v>1</v>
      </c>
      <c r="B16" s="6"/>
      <c r="C16" s="7"/>
      <c r="D16" s="7"/>
      <c r="E16" s="8" t="s">
        <v>31</v>
      </c>
      <c r="F16" s="9"/>
      <c r="G16" s="9"/>
      <c r="H16" s="9"/>
      <c r="I16" s="9"/>
      <c r="J16" s="9"/>
      <c r="K16" s="9"/>
      <c r="L16" s="9"/>
      <c r="M16" s="21">
        <f>SUM(M17:M28)</f>
        <v>68794.434644249617</v>
      </c>
      <c r="N16" s="10">
        <f>SUM(N17:N28)</f>
        <v>1</v>
      </c>
      <c r="O16" s="111"/>
    </row>
    <row r="17" spans="1:16" ht="26.25" customHeight="1" x14ac:dyDescent="0.25">
      <c r="A17" s="17" t="s">
        <v>32</v>
      </c>
      <c r="B17" s="17" t="s">
        <v>33</v>
      </c>
      <c r="C17" s="11" t="s">
        <v>64</v>
      </c>
      <c r="D17" s="11" t="s">
        <v>34</v>
      </c>
      <c r="E17" s="20" t="s">
        <v>65</v>
      </c>
      <c r="F17" s="13" t="s">
        <v>35</v>
      </c>
      <c r="G17" s="11">
        <v>176</v>
      </c>
      <c r="H17" s="73">
        <v>38.46</v>
      </c>
      <c r="I17" s="14">
        <f>H17*0.2232</f>
        <v>8.5842720000000003</v>
      </c>
      <c r="J17" s="14">
        <f>H17+I17</f>
        <v>47.044271999999999</v>
      </c>
      <c r="K17" s="14">
        <f>J17*(0.03%)</f>
        <v>1.4113281599999999E-2</v>
      </c>
      <c r="L17" s="14">
        <f>J17-K17</f>
        <v>47.030158718400003</v>
      </c>
      <c r="M17" s="14">
        <f>L17*G17</f>
        <v>8277.3079344384005</v>
      </c>
      <c r="N17" s="14">
        <f>M17/M$16</f>
        <v>0.12031944120541273</v>
      </c>
      <c r="O17" s="162"/>
      <c r="P17" s="98" t="s">
        <v>185</v>
      </c>
    </row>
    <row r="18" spans="1:16" ht="26.25" customHeight="1" x14ac:dyDescent="0.25">
      <c r="A18" s="17" t="s">
        <v>68</v>
      </c>
      <c r="B18" s="17" t="s">
        <v>33</v>
      </c>
      <c r="C18" s="11" t="s">
        <v>56</v>
      </c>
      <c r="D18" s="11" t="s">
        <v>34</v>
      </c>
      <c r="E18" s="20" t="s">
        <v>57</v>
      </c>
      <c r="F18" s="13" t="s">
        <v>35</v>
      </c>
      <c r="G18" s="11">
        <v>176</v>
      </c>
      <c r="H18" s="73">
        <v>33.25</v>
      </c>
      <c r="I18" s="14">
        <f t="shared" ref="I18:I28" si="0">H18*0.2232</f>
        <v>7.4214000000000002</v>
      </c>
      <c r="J18" s="14">
        <f t="shared" ref="J18:J28" si="1">H18+I18</f>
        <v>40.671399999999998</v>
      </c>
      <c r="K18" s="14">
        <f t="shared" ref="K18:K28" si="2">J18*(0.03%)</f>
        <v>1.2201419999999999E-2</v>
      </c>
      <c r="L18" s="14">
        <f t="shared" ref="L18:L28" si="3">J18-K18</f>
        <v>40.659198580000002</v>
      </c>
      <c r="M18" s="14">
        <f t="shared" ref="M18:M28" si="4">L18*G18</f>
        <v>7156.0189500800006</v>
      </c>
      <c r="N18" s="14">
        <f t="shared" ref="N18:N28" si="5">M18/M$16</f>
        <v>0.1040203177347887</v>
      </c>
      <c r="O18" s="162"/>
      <c r="P18" s="98" t="s">
        <v>186</v>
      </c>
    </row>
    <row r="19" spans="1:16" ht="26.25" customHeight="1" x14ac:dyDescent="0.25">
      <c r="A19" s="17" t="s">
        <v>69</v>
      </c>
      <c r="B19" s="17" t="s">
        <v>33</v>
      </c>
      <c r="C19" s="11" t="s">
        <v>56</v>
      </c>
      <c r="D19" s="11" t="s">
        <v>34</v>
      </c>
      <c r="E19" s="20" t="s">
        <v>57</v>
      </c>
      <c r="F19" s="13" t="s">
        <v>35</v>
      </c>
      <c r="G19" s="11">
        <v>176</v>
      </c>
      <c r="H19" s="73">
        <v>33.25</v>
      </c>
      <c r="I19" s="14">
        <f t="shared" si="0"/>
        <v>7.4214000000000002</v>
      </c>
      <c r="J19" s="14">
        <f t="shared" si="1"/>
        <v>40.671399999999998</v>
      </c>
      <c r="K19" s="14">
        <f t="shared" si="2"/>
        <v>1.2201419999999999E-2</v>
      </c>
      <c r="L19" s="14">
        <f t="shared" si="3"/>
        <v>40.659198580000002</v>
      </c>
      <c r="M19" s="14">
        <f t="shared" si="4"/>
        <v>7156.0189500800006</v>
      </c>
      <c r="N19" s="14">
        <f t="shared" si="5"/>
        <v>0.1040203177347887</v>
      </c>
      <c r="O19" s="162"/>
      <c r="P19" s="98" t="s">
        <v>187</v>
      </c>
    </row>
    <row r="20" spans="1:16" ht="26.25" customHeight="1" x14ac:dyDescent="0.25">
      <c r="A20" s="17" t="s">
        <v>70</v>
      </c>
      <c r="B20" s="17" t="s">
        <v>33</v>
      </c>
      <c r="C20" s="11" t="s">
        <v>58</v>
      </c>
      <c r="D20" s="11" t="s">
        <v>34</v>
      </c>
      <c r="E20" s="20" t="s">
        <v>59</v>
      </c>
      <c r="F20" s="13" t="s">
        <v>35</v>
      </c>
      <c r="G20" s="72">
        <v>96</v>
      </c>
      <c r="H20" s="73">
        <v>28.58</v>
      </c>
      <c r="I20" s="14">
        <f t="shared" si="0"/>
        <v>6.3790560000000003</v>
      </c>
      <c r="J20" s="14">
        <f t="shared" si="1"/>
        <v>34.959055999999997</v>
      </c>
      <c r="K20" s="14">
        <f t="shared" si="2"/>
        <v>1.0487716799999998E-2</v>
      </c>
      <c r="L20" s="14">
        <f t="shared" si="3"/>
        <v>34.948568283199997</v>
      </c>
      <c r="M20" s="14">
        <f t="shared" si="4"/>
        <v>3355.0625551871999</v>
      </c>
      <c r="N20" s="14">
        <f t="shared" si="5"/>
        <v>4.8769389159703525E-2</v>
      </c>
      <c r="O20" s="162"/>
      <c r="P20" s="98" t="s">
        <v>188</v>
      </c>
    </row>
    <row r="21" spans="1:16" ht="26.25" customHeight="1" x14ac:dyDescent="0.25">
      <c r="A21" s="17" t="s">
        <v>71</v>
      </c>
      <c r="B21" s="17" t="s">
        <v>33</v>
      </c>
      <c r="C21" s="11" t="s">
        <v>58</v>
      </c>
      <c r="D21" s="11" t="s">
        <v>34</v>
      </c>
      <c r="E21" s="20" t="s">
        <v>59</v>
      </c>
      <c r="F21" s="13" t="s">
        <v>35</v>
      </c>
      <c r="G21" s="11">
        <v>0</v>
      </c>
      <c r="H21" s="73">
        <v>28.58</v>
      </c>
      <c r="I21" s="14">
        <f t="shared" si="0"/>
        <v>6.3790560000000003</v>
      </c>
      <c r="J21" s="14">
        <f t="shared" si="1"/>
        <v>34.959055999999997</v>
      </c>
      <c r="K21" s="14">
        <f t="shared" si="2"/>
        <v>1.0487716799999998E-2</v>
      </c>
      <c r="L21" s="14">
        <f t="shared" si="3"/>
        <v>34.948568283199997</v>
      </c>
      <c r="M21" s="14">
        <f t="shared" si="4"/>
        <v>0</v>
      </c>
      <c r="N21" s="14">
        <f t="shared" si="5"/>
        <v>0</v>
      </c>
      <c r="O21" s="162"/>
    </row>
    <row r="22" spans="1:16" ht="26.25" customHeight="1" x14ac:dyDescent="0.25">
      <c r="A22" s="17" t="s">
        <v>72</v>
      </c>
      <c r="B22" s="17" t="s">
        <v>33</v>
      </c>
      <c r="C22" s="11" t="s">
        <v>60</v>
      </c>
      <c r="D22" s="11" t="s">
        <v>34</v>
      </c>
      <c r="E22" s="20" t="s">
        <v>61</v>
      </c>
      <c r="F22" s="13" t="s">
        <v>35</v>
      </c>
      <c r="G22" s="11">
        <v>176</v>
      </c>
      <c r="H22" s="73">
        <v>31.59</v>
      </c>
      <c r="I22" s="14">
        <f t="shared" si="0"/>
        <v>7.0508880000000005</v>
      </c>
      <c r="J22" s="14">
        <f t="shared" si="1"/>
        <v>38.640888000000004</v>
      </c>
      <c r="K22" s="14">
        <f t="shared" si="2"/>
        <v>1.1592266400000001E-2</v>
      </c>
      <c r="L22" s="14">
        <f t="shared" si="3"/>
        <v>38.629295733600003</v>
      </c>
      <c r="M22" s="14">
        <f t="shared" si="4"/>
        <v>6798.756049113601</v>
      </c>
      <c r="N22" s="14">
        <f t="shared" si="5"/>
        <v>9.8827122924570687E-2</v>
      </c>
      <c r="O22" s="162"/>
    </row>
    <row r="23" spans="1:16" ht="26.25" customHeight="1" x14ac:dyDescent="0.25">
      <c r="A23" s="17" t="s">
        <v>73</v>
      </c>
      <c r="B23" s="17" t="s">
        <v>33</v>
      </c>
      <c r="C23" s="11" t="s">
        <v>60</v>
      </c>
      <c r="D23" s="11" t="s">
        <v>34</v>
      </c>
      <c r="E23" s="20" t="s">
        <v>61</v>
      </c>
      <c r="F23" s="13" t="s">
        <v>35</v>
      </c>
      <c r="G23" s="11">
        <v>176</v>
      </c>
      <c r="H23" s="73">
        <v>31.59</v>
      </c>
      <c r="I23" s="14">
        <f t="shared" si="0"/>
        <v>7.0508880000000005</v>
      </c>
      <c r="J23" s="14">
        <f t="shared" si="1"/>
        <v>38.640888000000004</v>
      </c>
      <c r="K23" s="14">
        <f t="shared" si="2"/>
        <v>1.1592266400000001E-2</v>
      </c>
      <c r="L23" s="14">
        <f t="shared" si="3"/>
        <v>38.629295733600003</v>
      </c>
      <c r="M23" s="14">
        <f t="shared" si="4"/>
        <v>6798.756049113601</v>
      </c>
      <c r="N23" s="14">
        <f t="shared" si="5"/>
        <v>9.8827122924570687E-2</v>
      </c>
      <c r="O23" s="162"/>
    </row>
    <row r="24" spans="1:16" ht="26.25" customHeight="1" x14ac:dyDescent="0.25">
      <c r="A24" s="17" t="s">
        <v>74</v>
      </c>
      <c r="B24" s="17" t="s">
        <v>33</v>
      </c>
      <c r="C24" s="11" t="s">
        <v>62</v>
      </c>
      <c r="D24" s="11" t="s">
        <v>34</v>
      </c>
      <c r="E24" s="20" t="s">
        <v>63</v>
      </c>
      <c r="F24" s="13" t="s">
        <v>35</v>
      </c>
      <c r="G24" s="11">
        <v>176</v>
      </c>
      <c r="H24" s="73">
        <v>27.2</v>
      </c>
      <c r="I24" s="14">
        <f t="shared" si="0"/>
        <v>6.07104</v>
      </c>
      <c r="J24" s="14">
        <f t="shared" si="1"/>
        <v>33.271039999999999</v>
      </c>
      <c r="K24" s="14">
        <f t="shared" si="2"/>
        <v>9.9813119999999991E-3</v>
      </c>
      <c r="L24" s="14">
        <f t="shared" si="3"/>
        <v>33.261058687999999</v>
      </c>
      <c r="M24" s="14">
        <f t="shared" si="4"/>
        <v>5853.9463290879994</v>
      </c>
      <c r="N24" s="14">
        <f t="shared" si="5"/>
        <v>8.5093312552969994E-2</v>
      </c>
      <c r="O24" s="162"/>
    </row>
    <row r="25" spans="1:16" ht="26.25" customHeight="1" x14ac:dyDescent="0.25">
      <c r="A25" s="17" t="s">
        <v>75</v>
      </c>
      <c r="B25" s="17" t="s">
        <v>33</v>
      </c>
      <c r="C25" s="11" t="s">
        <v>62</v>
      </c>
      <c r="D25" s="11" t="s">
        <v>34</v>
      </c>
      <c r="E25" s="20" t="s">
        <v>63</v>
      </c>
      <c r="F25" s="13" t="s">
        <v>35</v>
      </c>
      <c r="G25" s="11">
        <v>176</v>
      </c>
      <c r="H25" s="73">
        <v>27.2</v>
      </c>
      <c r="I25" s="14">
        <f t="shared" si="0"/>
        <v>6.07104</v>
      </c>
      <c r="J25" s="14">
        <f t="shared" si="1"/>
        <v>33.271039999999999</v>
      </c>
      <c r="K25" s="14">
        <f t="shared" si="2"/>
        <v>9.9813119999999991E-3</v>
      </c>
      <c r="L25" s="14">
        <f t="shared" si="3"/>
        <v>33.261058687999999</v>
      </c>
      <c r="M25" s="14">
        <f t="shared" si="4"/>
        <v>5853.9463290879994</v>
      </c>
      <c r="N25" s="14">
        <f t="shared" si="5"/>
        <v>8.5093312552969994E-2</v>
      </c>
      <c r="O25" s="162"/>
    </row>
    <row r="26" spans="1:16" ht="26.25" customHeight="1" x14ac:dyDescent="0.25">
      <c r="A26" s="17" t="s">
        <v>76</v>
      </c>
      <c r="B26" s="17" t="s">
        <v>33</v>
      </c>
      <c r="C26" s="11" t="s">
        <v>62</v>
      </c>
      <c r="D26" s="11" t="s">
        <v>34</v>
      </c>
      <c r="E26" s="20" t="s">
        <v>63</v>
      </c>
      <c r="F26" s="13" t="s">
        <v>35</v>
      </c>
      <c r="G26" s="11">
        <v>176</v>
      </c>
      <c r="H26" s="73">
        <v>27.2</v>
      </c>
      <c r="I26" s="14">
        <f t="shared" si="0"/>
        <v>6.07104</v>
      </c>
      <c r="J26" s="14">
        <f t="shared" si="1"/>
        <v>33.271039999999999</v>
      </c>
      <c r="K26" s="14">
        <f t="shared" si="2"/>
        <v>9.9813119999999991E-3</v>
      </c>
      <c r="L26" s="14">
        <f t="shared" si="3"/>
        <v>33.261058687999999</v>
      </c>
      <c r="M26" s="14">
        <f t="shared" si="4"/>
        <v>5853.9463290879994</v>
      </c>
      <c r="N26" s="14">
        <f t="shared" si="5"/>
        <v>8.5093312552969994E-2</v>
      </c>
      <c r="O26" s="162"/>
    </row>
    <row r="27" spans="1:16" ht="26.25" customHeight="1" x14ac:dyDescent="0.25">
      <c r="A27" s="17" t="s">
        <v>77</v>
      </c>
      <c r="B27" s="17" t="s">
        <v>33</v>
      </c>
      <c r="C27" s="11" t="s">
        <v>66</v>
      </c>
      <c r="D27" s="11" t="s">
        <v>34</v>
      </c>
      <c r="E27" s="12" t="s">
        <v>67</v>
      </c>
      <c r="F27" s="13" t="s">
        <v>35</v>
      </c>
      <c r="G27" s="11">
        <v>176</v>
      </c>
      <c r="H27" s="73">
        <v>27.16</v>
      </c>
      <c r="I27" s="14">
        <f t="shared" si="0"/>
        <v>6.0621119999999999</v>
      </c>
      <c r="J27" s="14">
        <f t="shared" si="1"/>
        <v>33.222112000000003</v>
      </c>
      <c r="K27" s="14">
        <f t="shared" si="2"/>
        <v>9.9666336000000001E-3</v>
      </c>
      <c r="L27" s="14">
        <f t="shared" si="3"/>
        <v>33.212145366400001</v>
      </c>
      <c r="M27" s="14">
        <f t="shared" si="4"/>
        <v>5845.3375844864004</v>
      </c>
      <c r="N27" s="14">
        <f t="shared" si="5"/>
        <v>8.4968175328627396E-2</v>
      </c>
      <c r="O27" s="162"/>
    </row>
    <row r="28" spans="1:16" ht="26.25" customHeight="1" x14ac:dyDescent="0.25">
      <c r="A28" s="17" t="s">
        <v>78</v>
      </c>
      <c r="B28" s="17" t="s">
        <v>33</v>
      </c>
      <c r="C28" s="11" t="s">
        <v>66</v>
      </c>
      <c r="D28" s="11" t="s">
        <v>34</v>
      </c>
      <c r="E28" s="12" t="s">
        <v>67</v>
      </c>
      <c r="F28" s="13" t="s">
        <v>35</v>
      </c>
      <c r="G28" s="11">
        <v>176</v>
      </c>
      <c r="H28" s="73">
        <v>27.16</v>
      </c>
      <c r="I28" s="14">
        <f t="shared" si="0"/>
        <v>6.0621119999999999</v>
      </c>
      <c r="J28" s="14">
        <f t="shared" si="1"/>
        <v>33.222112000000003</v>
      </c>
      <c r="K28" s="14">
        <f t="shared" si="2"/>
        <v>9.9666336000000001E-3</v>
      </c>
      <c r="L28" s="14">
        <f t="shared" si="3"/>
        <v>33.212145366400001</v>
      </c>
      <c r="M28" s="14">
        <f t="shared" si="4"/>
        <v>5845.3375844864004</v>
      </c>
      <c r="N28" s="14">
        <f t="shared" si="5"/>
        <v>8.4968175328627396E-2</v>
      </c>
      <c r="O28" s="162"/>
    </row>
    <row r="29" spans="1:16" x14ac:dyDescent="0.25">
      <c r="A29" s="163" t="s">
        <v>16</v>
      </c>
      <c r="B29" s="165" t="s">
        <v>17</v>
      </c>
      <c r="C29" s="165" t="s">
        <v>18</v>
      </c>
      <c r="D29" s="165" t="s">
        <v>19</v>
      </c>
      <c r="E29" s="165" t="s">
        <v>20</v>
      </c>
      <c r="F29" s="165" t="s">
        <v>21</v>
      </c>
      <c r="G29" s="165" t="s">
        <v>22</v>
      </c>
      <c r="H29" s="167" t="s">
        <v>23</v>
      </c>
      <c r="I29" s="167"/>
      <c r="J29" s="167"/>
      <c r="K29" s="167"/>
      <c r="L29" s="168"/>
      <c r="M29" s="165" t="s">
        <v>24</v>
      </c>
      <c r="N29" s="165" t="s">
        <v>25</v>
      </c>
      <c r="O29" s="162"/>
    </row>
    <row r="30" spans="1:16" ht="17.100000000000001" customHeight="1" x14ac:dyDescent="0.25">
      <c r="A30" s="164"/>
      <c r="B30" s="166"/>
      <c r="C30" s="166"/>
      <c r="D30" s="166"/>
      <c r="E30" s="166"/>
      <c r="F30" s="166"/>
      <c r="G30" s="166"/>
      <c r="H30" s="3" t="s">
        <v>27</v>
      </c>
      <c r="I30" s="26" t="s">
        <v>36</v>
      </c>
      <c r="J30" s="3" t="s">
        <v>29</v>
      </c>
      <c r="K30" s="4" t="s">
        <v>54</v>
      </c>
      <c r="L30" s="3" t="s">
        <v>30</v>
      </c>
      <c r="M30" s="166"/>
      <c r="N30" s="166"/>
      <c r="O30" s="111"/>
    </row>
    <row r="31" spans="1:16" ht="17.100000000000001" customHeight="1" x14ac:dyDescent="0.25">
      <c r="A31" s="15">
        <v>2</v>
      </c>
      <c r="B31" s="169" t="s">
        <v>37</v>
      </c>
      <c r="C31" s="169"/>
      <c r="D31" s="170"/>
      <c r="E31" s="170"/>
      <c r="F31" s="170"/>
      <c r="G31" s="16"/>
      <c r="H31" s="16"/>
      <c r="I31" s="16"/>
      <c r="J31" s="16"/>
      <c r="K31" s="16"/>
      <c r="L31" s="16"/>
      <c r="M31" s="22">
        <f>SUM(M32:M59)</f>
        <v>20337.163791968396</v>
      </c>
      <c r="N31" s="16"/>
      <c r="O31" s="162"/>
    </row>
    <row r="32" spans="1:16" s="19" customFormat="1" ht="17.100000000000001" customHeight="1" x14ac:dyDescent="0.2">
      <c r="A32" s="18" t="s">
        <v>50</v>
      </c>
      <c r="B32" s="18" t="s">
        <v>51</v>
      </c>
      <c r="C32" s="23">
        <v>377</v>
      </c>
      <c r="D32" s="18" t="s">
        <v>34</v>
      </c>
      <c r="E32" s="25" t="s">
        <v>89</v>
      </c>
      <c r="F32" s="18" t="s">
        <v>21</v>
      </c>
      <c r="G32" s="18">
        <v>20</v>
      </c>
      <c r="H32" s="77">
        <v>41.71</v>
      </c>
      <c r="I32" s="14">
        <f t="shared" ref="I32:I34" si="6">H32*0.1532</f>
        <v>6.3899720000000002</v>
      </c>
      <c r="J32" s="14">
        <f t="shared" ref="J32:J34" si="7">H32+I32</f>
        <v>48.099972000000001</v>
      </c>
      <c r="K32" s="14">
        <f t="shared" ref="K32:K34" si="8">J32*(0.03%)</f>
        <v>1.4429991599999999E-2</v>
      </c>
      <c r="L32" s="14">
        <f t="shared" ref="L32:L34" si="9">J32-K32</f>
        <v>48.085542008400004</v>
      </c>
      <c r="M32" s="14">
        <f t="shared" ref="M32:M34" si="10">L32*G32</f>
        <v>961.71084016800012</v>
      </c>
      <c r="N32" s="14" t="e">
        <f>M32/#REF!</f>
        <v>#REF!</v>
      </c>
      <c r="O32" s="162"/>
    </row>
    <row r="33" spans="1:15" s="19" customFormat="1" ht="17.100000000000001" customHeight="1" x14ac:dyDescent="0.2">
      <c r="A33" s="18" t="s">
        <v>153</v>
      </c>
      <c r="B33" s="18" t="s">
        <v>51</v>
      </c>
      <c r="C33" s="74">
        <v>13415</v>
      </c>
      <c r="D33" s="18" t="s">
        <v>34</v>
      </c>
      <c r="E33" s="75" t="s">
        <v>172</v>
      </c>
      <c r="F33" s="18" t="s">
        <v>21</v>
      </c>
      <c r="G33" s="18">
        <v>20</v>
      </c>
      <c r="H33" s="76">
        <v>68.78</v>
      </c>
      <c r="I33" s="14">
        <f t="shared" si="6"/>
        <v>10.537096</v>
      </c>
      <c r="J33" s="14">
        <f t="shared" si="7"/>
        <v>79.317096000000006</v>
      </c>
      <c r="K33" s="14">
        <f t="shared" si="8"/>
        <v>2.3795128799999999E-2</v>
      </c>
      <c r="L33" s="14">
        <f t="shared" si="9"/>
        <v>79.293300871200003</v>
      </c>
      <c r="M33" s="14">
        <f t="shared" si="10"/>
        <v>1585.8660174240001</v>
      </c>
      <c r="N33" s="14" t="e">
        <f>M33/M$30</f>
        <v>#DIV/0!</v>
      </c>
      <c r="O33" s="162"/>
    </row>
    <row r="34" spans="1:15" s="19" customFormat="1" ht="17.100000000000001" customHeight="1" x14ac:dyDescent="0.2">
      <c r="A34" s="18" t="s">
        <v>154</v>
      </c>
      <c r="B34" s="18" t="s">
        <v>51</v>
      </c>
      <c r="C34" s="18">
        <v>11684</v>
      </c>
      <c r="D34" s="18" t="s">
        <v>34</v>
      </c>
      <c r="E34" s="24" t="s">
        <v>118</v>
      </c>
      <c r="F34" s="18" t="s">
        <v>21</v>
      </c>
      <c r="G34" s="18">
        <v>10</v>
      </c>
      <c r="H34" s="73">
        <v>41.41</v>
      </c>
      <c r="I34" s="14">
        <f t="shared" si="6"/>
        <v>6.3440119999999993</v>
      </c>
      <c r="J34" s="14">
        <f t="shared" si="7"/>
        <v>47.754011999999996</v>
      </c>
      <c r="K34" s="14">
        <f t="shared" si="8"/>
        <v>1.4326203599999997E-2</v>
      </c>
      <c r="L34" s="14">
        <f t="shared" si="9"/>
        <v>47.739685796399996</v>
      </c>
      <c r="M34" s="14">
        <f t="shared" si="10"/>
        <v>477.39685796399999</v>
      </c>
      <c r="N34" s="14" t="e">
        <f>M34/M$30</f>
        <v>#DIV/0!</v>
      </c>
      <c r="O34" s="162"/>
    </row>
    <row r="35" spans="1:15" s="19" customFormat="1" ht="17.100000000000001" customHeight="1" x14ac:dyDescent="0.2">
      <c r="A35" s="18" t="s">
        <v>103</v>
      </c>
      <c r="B35" s="18" t="s">
        <v>51</v>
      </c>
      <c r="C35" s="18">
        <v>3148</v>
      </c>
      <c r="D35" s="18" t="s">
        <v>34</v>
      </c>
      <c r="E35" s="24" t="s">
        <v>119</v>
      </c>
      <c r="F35" s="18" t="s">
        <v>21</v>
      </c>
      <c r="G35" s="18">
        <v>5</v>
      </c>
      <c r="H35" s="79">
        <v>8.77</v>
      </c>
      <c r="I35" s="14">
        <f t="shared" ref="I35" si="11">H35*0.1532</f>
        <v>1.343564</v>
      </c>
      <c r="J35" s="14">
        <f t="shared" ref="J35" si="12">H35+I35</f>
        <v>10.113564</v>
      </c>
      <c r="K35" s="14">
        <f t="shared" ref="K35" si="13">J35*(0.03%)</f>
        <v>3.0340692E-3</v>
      </c>
      <c r="L35" s="14">
        <f t="shared" ref="L35" si="14">J35-K35</f>
        <v>10.1105299308</v>
      </c>
      <c r="M35" s="14">
        <f t="shared" ref="M35" si="15">L35*G35</f>
        <v>50.552649654</v>
      </c>
      <c r="N35" s="14" t="e">
        <f>M35/#REF!</f>
        <v>#REF!</v>
      </c>
      <c r="O35" s="162"/>
    </row>
    <row r="36" spans="1:15" s="19" customFormat="1" ht="17.100000000000001" customHeight="1" x14ac:dyDescent="0.2">
      <c r="A36" s="18" t="s">
        <v>144</v>
      </c>
      <c r="B36" s="18" t="s">
        <v>51</v>
      </c>
      <c r="C36" s="51" t="s">
        <v>107</v>
      </c>
      <c r="D36" s="51" t="s">
        <v>120</v>
      </c>
      <c r="E36" s="24" t="s">
        <v>108</v>
      </c>
      <c r="F36" s="18" t="s">
        <v>21</v>
      </c>
      <c r="G36" s="18">
        <v>10</v>
      </c>
      <c r="H36" s="73">
        <v>78.3</v>
      </c>
      <c r="I36" s="14">
        <f t="shared" ref="I36" si="16">H36*0.1532</f>
        <v>11.995559999999999</v>
      </c>
      <c r="J36" s="14">
        <f t="shared" ref="J36" si="17">H36+I36</f>
        <v>90.295559999999995</v>
      </c>
      <c r="K36" s="14">
        <f t="shared" ref="K36" si="18">J36*(0.03%)</f>
        <v>2.7088667999999996E-2</v>
      </c>
      <c r="L36" s="14">
        <f t="shared" ref="L36" si="19">J36-K36</f>
        <v>90.26847133199999</v>
      </c>
      <c r="M36" s="14">
        <f t="shared" ref="M36" si="20">L36*G36</f>
        <v>902.6847133199999</v>
      </c>
      <c r="N36" s="14" t="e">
        <f>M36/#REF!</f>
        <v>#REF!</v>
      </c>
      <c r="O36" s="162"/>
    </row>
    <row r="37" spans="1:15" s="19" customFormat="1" ht="17.100000000000001" customHeight="1" x14ac:dyDescent="0.2">
      <c r="A37" s="18" t="s">
        <v>155</v>
      </c>
      <c r="B37" s="18" t="s">
        <v>51</v>
      </c>
      <c r="C37" s="18">
        <v>12815</v>
      </c>
      <c r="D37" s="18" t="s">
        <v>34</v>
      </c>
      <c r="E37" s="57" t="s">
        <v>102</v>
      </c>
      <c r="F37" s="18" t="s">
        <v>21</v>
      </c>
      <c r="G37" s="18">
        <v>5</v>
      </c>
      <c r="H37" s="79">
        <v>10.89</v>
      </c>
      <c r="I37" s="14">
        <f t="shared" ref="I37:I45" si="21">H37*0.1532</f>
        <v>1.6683480000000002</v>
      </c>
      <c r="J37" s="14">
        <f t="shared" ref="J37:J45" si="22">H37+I37</f>
        <v>12.558348000000001</v>
      </c>
      <c r="K37" s="14">
        <f t="shared" ref="K37:K45" si="23">J37*(0.03%)</f>
        <v>3.7675043999999998E-3</v>
      </c>
      <c r="L37" s="14">
        <f t="shared" ref="L37:L45" si="24">J37-K37</f>
        <v>12.5545804956</v>
      </c>
      <c r="M37" s="14">
        <f t="shared" ref="M37:M45" si="25">L37*G37</f>
        <v>62.772902477999999</v>
      </c>
      <c r="N37" s="14" t="e">
        <f>M37/#REF!</f>
        <v>#REF!</v>
      </c>
      <c r="O37" s="162"/>
    </row>
    <row r="38" spans="1:15" s="19" customFormat="1" ht="17.100000000000001" customHeight="1" x14ac:dyDescent="0.2">
      <c r="A38" s="18" t="s">
        <v>104</v>
      </c>
      <c r="B38" s="18" t="s">
        <v>51</v>
      </c>
      <c r="C38" s="18">
        <v>38383</v>
      </c>
      <c r="D38" s="18" t="s">
        <v>34</v>
      </c>
      <c r="E38" s="63" t="s">
        <v>110</v>
      </c>
      <c r="F38" s="18" t="s">
        <v>21</v>
      </c>
      <c r="G38" s="18">
        <v>20</v>
      </c>
      <c r="H38" s="79">
        <v>2.66</v>
      </c>
      <c r="I38" s="14">
        <f t="shared" si="21"/>
        <v>0.40751200000000004</v>
      </c>
      <c r="J38" s="14">
        <f t="shared" si="22"/>
        <v>3.0675120000000002</v>
      </c>
      <c r="K38" s="14">
        <f t="shared" si="23"/>
        <v>9.2025359999999999E-4</v>
      </c>
      <c r="L38" s="14">
        <f t="shared" si="24"/>
        <v>3.0665917464000003</v>
      </c>
      <c r="M38" s="14">
        <f t="shared" si="25"/>
        <v>61.331834928000006</v>
      </c>
      <c r="N38" s="14">
        <f t="shared" ref="N38:N45" si="26">M38/M37</f>
        <v>0.97704315886134074</v>
      </c>
      <c r="O38" s="162"/>
    </row>
    <row r="39" spans="1:15" s="19" customFormat="1" ht="17.100000000000001" customHeight="1" x14ac:dyDescent="0.2">
      <c r="A39" s="18" t="s">
        <v>156</v>
      </c>
      <c r="B39" s="18" t="s">
        <v>51</v>
      </c>
      <c r="C39" s="23">
        <v>43651</v>
      </c>
      <c r="D39" s="18" t="s">
        <v>34</v>
      </c>
      <c r="E39" s="24" t="s">
        <v>143</v>
      </c>
      <c r="F39" s="18" t="s">
        <v>93</v>
      </c>
      <c r="G39" s="18">
        <v>46</v>
      </c>
      <c r="H39" s="80">
        <v>6.83</v>
      </c>
      <c r="I39" s="14">
        <f t="shared" si="21"/>
        <v>1.0463560000000001</v>
      </c>
      <c r="J39" s="14">
        <f t="shared" si="22"/>
        <v>7.8763560000000004</v>
      </c>
      <c r="K39" s="14">
        <f t="shared" si="23"/>
        <v>2.3629068E-3</v>
      </c>
      <c r="L39" s="14">
        <f t="shared" si="24"/>
        <v>7.8739930932000002</v>
      </c>
      <c r="M39" s="14">
        <f t="shared" si="25"/>
        <v>362.20368228720002</v>
      </c>
      <c r="N39" s="14">
        <f t="shared" si="26"/>
        <v>5.9056390977443609</v>
      </c>
      <c r="O39" s="162"/>
    </row>
    <row r="40" spans="1:15" x14ac:dyDescent="0.25">
      <c r="A40" s="18" t="s">
        <v>79</v>
      </c>
      <c r="B40" s="18" t="s">
        <v>51</v>
      </c>
      <c r="C40" s="18">
        <v>35692</v>
      </c>
      <c r="D40" s="18" t="s">
        <v>34</v>
      </c>
      <c r="E40" s="25" t="s">
        <v>101</v>
      </c>
      <c r="F40" s="18" t="s">
        <v>100</v>
      </c>
      <c r="G40" s="18">
        <f>18*3</f>
        <v>54</v>
      </c>
      <c r="H40" s="80">
        <v>18.97</v>
      </c>
      <c r="I40" s="14">
        <f t="shared" si="21"/>
        <v>2.9062039999999998</v>
      </c>
      <c r="J40" s="14">
        <f t="shared" si="22"/>
        <v>21.876203999999998</v>
      </c>
      <c r="K40" s="14">
        <f t="shared" si="23"/>
        <v>6.5628611999999989E-3</v>
      </c>
      <c r="L40" s="14">
        <f t="shared" si="24"/>
        <v>21.869641138799999</v>
      </c>
      <c r="M40" s="14">
        <f t="shared" si="25"/>
        <v>1180.9606214952</v>
      </c>
      <c r="N40" s="14">
        <f t="shared" si="26"/>
        <v>3.2604876185626073</v>
      </c>
      <c r="O40" s="162"/>
    </row>
    <row r="41" spans="1:15" x14ac:dyDescent="0.25">
      <c r="A41" s="18" t="s">
        <v>94</v>
      </c>
      <c r="B41" s="18" t="s">
        <v>51</v>
      </c>
      <c r="C41" s="18">
        <v>7348</v>
      </c>
      <c r="D41" s="18" t="s">
        <v>34</v>
      </c>
      <c r="E41" s="25" t="s">
        <v>99</v>
      </c>
      <c r="F41" s="18" t="s">
        <v>100</v>
      </c>
      <c r="G41" s="18">
        <v>36</v>
      </c>
      <c r="H41" s="79">
        <v>19.440000000000001</v>
      </c>
      <c r="I41" s="14">
        <f t="shared" si="21"/>
        <v>2.9782080000000004</v>
      </c>
      <c r="J41" s="14">
        <f t="shared" si="22"/>
        <v>22.418208</v>
      </c>
      <c r="K41" s="14">
        <f t="shared" si="23"/>
        <v>6.725462399999999E-3</v>
      </c>
      <c r="L41" s="14">
        <f t="shared" si="24"/>
        <v>22.411482537600001</v>
      </c>
      <c r="M41" s="14">
        <f t="shared" si="25"/>
        <v>806.81337135360002</v>
      </c>
      <c r="N41" s="14">
        <f t="shared" si="26"/>
        <v>0.68318397469688985</v>
      </c>
      <c r="O41" s="162"/>
    </row>
    <row r="42" spans="1:15" s="19" customFormat="1" ht="17.100000000000001" customHeight="1" x14ac:dyDescent="0.2">
      <c r="A42" s="18" t="s">
        <v>96</v>
      </c>
      <c r="B42" s="18" t="s">
        <v>51</v>
      </c>
      <c r="C42" s="18">
        <v>367</v>
      </c>
      <c r="D42" s="18" t="s">
        <v>34</v>
      </c>
      <c r="E42" s="30" t="s">
        <v>142</v>
      </c>
      <c r="F42" s="18" t="s">
        <v>141</v>
      </c>
      <c r="G42" s="18">
        <v>5</v>
      </c>
      <c r="H42" s="80">
        <v>60.78</v>
      </c>
      <c r="I42" s="14">
        <f t="shared" si="21"/>
        <v>9.311496</v>
      </c>
      <c r="J42" s="14">
        <f t="shared" si="22"/>
        <v>70.091496000000006</v>
      </c>
      <c r="K42" s="14">
        <f t="shared" si="23"/>
        <v>2.1027448800000001E-2</v>
      </c>
      <c r="L42" s="14">
        <f t="shared" si="24"/>
        <v>70.070468551200008</v>
      </c>
      <c r="M42" s="14">
        <f t="shared" si="25"/>
        <v>350.35234275600004</v>
      </c>
      <c r="N42" s="14">
        <f t="shared" si="26"/>
        <v>0.43424211248285327</v>
      </c>
      <c r="O42" s="162"/>
    </row>
    <row r="43" spans="1:15" s="19" customFormat="1" ht="17.100000000000001" customHeight="1" x14ac:dyDescent="0.2">
      <c r="A43" s="18" t="s">
        <v>157</v>
      </c>
      <c r="B43" s="18" t="s">
        <v>51</v>
      </c>
      <c r="C43" s="18">
        <v>4720</v>
      </c>
      <c r="D43" s="18" t="s">
        <v>34</v>
      </c>
      <c r="E43" s="45" t="s">
        <v>140</v>
      </c>
      <c r="F43" s="18" t="s">
        <v>141</v>
      </c>
      <c r="G43" s="18">
        <v>5</v>
      </c>
      <c r="H43" s="79">
        <v>80.39</v>
      </c>
      <c r="I43" s="14">
        <f t="shared" si="21"/>
        <v>12.315748000000001</v>
      </c>
      <c r="J43" s="14">
        <f t="shared" si="22"/>
        <v>92.705748</v>
      </c>
      <c r="K43" s="14">
        <f t="shared" si="23"/>
        <v>2.7811724399999998E-2</v>
      </c>
      <c r="L43" s="14">
        <f t="shared" si="24"/>
        <v>92.677936275600004</v>
      </c>
      <c r="M43" s="14">
        <f t="shared" si="25"/>
        <v>463.38968137800003</v>
      </c>
      <c r="N43" s="14">
        <f t="shared" si="26"/>
        <v>1.3226390259953931</v>
      </c>
      <c r="O43" s="162"/>
    </row>
    <row r="44" spans="1:15" s="19" customFormat="1" ht="17.100000000000001" customHeight="1" x14ac:dyDescent="0.2">
      <c r="A44" s="18" t="s">
        <v>80</v>
      </c>
      <c r="B44" s="18" t="s">
        <v>51</v>
      </c>
      <c r="C44" s="23">
        <v>33</v>
      </c>
      <c r="D44" s="18" t="s">
        <v>34</v>
      </c>
      <c r="E44" s="24" t="s">
        <v>109</v>
      </c>
      <c r="F44" s="18" t="s">
        <v>93</v>
      </c>
      <c r="G44" s="18">
        <f>4.74*30</f>
        <v>142.20000000000002</v>
      </c>
      <c r="H44" s="80">
        <v>8.44</v>
      </c>
      <c r="I44" s="14">
        <f t="shared" si="21"/>
        <v>1.2930079999999999</v>
      </c>
      <c r="J44" s="14">
        <f t="shared" si="22"/>
        <v>9.7330079999999999</v>
      </c>
      <c r="K44" s="14">
        <f t="shared" si="23"/>
        <v>2.9199023999999995E-3</v>
      </c>
      <c r="L44" s="14">
        <f t="shared" si="24"/>
        <v>9.7300880975999995</v>
      </c>
      <c r="M44" s="14">
        <f t="shared" si="25"/>
        <v>1383.6185274787201</v>
      </c>
      <c r="N44" s="14">
        <f t="shared" si="26"/>
        <v>2.9858639134220675</v>
      </c>
      <c r="O44" s="162"/>
    </row>
    <row r="45" spans="1:15" s="19" customFormat="1" ht="17.100000000000001" customHeight="1" x14ac:dyDescent="0.2">
      <c r="A45" s="18" t="s">
        <v>95</v>
      </c>
      <c r="B45" s="18" t="s">
        <v>51</v>
      </c>
      <c r="C45" s="18">
        <v>43059</v>
      </c>
      <c r="D45" s="18" t="s">
        <v>34</v>
      </c>
      <c r="E45" s="57" t="s">
        <v>121</v>
      </c>
      <c r="F45" s="18" t="s">
        <v>93</v>
      </c>
      <c r="G45" s="18">
        <f>1.32*20</f>
        <v>26.400000000000002</v>
      </c>
      <c r="H45" s="79">
        <v>7.53</v>
      </c>
      <c r="I45" s="14">
        <f t="shared" si="21"/>
        <v>1.1535960000000001</v>
      </c>
      <c r="J45" s="14">
        <f t="shared" si="22"/>
        <v>8.6835959999999996</v>
      </c>
      <c r="K45" s="14">
        <f t="shared" si="23"/>
        <v>2.6050787999999997E-3</v>
      </c>
      <c r="L45" s="14">
        <f t="shared" si="24"/>
        <v>8.6809909211999994</v>
      </c>
      <c r="M45" s="14">
        <f t="shared" si="25"/>
        <v>229.17816031967999</v>
      </c>
      <c r="N45" s="14">
        <f t="shared" si="26"/>
        <v>0.16563681084648146</v>
      </c>
      <c r="O45" s="162"/>
    </row>
    <row r="46" spans="1:15" s="19" customFormat="1" ht="17.100000000000001" customHeight="1" x14ac:dyDescent="0.2">
      <c r="A46" s="18" t="s">
        <v>105</v>
      </c>
      <c r="B46" s="18" t="s">
        <v>51</v>
      </c>
      <c r="C46" s="18">
        <v>1379</v>
      </c>
      <c r="D46" s="18" t="s">
        <v>34</v>
      </c>
      <c r="E46" s="25" t="s">
        <v>139</v>
      </c>
      <c r="F46" s="18" t="s">
        <v>21</v>
      </c>
      <c r="G46" s="18">
        <v>1500</v>
      </c>
      <c r="H46" s="79">
        <v>0.57999999999999996</v>
      </c>
      <c r="I46" s="14">
        <f t="shared" ref="I46:I52" si="27">H46*0.1532</f>
        <v>8.8855999999999991E-2</v>
      </c>
      <c r="J46" s="14">
        <f t="shared" ref="J46:J52" si="28">H46+I46</f>
        <v>0.6688559999999999</v>
      </c>
      <c r="K46" s="14">
        <f t="shared" ref="K46:K52" si="29">J46*(0.03%)</f>
        <v>2.0065679999999996E-4</v>
      </c>
      <c r="L46" s="14">
        <f t="shared" ref="L46:L52" si="30">J46-K46</f>
        <v>0.66865534319999986</v>
      </c>
      <c r="M46" s="14">
        <f t="shared" ref="M46:M52" si="31">L46*G46</f>
        <v>1002.9830147999998</v>
      </c>
      <c r="N46" s="14">
        <f t="shared" ref="N46" si="32">M46/M45</f>
        <v>4.376433659302184</v>
      </c>
      <c r="O46" s="162"/>
    </row>
    <row r="47" spans="1:15" s="19" customFormat="1" ht="17.100000000000001" customHeight="1" x14ac:dyDescent="0.2">
      <c r="A47" s="18" t="s">
        <v>97</v>
      </c>
      <c r="B47" s="18" t="s">
        <v>51</v>
      </c>
      <c r="C47" s="18">
        <v>3536</v>
      </c>
      <c r="D47" s="18" t="s">
        <v>34</v>
      </c>
      <c r="E47" s="57" t="s">
        <v>138</v>
      </c>
      <c r="F47" s="18" t="s">
        <v>21</v>
      </c>
      <c r="G47" s="18">
        <v>10</v>
      </c>
      <c r="H47" s="79">
        <v>2.54</v>
      </c>
      <c r="I47" s="14">
        <f t="shared" si="27"/>
        <v>0.38912800000000003</v>
      </c>
      <c r="J47" s="14">
        <f t="shared" si="28"/>
        <v>2.929128</v>
      </c>
      <c r="K47" s="14">
        <f t="shared" si="29"/>
        <v>8.7873839999999992E-4</v>
      </c>
      <c r="L47" s="14">
        <f t="shared" si="30"/>
        <v>2.9282492616</v>
      </c>
      <c r="M47" s="14">
        <f t="shared" si="31"/>
        <v>29.282492615999999</v>
      </c>
      <c r="N47" s="14">
        <f t="shared" ref="N47:N52" si="33">M47/M46</f>
        <v>2.9195402298850582E-2</v>
      </c>
      <c r="O47" s="162"/>
    </row>
    <row r="48" spans="1:15" s="19" customFormat="1" ht="17.100000000000001" customHeight="1" x14ac:dyDescent="0.2">
      <c r="A48" s="18" t="s">
        <v>158</v>
      </c>
      <c r="B48" s="18" t="s">
        <v>51</v>
      </c>
      <c r="C48" s="18">
        <v>3524</v>
      </c>
      <c r="D48" s="18" t="s">
        <v>34</v>
      </c>
      <c r="E48" s="57" t="s">
        <v>137</v>
      </c>
      <c r="F48" s="18" t="s">
        <v>21</v>
      </c>
      <c r="G48" s="18">
        <v>10</v>
      </c>
      <c r="H48" s="79">
        <v>8.4600000000000009</v>
      </c>
      <c r="I48" s="14">
        <f t="shared" si="27"/>
        <v>1.2960720000000001</v>
      </c>
      <c r="J48" s="14">
        <f t="shared" si="28"/>
        <v>9.7560720000000014</v>
      </c>
      <c r="K48" s="14">
        <f t="shared" si="29"/>
        <v>2.9268216000000002E-3</v>
      </c>
      <c r="L48" s="14">
        <f t="shared" si="30"/>
        <v>9.7531451784000023</v>
      </c>
      <c r="M48" s="14">
        <f t="shared" si="31"/>
        <v>97.531451784000026</v>
      </c>
      <c r="N48" s="14">
        <f t="shared" si="33"/>
        <v>3.330708661417324</v>
      </c>
      <c r="O48" s="162"/>
    </row>
    <row r="49" spans="1:16" s="19" customFormat="1" ht="17.100000000000001" customHeight="1" x14ac:dyDescent="0.2">
      <c r="A49" s="18" t="s">
        <v>98</v>
      </c>
      <c r="B49" s="18" t="s">
        <v>51</v>
      </c>
      <c r="C49" s="58">
        <v>20147</v>
      </c>
      <c r="D49" s="18" t="s">
        <v>34</v>
      </c>
      <c r="E49" s="24" t="s">
        <v>136</v>
      </c>
      <c r="F49" s="18" t="s">
        <v>21</v>
      </c>
      <c r="G49" s="58">
        <v>10</v>
      </c>
      <c r="H49" s="81">
        <v>5.62</v>
      </c>
      <c r="I49" s="59">
        <f t="shared" si="27"/>
        <v>0.86098400000000008</v>
      </c>
      <c r="J49" s="59">
        <f t="shared" si="28"/>
        <v>6.4809840000000003</v>
      </c>
      <c r="K49" s="59">
        <f t="shared" si="29"/>
        <v>1.9442951999999998E-3</v>
      </c>
      <c r="L49" s="59">
        <f t="shared" si="30"/>
        <v>6.4790397047999999</v>
      </c>
      <c r="M49" s="59">
        <f t="shared" si="31"/>
        <v>64.790397048000003</v>
      </c>
      <c r="N49" s="59">
        <f t="shared" si="33"/>
        <v>0.66430260047281309</v>
      </c>
      <c r="O49" s="162"/>
    </row>
    <row r="50" spans="1:16" s="19" customFormat="1" ht="17.100000000000001" customHeight="1" x14ac:dyDescent="0.2">
      <c r="A50" s="18" t="s">
        <v>92</v>
      </c>
      <c r="B50" s="18" t="s">
        <v>51</v>
      </c>
      <c r="C50" s="23">
        <v>3500</v>
      </c>
      <c r="D50" s="18" t="s">
        <v>34</v>
      </c>
      <c r="E50" s="24" t="s">
        <v>135</v>
      </c>
      <c r="F50" s="18" t="s">
        <v>21</v>
      </c>
      <c r="G50" s="18">
        <v>10</v>
      </c>
      <c r="H50" s="80">
        <v>1.58</v>
      </c>
      <c r="I50" s="14">
        <f t="shared" si="27"/>
        <v>0.24205600000000002</v>
      </c>
      <c r="J50" s="14">
        <f t="shared" si="28"/>
        <v>1.8220560000000001</v>
      </c>
      <c r="K50" s="14">
        <f t="shared" si="29"/>
        <v>5.4661680000000004E-4</v>
      </c>
      <c r="L50" s="14">
        <f t="shared" si="30"/>
        <v>1.8215093832000002</v>
      </c>
      <c r="M50" s="14">
        <f t="shared" si="31"/>
        <v>18.215093832000001</v>
      </c>
      <c r="N50" s="14">
        <f t="shared" si="33"/>
        <v>0.28113879003558717</v>
      </c>
      <c r="O50" s="162"/>
    </row>
    <row r="51" spans="1:16" s="62" customFormat="1" ht="16.5" customHeight="1" x14ac:dyDescent="0.2">
      <c r="A51" s="18" t="s">
        <v>159</v>
      </c>
      <c r="B51" s="18" t="s">
        <v>51</v>
      </c>
      <c r="C51" s="18">
        <v>10228</v>
      </c>
      <c r="D51" s="18" t="s">
        <v>34</v>
      </c>
      <c r="E51" s="24" t="s">
        <v>134</v>
      </c>
      <c r="F51" s="18" t="s">
        <v>21</v>
      </c>
      <c r="G51" s="18">
        <v>10</v>
      </c>
      <c r="H51" s="79">
        <v>309.89999999999998</v>
      </c>
      <c r="I51" s="14">
        <f t="shared" si="27"/>
        <v>47.476679999999995</v>
      </c>
      <c r="J51" s="14">
        <f t="shared" si="28"/>
        <v>357.37667999999996</v>
      </c>
      <c r="K51" s="14">
        <f t="shared" si="29"/>
        <v>0.10721300399999999</v>
      </c>
      <c r="L51" s="14">
        <f t="shared" si="30"/>
        <v>357.26946699599995</v>
      </c>
      <c r="M51" s="14">
        <f t="shared" si="31"/>
        <v>3572.6946699599994</v>
      </c>
      <c r="N51" s="14">
        <f t="shared" si="33"/>
        <v>196.13924050632906</v>
      </c>
      <c r="O51" s="162"/>
      <c r="P51" s="78"/>
    </row>
    <row r="52" spans="1:16" s="19" customFormat="1" ht="17.100000000000001" customHeight="1" x14ac:dyDescent="0.2">
      <c r="A52" s="18" t="s">
        <v>160</v>
      </c>
      <c r="B52" s="18" t="s">
        <v>51</v>
      </c>
      <c r="C52" s="18">
        <v>11762</v>
      </c>
      <c r="D52" s="18" t="s">
        <v>34</v>
      </c>
      <c r="E52" s="61" t="s">
        <v>133</v>
      </c>
      <c r="F52" s="18" t="s">
        <v>21</v>
      </c>
      <c r="G52" s="18">
        <v>10</v>
      </c>
      <c r="H52" s="79">
        <v>56.5</v>
      </c>
      <c r="I52" s="14">
        <f t="shared" si="27"/>
        <v>8.6557999999999993</v>
      </c>
      <c r="J52" s="14">
        <f t="shared" si="28"/>
        <v>65.155799999999999</v>
      </c>
      <c r="K52" s="14">
        <f t="shared" si="29"/>
        <v>1.9546739999999996E-2</v>
      </c>
      <c r="L52" s="14">
        <f t="shared" si="30"/>
        <v>65.136253260000004</v>
      </c>
      <c r="M52" s="14">
        <f t="shared" si="31"/>
        <v>651.36253260000001</v>
      </c>
      <c r="N52" s="14">
        <f t="shared" si="33"/>
        <v>0.18231687641174577</v>
      </c>
      <c r="O52" s="162"/>
    </row>
    <row r="53" spans="1:16" s="19" customFormat="1" ht="17.100000000000001" customHeight="1" x14ac:dyDescent="0.2">
      <c r="A53" s="18" t="s">
        <v>91</v>
      </c>
      <c r="B53" s="18" t="s">
        <v>51</v>
      </c>
      <c r="C53" s="18">
        <v>39515</v>
      </c>
      <c r="D53" s="18" t="s">
        <v>34</v>
      </c>
      <c r="E53" s="30" t="s">
        <v>152</v>
      </c>
      <c r="F53" s="18" t="s">
        <v>21</v>
      </c>
      <c r="G53" s="69">
        <v>70</v>
      </c>
      <c r="H53" s="79">
        <v>61.45</v>
      </c>
      <c r="I53" s="14">
        <f t="shared" ref="I53:I55" si="34">H53*0.1532</f>
        <v>9.4141399999999997</v>
      </c>
      <c r="J53" s="14">
        <f t="shared" ref="J53:J55" si="35">H53+I53</f>
        <v>70.864140000000006</v>
      </c>
      <c r="K53" s="14">
        <f t="shared" ref="K53:K55" si="36">J53*(0.03%)</f>
        <v>2.1259242000000001E-2</v>
      </c>
      <c r="L53" s="14">
        <f t="shared" ref="L53:L55" si="37">J53-K53</f>
        <v>70.842880758000007</v>
      </c>
      <c r="M53" s="14">
        <f t="shared" ref="M53:M55" si="38">L53*G53</f>
        <v>4959.0016530600005</v>
      </c>
      <c r="N53" s="14">
        <f t="shared" ref="N53:N55" si="39">M53/M52</f>
        <v>7.6132743362831867</v>
      </c>
      <c r="O53" s="162"/>
    </row>
    <row r="54" spans="1:16" s="19" customFormat="1" ht="17.100000000000001" customHeight="1" x14ac:dyDescent="0.2">
      <c r="A54" s="18" t="s">
        <v>161</v>
      </c>
      <c r="B54" s="18" t="s">
        <v>51</v>
      </c>
      <c r="C54" s="23">
        <v>140</v>
      </c>
      <c r="D54" s="18" t="s">
        <v>34</v>
      </c>
      <c r="E54" s="24" t="s">
        <v>132</v>
      </c>
      <c r="F54" s="18" t="s">
        <v>93</v>
      </c>
      <c r="G54" s="18">
        <v>30</v>
      </c>
      <c r="H54" s="80">
        <v>18.93</v>
      </c>
      <c r="I54" s="14">
        <f t="shared" si="34"/>
        <v>2.9000759999999999</v>
      </c>
      <c r="J54" s="14">
        <f t="shared" si="35"/>
        <v>21.830075999999998</v>
      </c>
      <c r="K54" s="14">
        <f t="shared" si="36"/>
        <v>6.5490227999999992E-3</v>
      </c>
      <c r="L54" s="14">
        <f t="shared" si="37"/>
        <v>21.823526977199997</v>
      </c>
      <c r="M54" s="14">
        <f t="shared" si="38"/>
        <v>654.70580931599989</v>
      </c>
      <c r="N54" s="14">
        <f t="shared" si="39"/>
        <v>0.13202371265837495</v>
      </c>
      <c r="O54" s="162"/>
    </row>
    <row r="55" spans="1:16" s="19" customFormat="1" ht="17.100000000000001" customHeight="1" x14ac:dyDescent="0.2">
      <c r="A55" s="18" t="s">
        <v>106</v>
      </c>
      <c r="B55" s="18" t="s">
        <v>51</v>
      </c>
      <c r="C55" s="18">
        <v>38122</v>
      </c>
      <c r="D55" s="18" t="s">
        <v>34</v>
      </c>
      <c r="E55" s="61" t="s">
        <v>131</v>
      </c>
      <c r="F55" s="18" t="s">
        <v>100</v>
      </c>
      <c r="G55" s="18">
        <v>18</v>
      </c>
      <c r="H55" s="80">
        <v>19.649999999999999</v>
      </c>
      <c r="I55" s="14">
        <f t="shared" si="34"/>
        <v>3.0103800000000001</v>
      </c>
      <c r="J55" s="14">
        <f t="shared" si="35"/>
        <v>22.66038</v>
      </c>
      <c r="K55" s="14">
        <f t="shared" si="36"/>
        <v>6.7981139999999992E-3</v>
      </c>
      <c r="L55" s="14">
        <f t="shared" si="37"/>
        <v>22.653581886000001</v>
      </c>
      <c r="M55" s="14">
        <f t="shared" si="38"/>
        <v>407.76447394800005</v>
      </c>
      <c r="N55" s="14">
        <f t="shared" si="39"/>
        <v>0.62282091917591142</v>
      </c>
      <c r="O55" s="162"/>
    </row>
    <row r="56" spans="1:16" s="29" customFormat="1" ht="16.5" customHeight="1" x14ac:dyDescent="0.2">
      <c r="A56" s="48"/>
      <c r="B56" s="48"/>
      <c r="C56" s="48"/>
      <c r="D56" s="48"/>
      <c r="E56" s="47"/>
      <c r="F56" s="18"/>
      <c r="G56" s="48"/>
      <c r="H56" s="50"/>
      <c r="I56" s="14"/>
      <c r="J56" s="14"/>
      <c r="K56" s="14"/>
      <c r="L56" s="14"/>
      <c r="M56" s="14"/>
      <c r="N56" s="14"/>
      <c r="O56" s="162"/>
    </row>
    <row r="57" spans="1:16" s="29" customFormat="1" ht="16.5" customHeight="1" x14ac:dyDescent="0.2">
      <c r="A57" s="48"/>
      <c r="B57" s="48"/>
      <c r="C57" s="48"/>
      <c r="D57" s="48"/>
      <c r="E57" s="47"/>
      <c r="F57" s="18"/>
      <c r="G57" s="48"/>
      <c r="H57" s="50"/>
      <c r="I57" s="14"/>
      <c r="J57" s="14"/>
      <c r="K57" s="14"/>
      <c r="L57" s="14"/>
      <c r="M57" s="14"/>
      <c r="N57" s="14"/>
      <c r="O57" s="162"/>
    </row>
    <row r="58" spans="1:16" s="29" customFormat="1" ht="16.5" customHeight="1" x14ac:dyDescent="0.2">
      <c r="A58" s="48"/>
      <c r="B58" s="48"/>
      <c r="C58" s="48"/>
      <c r="D58" s="48"/>
      <c r="E58" s="47"/>
      <c r="F58" s="46"/>
      <c r="G58" s="48"/>
      <c r="H58" s="50"/>
      <c r="I58" s="14"/>
      <c r="J58" s="14"/>
      <c r="K58" s="14"/>
      <c r="L58" s="14"/>
      <c r="M58" s="14"/>
      <c r="N58" s="14"/>
      <c r="O58" s="162"/>
    </row>
    <row r="59" spans="1:16" s="19" customFormat="1" ht="17.100000000000001" customHeight="1" x14ac:dyDescent="0.2">
      <c r="A59" s="18"/>
      <c r="B59" s="18"/>
      <c r="C59" s="23"/>
      <c r="D59" s="18"/>
      <c r="E59" s="24"/>
      <c r="F59" s="18"/>
      <c r="G59" s="18"/>
      <c r="H59" s="27"/>
      <c r="I59" s="14"/>
      <c r="J59" s="14"/>
      <c r="K59" s="14"/>
      <c r="L59" s="14"/>
      <c r="M59" s="14"/>
      <c r="N59" s="14"/>
      <c r="O59" s="162"/>
    </row>
    <row r="60" spans="1:16" s="28" customFormat="1" ht="17.100000000000001" customHeight="1" x14ac:dyDescent="0.25">
      <c r="A60" s="171" t="s">
        <v>16</v>
      </c>
      <c r="B60" s="145" t="s">
        <v>17</v>
      </c>
      <c r="C60" s="145" t="s">
        <v>18</v>
      </c>
      <c r="D60" s="145" t="s">
        <v>19</v>
      </c>
      <c r="E60" s="145" t="s">
        <v>20</v>
      </c>
      <c r="F60" s="145" t="s">
        <v>21</v>
      </c>
      <c r="G60" s="145" t="s">
        <v>22</v>
      </c>
      <c r="H60" s="156" t="s">
        <v>23</v>
      </c>
      <c r="I60" s="156"/>
      <c r="J60" s="156"/>
      <c r="K60" s="156"/>
      <c r="L60" s="157"/>
      <c r="M60" s="145" t="s">
        <v>24</v>
      </c>
      <c r="N60" s="145" t="s">
        <v>25</v>
      </c>
      <c r="O60" s="111"/>
    </row>
    <row r="61" spans="1:16" s="28" customFormat="1" ht="17.100000000000001" customHeight="1" x14ac:dyDescent="0.25">
      <c r="A61" s="172"/>
      <c r="B61" s="146"/>
      <c r="C61" s="146"/>
      <c r="D61" s="146"/>
      <c r="E61" s="146"/>
      <c r="F61" s="146"/>
      <c r="G61" s="146"/>
      <c r="H61" s="4" t="s">
        <v>27</v>
      </c>
      <c r="I61" s="4" t="s">
        <v>28</v>
      </c>
      <c r="J61" s="4" t="s">
        <v>29</v>
      </c>
      <c r="K61" s="4" t="s">
        <v>55</v>
      </c>
      <c r="L61" s="4" t="s">
        <v>30</v>
      </c>
      <c r="M61" s="146"/>
      <c r="N61" s="146"/>
      <c r="O61" s="111"/>
    </row>
    <row r="62" spans="1:16" s="29" customFormat="1" ht="17.100000000000001" customHeight="1" x14ac:dyDescent="0.2">
      <c r="A62" s="31">
        <v>3</v>
      </c>
      <c r="B62" s="147" t="s">
        <v>38</v>
      </c>
      <c r="C62" s="148"/>
      <c r="D62" s="148"/>
      <c r="E62" s="148"/>
      <c r="F62" s="149"/>
      <c r="G62" s="32"/>
      <c r="H62" s="32"/>
      <c r="I62" s="32"/>
      <c r="J62" s="32"/>
      <c r="K62" s="32"/>
      <c r="L62" s="32"/>
      <c r="M62" s="33">
        <f>SUM(M63:M81)</f>
        <v>70678.954870524016</v>
      </c>
      <c r="N62" s="32"/>
      <c r="O62" s="111"/>
    </row>
    <row r="63" spans="1:16" s="29" customFormat="1" ht="26.25" customHeight="1" x14ac:dyDescent="0.2">
      <c r="A63" s="34" t="s">
        <v>81</v>
      </c>
      <c r="B63" s="34" t="s">
        <v>33</v>
      </c>
      <c r="C63" s="34" t="s">
        <v>60</v>
      </c>
      <c r="D63" s="34" t="s">
        <v>34</v>
      </c>
      <c r="E63" s="35" t="s">
        <v>61</v>
      </c>
      <c r="F63" s="36" t="s">
        <v>35</v>
      </c>
      <c r="G63" s="34">
        <v>176</v>
      </c>
      <c r="H63" s="82">
        <v>31.59</v>
      </c>
      <c r="I63" s="37">
        <f>H63*0.2232</f>
        <v>7.0508880000000005</v>
      </c>
      <c r="J63" s="37">
        <f>H63+I63</f>
        <v>38.640888000000004</v>
      </c>
      <c r="K63" s="37">
        <f>J63*(0.03%)</f>
        <v>1.1592266400000001E-2</v>
      </c>
      <c r="L63" s="37">
        <f>J63-K63</f>
        <v>38.629295733600003</v>
      </c>
      <c r="M63" s="37">
        <f>L63*G63</f>
        <v>6798.756049113601</v>
      </c>
      <c r="N63" s="37">
        <f>M63/M$16</f>
        <v>9.8827122924570687E-2</v>
      </c>
      <c r="O63" s="162"/>
    </row>
    <row r="64" spans="1:16" s="29" customFormat="1" ht="23.25" customHeight="1" x14ac:dyDescent="0.2">
      <c r="A64" s="34" t="s">
        <v>88</v>
      </c>
      <c r="B64" s="34" t="s">
        <v>33</v>
      </c>
      <c r="C64" s="34" t="s">
        <v>62</v>
      </c>
      <c r="D64" s="34" t="s">
        <v>34</v>
      </c>
      <c r="E64" s="35" t="s">
        <v>63</v>
      </c>
      <c r="F64" s="36" t="s">
        <v>35</v>
      </c>
      <c r="G64" s="34">
        <v>176</v>
      </c>
      <c r="H64" s="82">
        <v>27.2</v>
      </c>
      <c r="I64" s="37">
        <f t="shared" ref="I64" si="40">H64*0.2232</f>
        <v>6.07104</v>
      </c>
      <c r="J64" s="37">
        <f t="shared" ref="J64" si="41">H64+I64</f>
        <v>33.271039999999999</v>
      </c>
      <c r="K64" s="37">
        <f t="shared" ref="K64" si="42">J64*(0.03%)</f>
        <v>9.9813119999999991E-3</v>
      </c>
      <c r="L64" s="37">
        <f t="shared" ref="L64" si="43">J64-K64</f>
        <v>33.261058687999999</v>
      </c>
      <c r="M64" s="37">
        <f t="shared" ref="M64" si="44">L64*G64</f>
        <v>5853.9463290879994</v>
      </c>
      <c r="N64" s="37">
        <f>M64/M$16</f>
        <v>8.5093312552969994E-2</v>
      </c>
      <c r="O64" s="162"/>
    </row>
    <row r="65" spans="1:16" s="28" customFormat="1" ht="26.25" customHeight="1" x14ac:dyDescent="0.25">
      <c r="A65" s="11" t="s">
        <v>82</v>
      </c>
      <c r="B65" s="11" t="s">
        <v>33</v>
      </c>
      <c r="C65" s="11">
        <v>88310</v>
      </c>
      <c r="D65" s="11" t="s">
        <v>34</v>
      </c>
      <c r="E65" s="20" t="s">
        <v>90</v>
      </c>
      <c r="F65" s="13" t="s">
        <v>35</v>
      </c>
      <c r="G65" s="34">
        <v>176</v>
      </c>
      <c r="H65" s="73">
        <v>36.42</v>
      </c>
      <c r="I65" s="14">
        <f>H65*0.2232</f>
        <v>8.1289440000000006</v>
      </c>
      <c r="J65" s="14">
        <f>H65+I65</f>
        <v>44.548944000000006</v>
      </c>
      <c r="K65" s="14">
        <f>J65*(0.03%)</f>
        <v>1.3364683200000001E-2</v>
      </c>
      <c r="L65" s="14">
        <f>J65-K65</f>
        <v>44.535579316800003</v>
      </c>
      <c r="M65" s="14">
        <f>L65*G65</f>
        <v>7838.2619597568009</v>
      </c>
      <c r="N65" s="14">
        <f>M65/M$16</f>
        <v>0.11393744276393999</v>
      </c>
      <c r="O65" s="162"/>
    </row>
    <row r="66" spans="1:16" s="29" customFormat="1" ht="23.25" customHeight="1" x14ac:dyDescent="0.2">
      <c r="A66" s="158" t="s">
        <v>150</v>
      </c>
      <c r="B66" s="159"/>
      <c r="C66" s="159"/>
      <c r="D66" s="159"/>
      <c r="E66" s="159"/>
      <c r="F66" s="159"/>
      <c r="G66" s="159"/>
      <c r="H66" s="159"/>
      <c r="I66" s="159"/>
      <c r="J66" s="159"/>
      <c r="K66" s="159"/>
      <c r="L66" s="159"/>
      <c r="M66" s="159"/>
      <c r="N66" s="160"/>
      <c r="O66" s="162"/>
    </row>
    <row r="67" spans="1:16" s="29" customFormat="1" ht="23.25" customHeight="1" x14ac:dyDescent="0.2">
      <c r="A67" s="68" t="s">
        <v>83</v>
      </c>
      <c r="B67" s="34" t="s">
        <v>33</v>
      </c>
      <c r="C67" s="83">
        <v>12631</v>
      </c>
      <c r="D67" s="64" t="s">
        <v>147</v>
      </c>
      <c r="E67" s="66" t="s">
        <v>148</v>
      </c>
      <c r="F67" s="64" t="s">
        <v>84</v>
      </c>
      <c r="G67" s="64">
        <v>12</v>
      </c>
      <c r="H67" s="84">
        <v>26.21</v>
      </c>
      <c r="I67" s="39">
        <f t="shared" ref="I67:I71" si="45">H67*0.2232</f>
        <v>5.8500720000000008</v>
      </c>
      <c r="J67" s="39">
        <f t="shared" ref="J67:J71" si="46">H67+I67</f>
        <v>32.060072000000005</v>
      </c>
      <c r="K67" s="39">
        <f t="shared" ref="K67:K71" si="47">J67*(0.03%)</f>
        <v>9.6180216000000002E-3</v>
      </c>
      <c r="L67" s="39">
        <f t="shared" ref="L67:L71" si="48">J67-K67</f>
        <v>32.050453978400007</v>
      </c>
      <c r="M67" s="39">
        <f t="shared" ref="M67:M71" si="49">L67*G67</f>
        <v>384.60544774080006</v>
      </c>
      <c r="N67" s="37">
        <f t="shared" ref="N67:N71" si="50">M67/M$16</f>
        <v>5.5906476988970858E-3</v>
      </c>
      <c r="O67" s="162"/>
    </row>
    <row r="68" spans="1:16" s="29" customFormat="1" ht="23.25" customHeight="1" x14ac:dyDescent="0.2">
      <c r="A68" s="68" t="s">
        <v>111</v>
      </c>
      <c r="B68" s="34" t="s">
        <v>33</v>
      </c>
      <c r="C68" s="83">
        <v>47016</v>
      </c>
      <c r="D68" s="83" t="s">
        <v>174</v>
      </c>
      <c r="E68" s="85" t="s">
        <v>173</v>
      </c>
      <c r="F68" s="64" t="s">
        <v>84</v>
      </c>
      <c r="G68" s="64">
        <v>12</v>
      </c>
      <c r="H68" s="84">
        <v>42.08</v>
      </c>
      <c r="I68" s="39">
        <f t="shared" ref="I68" si="51">H68*0.2232</f>
        <v>9.3922559999999997</v>
      </c>
      <c r="J68" s="39">
        <f t="shared" ref="J68" si="52">H68+I68</f>
        <v>51.472256000000002</v>
      </c>
      <c r="K68" s="39">
        <f t="shared" ref="K68" si="53">J68*(0.03%)</f>
        <v>1.54416768E-2</v>
      </c>
      <c r="L68" s="39">
        <f t="shared" ref="L68" si="54">J68-K68</f>
        <v>51.4568143232</v>
      </c>
      <c r="M68" s="39">
        <f t="shared" ref="M68" si="55">L68*G68</f>
        <v>617.48177187839997</v>
      </c>
      <c r="N68" s="37">
        <f t="shared" ref="N68" si="56">M68/M$16</f>
        <v>8.9757518187557912E-3</v>
      </c>
      <c r="O68" s="162"/>
    </row>
    <row r="69" spans="1:16" s="29" customFormat="1" ht="23.25" customHeight="1" x14ac:dyDescent="0.2">
      <c r="A69" s="68" t="s">
        <v>112</v>
      </c>
      <c r="B69" s="34" t="s">
        <v>33</v>
      </c>
      <c r="C69" s="64">
        <v>102191</v>
      </c>
      <c r="D69" s="64" t="s">
        <v>34</v>
      </c>
      <c r="E69" s="65" t="s">
        <v>149</v>
      </c>
      <c r="F69" s="64" t="s">
        <v>84</v>
      </c>
      <c r="G69" s="64">
        <v>3</v>
      </c>
      <c r="H69" s="91">
        <v>26.11</v>
      </c>
      <c r="I69" s="39">
        <f t="shared" ref="I69:I70" si="57">H69*0.2232</f>
        <v>5.8277520000000003</v>
      </c>
      <c r="J69" s="39">
        <f t="shared" ref="J69:J70" si="58">H69+I69</f>
        <v>31.937752</v>
      </c>
      <c r="K69" s="39">
        <f t="shared" ref="K69:K70" si="59">J69*(0.03%)</f>
        <v>9.5813255999999992E-3</v>
      </c>
      <c r="L69" s="39">
        <f t="shared" ref="L69:L70" si="60">J69-K69</f>
        <v>31.9281706744</v>
      </c>
      <c r="M69" s="39">
        <f t="shared" ref="M69:M70" si="61">L69*G69</f>
        <v>95.784512023199994</v>
      </c>
      <c r="N69" s="37">
        <f t="shared" ref="N69:N70" si="62">M69/M$16</f>
        <v>1.3923293725505805E-3</v>
      </c>
      <c r="O69" s="162"/>
    </row>
    <row r="70" spans="1:16" s="29" customFormat="1" ht="23.25" customHeight="1" x14ac:dyDescent="0.2">
      <c r="A70" s="68" t="s">
        <v>113</v>
      </c>
      <c r="B70" s="34" t="s">
        <v>33</v>
      </c>
      <c r="C70" s="83">
        <v>102161</v>
      </c>
      <c r="D70" s="64" t="s">
        <v>34</v>
      </c>
      <c r="E70" s="85" t="s">
        <v>175</v>
      </c>
      <c r="F70" s="64" t="s">
        <v>84</v>
      </c>
      <c r="G70" s="64">
        <v>3</v>
      </c>
      <c r="H70" s="84">
        <v>283.79000000000002</v>
      </c>
      <c r="I70" s="39">
        <f t="shared" si="57"/>
        <v>63.34192800000001</v>
      </c>
      <c r="J70" s="39">
        <f t="shared" si="58"/>
        <v>347.13192800000002</v>
      </c>
      <c r="K70" s="39">
        <f t="shared" si="59"/>
        <v>0.1041395784</v>
      </c>
      <c r="L70" s="39">
        <f t="shared" si="60"/>
        <v>347.02778842160001</v>
      </c>
      <c r="M70" s="39">
        <f t="shared" si="61"/>
        <v>1041.0833652648</v>
      </c>
      <c r="N70" s="37">
        <f t="shared" si="62"/>
        <v>1.5133249813716174E-2</v>
      </c>
      <c r="O70" s="162"/>
    </row>
    <row r="71" spans="1:16" s="29" customFormat="1" ht="23.25" customHeight="1" x14ac:dyDescent="0.2">
      <c r="A71" s="68" t="s">
        <v>114</v>
      </c>
      <c r="B71" s="34" t="s">
        <v>33</v>
      </c>
      <c r="C71" s="86" t="s">
        <v>176</v>
      </c>
      <c r="D71" s="86" t="s">
        <v>168</v>
      </c>
      <c r="E71" s="88" t="s">
        <v>177</v>
      </c>
      <c r="F71" s="67" t="s">
        <v>84</v>
      </c>
      <c r="G71" s="67">
        <v>4</v>
      </c>
      <c r="H71" s="87">
        <v>147.05000000000001</v>
      </c>
      <c r="I71" s="39">
        <f t="shared" si="45"/>
        <v>32.821560000000005</v>
      </c>
      <c r="J71" s="39">
        <f t="shared" si="46"/>
        <v>179.87156000000002</v>
      </c>
      <c r="K71" s="39">
        <f t="shared" si="47"/>
        <v>5.3961467999999999E-2</v>
      </c>
      <c r="L71" s="39">
        <f t="shared" si="48"/>
        <v>179.81759853200001</v>
      </c>
      <c r="M71" s="39">
        <f t="shared" si="49"/>
        <v>719.27039412800002</v>
      </c>
      <c r="N71" s="37">
        <f t="shared" si="50"/>
        <v>1.0455357295215774E-2</v>
      </c>
      <c r="O71" s="162"/>
    </row>
    <row r="72" spans="1:16" s="29" customFormat="1" ht="23.25" customHeight="1" x14ac:dyDescent="0.2">
      <c r="A72" s="68" t="s">
        <v>115</v>
      </c>
      <c r="B72" s="34" t="s">
        <v>33</v>
      </c>
      <c r="C72" s="86">
        <v>4066</v>
      </c>
      <c r="D72" s="86" t="s">
        <v>147</v>
      </c>
      <c r="E72" s="89" t="s">
        <v>178</v>
      </c>
      <c r="F72" s="67" t="s">
        <v>151</v>
      </c>
      <c r="G72" s="67">
        <v>2</v>
      </c>
      <c r="H72" s="87">
        <v>313.68</v>
      </c>
      <c r="I72" s="39">
        <f t="shared" ref="I72" si="63">H72*0.2232</f>
        <v>70.013376000000008</v>
      </c>
      <c r="J72" s="39">
        <f t="shared" ref="J72" si="64">H72+I72</f>
        <v>383.693376</v>
      </c>
      <c r="K72" s="39">
        <f t="shared" ref="K72" si="65">J72*(0.03%)</f>
        <v>0.11510801279999999</v>
      </c>
      <c r="L72" s="39">
        <f t="shared" ref="L72" si="66">J72-K72</f>
        <v>383.57826798719998</v>
      </c>
      <c r="M72" s="39">
        <f t="shared" ref="M72" si="67">L72*G72</f>
        <v>767.15653597439996</v>
      </c>
      <c r="N72" s="37">
        <f t="shared" ref="N72" si="68">M72/M$16</f>
        <v>1.1151433105621502E-2</v>
      </c>
      <c r="O72" s="162"/>
    </row>
    <row r="73" spans="1:16" s="29" customFormat="1" ht="33" customHeight="1" x14ac:dyDescent="0.2">
      <c r="A73" s="39" t="s">
        <v>116</v>
      </c>
      <c r="B73" s="34" t="s">
        <v>33</v>
      </c>
      <c r="C73" s="38">
        <v>96116</v>
      </c>
      <c r="D73" s="38" t="s">
        <v>34</v>
      </c>
      <c r="E73" s="49" t="s">
        <v>117</v>
      </c>
      <c r="F73" s="38" t="s">
        <v>84</v>
      </c>
      <c r="G73" s="38">
        <v>25</v>
      </c>
      <c r="H73" s="90">
        <v>66.91</v>
      </c>
      <c r="I73" s="39">
        <f t="shared" ref="I73" si="69">H73*0.2232</f>
        <v>14.934312</v>
      </c>
      <c r="J73" s="39">
        <f t="shared" ref="J73" si="70">H73+I73</f>
        <v>81.844312000000002</v>
      </c>
      <c r="K73" s="39">
        <f t="shared" ref="K73" si="71">J73*(0.03%)</f>
        <v>2.4553293599999998E-2</v>
      </c>
      <c r="L73" s="39">
        <f t="shared" ref="L73" si="72">J73-K73</f>
        <v>81.819758706400009</v>
      </c>
      <c r="M73" s="39">
        <f t="shared" ref="M73" si="73">L73*G73</f>
        <v>2045.4939676600002</v>
      </c>
      <c r="N73" s="37">
        <f t="shared" ref="N73" si="74">M73/M$16</f>
        <v>2.9733422161802428E-2</v>
      </c>
      <c r="O73" s="162"/>
    </row>
    <row r="74" spans="1:16" s="29" customFormat="1" ht="23.25" customHeight="1" x14ac:dyDescent="0.2">
      <c r="A74" s="158" t="s">
        <v>145</v>
      </c>
      <c r="B74" s="159"/>
      <c r="C74" s="159"/>
      <c r="D74" s="159"/>
      <c r="E74" s="159"/>
      <c r="F74" s="159"/>
      <c r="G74" s="159"/>
      <c r="H74" s="159"/>
      <c r="I74" s="159"/>
      <c r="J74" s="159"/>
      <c r="K74" s="159"/>
      <c r="L74" s="159"/>
      <c r="M74" s="159"/>
      <c r="N74" s="160"/>
      <c r="O74" s="162"/>
    </row>
    <row r="75" spans="1:16" s="29" customFormat="1" ht="23.25" customHeight="1" x14ac:dyDescent="0.2">
      <c r="A75" s="39" t="s">
        <v>112</v>
      </c>
      <c r="B75" s="34" t="s">
        <v>33</v>
      </c>
      <c r="C75" s="40">
        <v>102491</v>
      </c>
      <c r="D75" s="40" t="s">
        <v>34</v>
      </c>
      <c r="E75" s="55" t="s">
        <v>146</v>
      </c>
      <c r="F75" s="40" t="s">
        <v>84</v>
      </c>
      <c r="G75" s="40">
        <v>284</v>
      </c>
      <c r="H75" s="93">
        <v>23.28</v>
      </c>
      <c r="I75" s="39">
        <f t="shared" ref="I75" si="75">H75*0.2232</f>
        <v>5.1960960000000007</v>
      </c>
      <c r="J75" s="39">
        <f t="shared" ref="J75" si="76">H75+I75</f>
        <v>28.476096000000002</v>
      </c>
      <c r="K75" s="39">
        <f t="shared" ref="K75" si="77">J75*(0.03%)</f>
        <v>8.5428287999999991E-3</v>
      </c>
      <c r="L75" s="39">
        <f t="shared" ref="L75" si="78">J75-K75</f>
        <v>28.467553171200002</v>
      </c>
      <c r="M75" s="39">
        <f t="shared" ref="M75" si="79">L75*G75</f>
        <v>8084.7851006208002</v>
      </c>
      <c r="N75" s="37">
        <f t="shared" ref="N75" si="80">M75/M$16</f>
        <v>0.11752091782465997</v>
      </c>
      <c r="O75" s="162"/>
    </row>
    <row r="76" spans="1:16" s="29" customFormat="1" ht="23.25" customHeight="1" x14ac:dyDescent="0.2">
      <c r="A76" s="158" t="s">
        <v>170</v>
      </c>
      <c r="B76" s="159"/>
      <c r="C76" s="159"/>
      <c r="D76" s="159"/>
      <c r="E76" s="159"/>
      <c r="F76" s="159"/>
      <c r="G76" s="159"/>
      <c r="H76" s="159"/>
      <c r="I76" s="159"/>
      <c r="J76" s="159"/>
      <c r="K76" s="159"/>
      <c r="L76" s="159"/>
      <c r="M76" s="159"/>
      <c r="N76" s="160"/>
      <c r="O76" s="162"/>
    </row>
    <row r="77" spans="1:16" s="29" customFormat="1" ht="23.25" customHeight="1" x14ac:dyDescent="0.2">
      <c r="A77" s="39" t="s">
        <v>83</v>
      </c>
      <c r="B77" s="34" t="s">
        <v>33</v>
      </c>
      <c r="C77" s="38" t="s">
        <v>167</v>
      </c>
      <c r="D77" s="38" t="s">
        <v>168</v>
      </c>
      <c r="E77" s="49" t="s">
        <v>169</v>
      </c>
      <c r="F77" s="38" t="s">
        <v>84</v>
      </c>
      <c r="G77" s="38">
        <f>298</f>
        <v>298</v>
      </c>
      <c r="H77" s="90">
        <v>93.41</v>
      </c>
      <c r="I77" s="39">
        <f t="shared" ref="I77" si="81">H77*0.2232</f>
        <v>20.849112000000002</v>
      </c>
      <c r="J77" s="39">
        <f t="shared" ref="J77" si="82">H77+I77</f>
        <v>114.259112</v>
      </c>
      <c r="K77" s="39">
        <f t="shared" ref="K77" si="83">J77*(0.03%)</f>
        <v>3.4277733599999999E-2</v>
      </c>
      <c r="L77" s="39">
        <f t="shared" ref="L77" si="84">J77-K77</f>
        <v>114.22483426639999</v>
      </c>
      <c r="M77" s="39">
        <f t="shared" ref="M77" si="85">L77*G77</f>
        <v>34039.0006113872</v>
      </c>
      <c r="N77" s="37">
        <f t="shared" ref="N77" si="86">M77/M$16</f>
        <v>0.49479294055413026</v>
      </c>
      <c r="O77" s="162"/>
      <c r="P77" s="70"/>
    </row>
    <row r="78" spans="1:16" s="29" customFormat="1" ht="23.25" customHeight="1" x14ac:dyDescent="0.2">
      <c r="A78" s="161" t="s">
        <v>162</v>
      </c>
      <c r="B78" s="161"/>
      <c r="C78" s="161"/>
      <c r="D78" s="161"/>
      <c r="E78" s="161"/>
      <c r="F78" s="161"/>
      <c r="G78" s="161"/>
      <c r="H78" s="161"/>
      <c r="I78" s="161"/>
      <c r="J78" s="161"/>
      <c r="K78" s="161"/>
      <c r="L78" s="161"/>
      <c r="M78" s="161"/>
      <c r="N78" s="161"/>
      <c r="O78" s="162"/>
    </row>
    <row r="79" spans="1:16" s="29" customFormat="1" ht="23.25" customHeight="1" x14ac:dyDescent="0.2">
      <c r="A79" s="39" t="s">
        <v>115</v>
      </c>
      <c r="B79" s="34" t="s">
        <v>33</v>
      </c>
      <c r="C79" s="71">
        <v>88239</v>
      </c>
      <c r="D79" s="38" t="s">
        <v>34</v>
      </c>
      <c r="E79" s="52" t="s">
        <v>163</v>
      </c>
      <c r="F79" s="38" t="s">
        <v>164</v>
      </c>
      <c r="G79" s="71">
        <f>27-27</f>
        <v>0</v>
      </c>
      <c r="H79" s="53">
        <v>27.02</v>
      </c>
      <c r="I79" s="39">
        <f t="shared" ref="I79:I81" si="87">H79*0.2232</f>
        <v>6.0308640000000002</v>
      </c>
      <c r="J79" s="39">
        <f t="shared" ref="J79:J81" si="88">H79+I79</f>
        <v>33.050863999999997</v>
      </c>
      <c r="K79" s="39">
        <f t="shared" ref="K79:K81" si="89">J79*(0.03%)</f>
        <v>9.9152591999999984E-3</v>
      </c>
      <c r="L79" s="39">
        <f t="shared" ref="L79:L81" si="90">J79-K79</f>
        <v>33.040948740799998</v>
      </c>
      <c r="M79" s="39">
        <f t="shared" ref="M79:M81" si="91">L79*G79</f>
        <v>0</v>
      </c>
      <c r="N79" s="37">
        <f t="shared" ref="N79:N81" si="92">M79/M$16</f>
        <v>0</v>
      </c>
      <c r="O79" s="162"/>
      <c r="P79" s="70" t="s">
        <v>179</v>
      </c>
    </row>
    <row r="80" spans="1:16" s="29" customFormat="1" ht="23.25" customHeight="1" x14ac:dyDescent="0.2">
      <c r="A80" s="39" t="s">
        <v>116</v>
      </c>
      <c r="B80" s="34" t="s">
        <v>33</v>
      </c>
      <c r="C80" s="71">
        <v>88261</v>
      </c>
      <c r="D80" s="40" t="s">
        <v>34</v>
      </c>
      <c r="E80" s="41" t="s">
        <v>165</v>
      </c>
      <c r="F80" s="40" t="s">
        <v>164</v>
      </c>
      <c r="G80" s="71">
        <f>27-27</f>
        <v>0</v>
      </c>
      <c r="H80" s="56">
        <v>31.26</v>
      </c>
      <c r="I80" s="39">
        <f t="shared" ref="I80" si="93">H80*0.2232</f>
        <v>6.9772320000000008</v>
      </c>
      <c r="J80" s="39">
        <f t="shared" ref="J80" si="94">H80+I80</f>
        <v>38.237232000000006</v>
      </c>
      <c r="K80" s="39">
        <f t="shared" ref="K80" si="95">J80*(0.03%)</f>
        <v>1.1471169600000001E-2</v>
      </c>
      <c r="L80" s="39">
        <f t="shared" ref="L80" si="96">J80-K80</f>
        <v>38.225760830400006</v>
      </c>
      <c r="M80" s="39">
        <f t="shared" ref="M80" si="97">L80*G80</f>
        <v>0</v>
      </c>
      <c r="N80" s="37">
        <f t="shared" ref="N80" si="98">M80/M$16</f>
        <v>0</v>
      </c>
      <c r="O80" s="162"/>
      <c r="P80" s="70" t="s">
        <v>179</v>
      </c>
    </row>
    <row r="81" spans="1:22" s="29" customFormat="1" ht="23.25" customHeight="1" x14ac:dyDescent="0.2">
      <c r="A81" s="39" t="s">
        <v>116</v>
      </c>
      <c r="B81" s="34" t="s">
        <v>33</v>
      </c>
      <c r="C81" s="38">
        <v>91297</v>
      </c>
      <c r="D81" s="54" t="s">
        <v>34</v>
      </c>
      <c r="E81" s="52" t="s">
        <v>166</v>
      </c>
      <c r="F81" s="38" t="s">
        <v>21</v>
      </c>
      <c r="G81" s="38">
        <v>4</v>
      </c>
      <c r="H81" s="92">
        <v>489.3</v>
      </c>
      <c r="I81" s="39">
        <f t="shared" si="87"/>
        <v>109.21176000000001</v>
      </c>
      <c r="J81" s="39">
        <f t="shared" si="88"/>
        <v>598.51175999999998</v>
      </c>
      <c r="K81" s="39">
        <f t="shared" si="89"/>
        <v>0.17955352799999999</v>
      </c>
      <c r="L81" s="39">
        <f t="shared" si="90"/>
        <v>598.33220647199994</v>
      </c>
      <c r="M81" s="39">
        <f t="shared" si="91"/>
        <v>2393.3288258879998</v>
      </c>
      <c r="N81" s="37">
        <f t="shared" si="92"/>
        <v>3.4789570381156598E-2</v>
      </c>
      <c r="O81" s="162"/>
    </row>
    <row r="82" spans="1:22" s="45" customFormat="1" ht="17.100000000000001" customHeight="1" x14ac:dyDescent="0.2">
      <c r="A82" s="42"/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162"/>
    </row>
    <row r="83" spans="1:22" s="45" customFormat="1" ht="17.100000000000001" customHeight="1" x14ac:dyDescent="0.2">
      <c r="A83" s="150"/>
      <c r="B83" s="151"/>
      <c r="C83" s="151"/>
      <c r="D83" s="151"/>
      <c r="E83" s="151"/>
      <c r="F83" s="151"/>
      <c r="G83" s="151"/>
      <c r="H83" s="43" t="s">
        <v>39</v>
      </c>
      <c r="I83" s="44"/>
      <c r="J83" s="152">
        <f>M16+M31+M62</f>
        <v>159810.55330674205</v>
      </c>
      <c r="K83" s="153"/>
      <c r="L83" s="153"/>
      <c r="M83" s="153"/>
      <c r="N83" s="154"/>
      <c r="O83" s="111"/>
    </row>
    <row r="84" spans="1:22" ht="17.100000000000001" customHeight="1" x14ac:dyDescent="0.25">
      <c r="A84" s="125" t="s">
        <v>85</v>
      </c>
      <c r="B84" s="126"/>
      <c r="C84" s="126"/>
      <c r="D84" s="126"/>
      <c r="E84" s="126"/>
      <c r="F84" s="126"/>
      <c r="G84" s="126"/>
      <c r="H84" s="141"/>
      <c r="I84" s="141"/>
      <c r="J84" s="141"/>
      <c r="K84" s="141"/>
      <c r="L84" s="141"/>
      <c r="M84" s="141"/>
      <c r="N84" s="155"/>
      <c r="O84" s="111"/>
    </row>
    <row r="85" spans="1:22" ht="17.100000000000001" customHeight="1" x14ac:dyDescent="0.25">
      <c r="A85" s="142"/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7"/>
      <c r="O85" s="111"/>
    </row>
    <row r="86" spans="1:22" ht="17.100000000000001" customHeight="1" x14ac:dyDescent="0.25">
      <c r="A86" s="142"/>
      <c r="B86" s="126"/>
      <c r="C86" s="126"/>
      <c r="D86" s="126"/>
      <c r="E86" s="126"/>
      <c r="F86" s="126"/>
      <c r="G86" s="126"/>
      <c r="H86" s="126"/>
      <c r="I86" s="126"/>
      <c r="J86" s="126"/>
      <c r="K86" s="126"/>
      <c r="L86" s="126"/>
      <c r="M86" s="126"/>
      <c r="N86" s="127"/>
      <c r="O86" s="111"/>
      <c r="R86" s="192" t="s">
        <v>180</v>
      </c>
      <c r="S86" s="192"/>
      <c r="T86" s="192"/>
      <c r="U86" s="192"/>
      <c r="V86" s="94">
        <v>151082.6689099205</v>
      </c>
    </row>
    <row r="87" spans="1:22" ht="17.100000000000001" customHeight="1" x14ac:dyDescent="0.25">
      <c r="A87" s="142"/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7"/>
      <c r="O87" s="111"/>
      <c r="R87" s="192" t="s">
        <v>182</v>
      </c>
      <c r="S87" s="192"/>
      <c r="T87" s="192"/>
      <c r="U87" s="192"/>
      <c r="V87" s="95">
        <f>J83</f>
        <v>159810.55330674205</v>
      </c>
    </row>
    <row r="88" spans="1:22" ht="17.100000000000001" customHeight="1" x14ac:dyDescent="0.25">
      <c r="A88" s="142"/>
      <c r="B88" s="126"/>
      <c r="C88" s="126"/>
      <c r="D88" s="126"/>
      <c r="E88" s="126"/>
      <c r="F88" s="126"/>
      <c r="G88" s="126"/>
      <c r="H88" s="126"/>
      <c r="I88" s="126"/>
      <c r="J88" s="126"/>
      <c r="K88" s="126"/>
      <c r="L88" s="126"/>
      <c r="M88" s="126"/>
      <c r="N88" s="127"/>
      <c r="O88" s="111"/>
      <c r="R88" s="192" t="s">
        <v>181</v>
      </c>
      <c r="S88" s="192"/>
      <c r="T88" s="192"/>
      <c r="U88" s="192"/>
      <c r="V88" s="96">
        <v>0.9</v>
      </c>
    </row>
    <row r="89" spans="1:22" ht="17.100000000000001" customHeight="1" x14ac:dyDescent="0.25">
      <c r="A89" s="142"/>
      <c r="B89" s="126"/>
      <c r="C89" s="126"/>
      <c r="D89" s="126"/>
      <c r="E89" s="126"/>
      <c r="F89" s="126"/>
      <c r="G89" s="126"/>
      <c r="H89" s="126"/>
      <c r="I89" s="126"/>
      <c r="J89" s="126"/>
      <c r="K89" s="126"/>
      <c r="L89" s="126"/>
      <c r="M89" s="126"/>
      <c r="N89" s="127"/>
      <c r="O89" s="111"/>
      <c r="R89" s="192" t="s">
        <v>183</v>
      </c>
      <c r="S89" s="192"/>
      <c r="T89" s="192"/>
      <c r="U89" s="192"/>
      <c r="V89" s="94">
        <f>V88*V87</f>
        <v>143829.49797606785</v>
      </c>
    </row>
    <row r="90" spans="1:22" ht="17.100000000000001" customHeight="1" x14ac:dyDescent="0.25">
      <c r="A90" s="128"/>
      <c r="B90" s="129"/>
      <c r="C90" s="129"/>
      <c r="D90" s="129"/>
      <c r="E90" s="129"/>
      <c r="F90" s="129"/>
      <c r="G90" s="129"/>
      <c r="H90" s="129"/>
      <c r="I90" s="129"/>
      <c r="J90" s="129"/>
      <c r="K90" s="129"/>
      <c r="L90" s="129"/>
      <c r="M90" s="129"/>
      <c r="N90" s="130"/>
      <c r="O90" s="111"/>
      <c r="R90" s="192" t="s">
        <v>184</v>
      </c>
      <c r="S90" s="192"/>
      <c r="T90" s="192"/>
      <c r="U90" s="192"/>
      <c r="V90" s="97">
        <f>V89+V86</f>
        <v>294912.16688598832</v>
      </c>
    </row>
    <row r="91" spans="1:22" ht="17.100000000000001" customHeight="1" x14ac:dyDescent="0.25">
      <c r="A91" s="99"/>
      <c r="B91" s="100"/>
      <c r="C91" s="100"/>
      <c r="D91" s="100"/>
      <c r="E91" s="100"/>
      <c r="F91" s="100"/>
      <c r="G91" s="100"/>
      <c r="H91" s="100"/>
      <c r="I91" s="100"/>
      <c r="J91" s="100"/>
      <c r="K91" s="100"/>
      <c r="L91" s="100"/>
      <c r="M91" s="100"/>
      <c r="N91" s="100"/>
      <c r="O91" s="101"/>
    </row>
    <row r="92" spans="1:22" ht="17.100000000000001" customHeight="1" x14ac:dyDescent="0.25">
      <c r="A92" s="102" t="s">
        <v>40</v>
      </c>
      <c r="B92" s="103"/>
      <c r="C92" s="103"/>
      <c r="D92" s="103"/>
      <c r="E92" s="103"/>
      <c r="F92" s="103"/>
      <c r="G92" s="104" t="s">
        <v>41</v>
      </c>
      <c r="H92" s="104"/>
      <c r="I92" s="104"/>
      <c r="J92" s="104"/>
      <c r="K92" s="105"/>
      <c r="L92" s="106"/>
      <c r="M92" s="106"/>
      <c r="N92" s="107"/>
      <c r="O92" s="111" t="s">
        <v>42</v>
      </c>
    </row>
    <row r="93" spans="1:22" ht="17.100000000000001" customHeight="1" x14ac:dyDescent="0.25">
      <c r="A93" s="113" t="s">
        <v>43</v>
      </c>
      <c r="B93" s="114"/>
      <c r="C93" s="114"/>
      <c r="D93" s="114"/>
      <c r="E93" s="114"/>
      <c r="F93" s="115"/>
      <c r="G93" s="119" t="s">
        <v>44</v>
      </c>
      <c r="H93" s="114"/>
      <c r="I93" s="114"/>
      <c r="J93" s="115"/>
      <c r="K93" s="108"/>
      <c r="L93" s="109"/>
      <c r="M93" s="109"/>
      <c r="N93" s="110"/>
      <c r="O93" s="111"/>
    </row>
    <row r="94" spans="1:22" ht="17.100000000000001" customHeight="1" x14ac:dyDescent="0.25">
      <c r="A94" s="116"/>
      <c r="B94" s="117"/>
      <c r="C94" s="117"/>
      <c r="D94" s="117"/>
      <c r="E94" s="117"/>
      <c r="F94" s="118"/>
      <c r="G94" s="120"/>
      <c r="H94" s="117"/>
      <c r="I94" s="117"/>
      <c r="J94" s="118"/>
      <c r="K94" s="108"/>
      <c r="L94" s="109"/>
      <c r="M94" s="109"/>
      <c r="N94" s="110"/>
      <c r="O94" s="111"/>
    </row>
    <row r="95" spans="1:22" ht="17.100000000000001" customHeight="1" x14ac:dyDescent="0.25">
      <c r="A95" s="116"/>
      <c r="B95" s="117"/>
      <c r="C95" s="117"/>
      <c r="D95" s="117"/>
      <c r="E95" s="117"/>
      <c r="F95" s="118"/>
      <c r="G95" s="120"/>
      <c r="H95" s="117"/>
      <c r="I95" s="117"/>
      <c r="J95" s="118"/>
      <c r="K95" s="108"/>
      <c r="L95" s="109"/>
      <c r="M95" s="109"/>
      <c r="N95" s="110"/>
      <c r="O95" s="111"/>
    </row>
    <row r="96" spans="1:22" ht="17.100000000000001" customHeight="1" x14ac:dyDescent="0.25">
      <c r="A96" s="116"/>
      <c r="B96" s="117"/>
      <c r="C96" s="117"/>
      <c r="D96" s="117"/>
      <c r="E96" s="117"/>
      <c r="F96" s="118"/>
      <c r="G96" s="120"/>
      <c r="H96" s="117"/>
      <c r="I96" s="117"/>
      <c r="J96" s="118"/>
      <c r="K96" s="108"/>
      <c r="L96" s="109"/>
      <c r="M96" s="109"/>
      <c r="N96" s="110"/>
      <c r="O96" s="111"/>
    </row>
    <row r="97" spans="1:19" ht="17.100000000000001" customHeight="1" x14ac:dyDescent="0.25">
      <c r="A97" s="116"/>
      <c r="B97" s="117"/>
      <c r="C97" s="117"/>
      <c r="D97" s="117"/>
      <c r="E97" s="117"/>
      <c r="F97" s="118"/>
      <c r="G97" s="120"/>
      <c r="H97" s="117"/>
      <c r="I97" s="117"/>
      <c r="J97" s="118"/>
      <c r="K97" s="108"/>
      <c r="L97" s="109"/>
      <c r="M97" s="109"/>
      <c r="N97" s="110"/>
      <c r="O97" s="111"/>
    </row>
    <row r="98" spans="1:19" ht="17.100000000000001" customHeight="1" x14ac:dyDescent="0.25">
      <c r="A98" s="116"/>
      <c r="B98" s="117"/>
      <c r="C98" s="117"/>
      <c r="D98" s="117"/>
      <c r="E98" s="117"/>
      <c r="F98" s="118"/>
      <c r="G98" s="120"/>
      <c r="H98" s="117"/>
      <c r="I98" s="117"/>
      <c r="J98" s="118"/>
      <c r="K98" s="108"/>
      <c r="L98" s="109"/>
      <c r="M98" s="109"/>
      <c r="N98" s="110"/>
      <c r="O98" s="111"/>
    </row>
    <row r="99" spans="1:19" ht="17.100000000000001" customHeight="1" x14ac:dyDescent="0.25">
      <c r="A99" s="116"/>
      <c r="B99" s="117"/>
      <c r="C99" s="117"/>
      <c r="D99" s="117"/>
      <c r="E99" s="117"/>
      <c r="F99" s="118"/>
      <c r="G99" s="120"/>
      <c r="H99" s="117"/>
      <c r="I99" s="117"/>
      <c r="J99" s="118"/>
      <c r="K99" s="108"/>
      <c r="L99" s="109"/>
      <c r="M99" s="109"/>
      <c r="N99" s="110"/>
      <c r="O99" s="111"/>
    </row>
    <row r="100" spans="1:19" ht="17.100000000000001" customHeight="1" thickBot="1" x14ac:dyDescent="0.3">
      <c r="A100" s="116"/>
      <c r="B100" s="117"/>
      <c r="C100" s="117"/>
      <c r="D100" s="117"/>
      <c r="E100" s="117"/>
      <c r="F100" s="118"/>
      <c r="G100" s="120"/>
      <c r="H100" s="117"/>
      <c r="I100" s="117"/>
      <c r="J100" s="118"/>
      <c r="K100" s="108"/>
      <c r="L100" s="109"/>
      <c r="M100" s="109"/>
      <c r="N100" s="110"/>
      <c r="O100" s="112"/>
    </row>
    <row r="101" spans="1:19" ht="17.100000000000001" customHeight="1" thickBot="1" x14ac:dyDescent="0.3">
      <c r="A101" s="122"/>
      <c r="B101" s="123"/>
      <c r="C101" s="123"/>
      <c r="D101" s="123"/>
      <c r="E101" s="123"/>
      <c r="F101" s="123"/>
      <c r="G101" s="123"/>
      <c r="H101" s="123"/>
      <c r="I101" s="123"/>
      <c r="J101" s="123"/>
      <c r="K101" s="123"/>
      <c r="L101" s="123"/>
      <c r="M101" s="123"/>
      <c r="N101" s="123"/>
      <c r="O101" s="124"/>
    </row>
    <row r="102" spans="1:19" ht="17.100000000000001" customHeight="1" x14ac:dyDescent="0.25">
      <c r="A102" s="125" t="s">
        <v>45</v>
      </c>
      <c r="B102" s="126"/>
      <c r="C102" s="126"/>
      <c r="D102" s="127"/>
      <c r="E102" s="131" t="s">
        <v>46</v>
      </c>
      <c r="F102" s="126"/>
      <c r="G102" s="126"/>
      <c r="H102" s="126"/>
      <c r="I102" s="126"/>
      <c r="J102" s="126"/>
      <c r="K102" s="133" t="s">
        <v>47</v>
      </c>
      <c r="L102" s="100"/>
      <c r="M102" s="100"/>
      <c r="N102" s="100"/>
      <c r="O102" s="137" t="s">
        <v>48</v>
      </c>
    </row>
    <row r="103" spans="1:19" ht="17.100000000000001" customHeight="1" x14ac:dyDescent="0.25">
      <c r="A103" s="128"/>
      <c r="B103" s="129"/>
      <c r="C103" s="129"/>
      <c r="D103" s="130"/>
      <c r="E103" s="132"/>
      <c r="F103" s="129"/>
      <c r="G103" s="129"/>
      <c r="H103" s="129"/>
      <c r="I103" s="129"/>
      <c r="J103" s="129"/>
      <c r="K103" s="134"/>
      <c r="L103" s="100"/>
      <c r="M103" s="100"/>
      <c r="N103" s="100"/>
      <c r="O103" s="138"/>
    </row>
    <row r="104" spans="1:19" ht="17.100000000000001" customHeight="1" x14ac:dyDescent="0.25">
      <c r="A104" s="140" t="s">
        <v>49</v>
      </c>
      <c r="B104" s="141"/>
      <c r="C104" s="141"/>
      <c r="D104" s="141"/>
      <c r="E104" s="141"/>
      <c r="F104" s="141"/>
      <c r="G104" s="141"/>
      <c r="H104" s="141"/>
      <c r="I104" s="141"/>
      <c r="J104" s="141"/>
      <c r="K104" s="134"/>
      <c r="L104" s="100"/>
      <c r="M104" s="100"/>
      <c r="N104" s="100"/>
      <c r="O104" s="138"/>
    </row>
    <row r="105" spans="1:19" ht="17.100000000000001" customHeight="1" x14ac:dyDescent="0.25">
      <c r="A105" s="142"/>
      <c r="B105" s="126"/>
      <c r="C105" s="126"/>
      <c r="D105" s="126"/>
      <c r="E105" s="126"/>
      <c r="F105" s="126"/>
      <c r="G105" s="126"/>
      <c r="H105" s="126"/>
      <c r="I105" s="126"/>
      <c r="J105" s="126"/>
      <c r="K105" s="134"/>
      <c r="L105" s="100"/>
      <c r="M105" s="100"/>
      <c r="N105" s="100"/>
      <c r="O105" s="138"/>
    </row>
    <row r="106" spans="1:19" ht="17.100000000000001" customHeight="1" x14ac:dyDescent="0.25">
      <c r="A106" s="142"/>
      <c r="B106" s="126"/>
      <c r="C106" s="126"/>
      <c r="D106" s="126"/>
      <c r="E106" s="126"/>
      <c r="F106" s="126"/>
      <c r="G106" s="126"/>
      <c r="H106" s="126"/>
      <c r="I106" s="126"/>
      <c r="J106" s="126"/>
      <c r="K106" s="134"/>
      <c r="L106" s="100"/>
      <c r="M106" s="100"/>
      <c r="N106" s="100"/>
      <c r="O106" s="138"/>
    </row>
    <row r="107" spans="1:19" ht="17.100000000000001" customHeight="1" x14ac:dyDescent="0.25">
      <c r="A107" s="142"/>
      <c r="B107" s="126"/>
      <c r="C107" s="126"/>
      <c r="D107" s="126"/>
      <c r="E107" s="126"/>
      <c r="F107" s="126"/>
      <c r="G107" s="126"/>
      <c r="H107" s="126"/>
      <c r="I107" s="126"/>
      <c r="J107" s="126"/>
      <c r="K107" s="134"/>
      <c r="L107" s="100"/>
      <c r="M107" s="100"/>
      <c r="N107" s="100"/>
      <c r="O107" s="138"/>
    </row>
    <row r="108" spans="1:19" ht="17.100000000000001" customHeight="1" thickBot="1" x14ac:dyDescent="0.3">
      <c r="A108" s="143"/>
      <c r="B108" s="144"/>
      <c r="C108" s="144"/>
      <c r="D108" s="144"/>
      <c r="E108" s="144"/>
      <c r="F108" s="144"/>
      <c r="G108" s="144"/>
      <c r="H108" s="144"/>
      <c r="I108" s="144"/>
      <c r="J108" s="144"/>
      <c r="K108" s="135"/>
      <c r="L108" s="136"/>
      <c r="M108" s="136"/>
      <c r="N108" s="136"/>
      <c r="O108" s="139"/>
    </row>
    <row r="109" spans="1:19" ht="14.1" customHeight="1" x14ac:dyDescent="0.25">
      <c r="A109" s="121"/>
      <c r="B109" s="121"/>
      <c r="C109" s="121"/>
      <c r="D109" s="121"/>
      <c r="E109" s="121"/>
      <c r="F109" s="121"/>
      <c r="G109" s="121"/>
      <c r="H109" s="121"/>
      <c r="I109" s="121"/>
      <c r="J109" s="121"/>
      <c r="K109" s="121"/>
      <c r="L109" s="121"/>
      <c r="M109" s="121"/>
      <c r="N109" s="121"/>
      <c r="O109" s="121"/>
      <c r="P109" s="121"/>
      <c r="Q109" s="121"/>
      <c r="R109" s="121"/>
      <c r="S109" s="121"/>
    </row>
    <row r="110" spans="1:19" ht="14.1" customHeight="1" x14ac:dyDescent="0.25"/>
    <row r="111" spans="1:19" ht="14.1" customHeight="1" x14ac:dyDescent="0.25"/>
    <row r="112" spans="1:19" ht="14.1" customHeight="1" x14ac:dyDescent="0.25"/>
  </sheetData>
  <sortState xmlns:xlrd2="http://schemas.microsoft.com/office/spreadsheetml/2017/richdata2" ref="A32:N76">
    <sortCondition ref="E32:E76"/>
  </sortState>
  <mergeCells count="81">
    <mergeCell ref="R86:U86"/>
    <mergeCell ref="R87:U87"/>
    <mergeCell ref="R88:U88"/>
    <mergeCell ref="R89:U89"/>
    <mergeCell ref="R90:U90"/>
    <mergeCell ref="A7:I7"/>
    <mergeCell ref="J7:N7"/>
    <mergeCell ref="O7:O13"/>
    <mergeCell ref="A8:I13"/>
    <mergeCell ref="J8:N8"/>
    <mergeCell ref="J9:N9"/>
    <mergeCell ref="J10:N10"/>
    <mergeCell ref="J11:N11"/>
    <mergeCell ref="J12:N12"/>
    <mergeCell ref="J13:N13"/>
    <mergeCell ref="A1:I6"/>
    <mergeCell ref="J1:O1"/>
    <mergeCell ref="J2:O2"/>
    <mergeCell ref="J3:L3"/>
    <mergeCell ref="M3:N3"/>
    <mergeCell ref="J4:L4"/>
    <mergeCell ref="M4:N4"/>
    <mergeCell ref="J5:L5"/>
    <mergeCell ref="M5:N5"/>
    <mergeCell ref="J6:L6"/>
    <mergeCell ref="M6:N6"/>
    <mergeCell ref="A14:A15"/>
    <mergeCell ref="B14:B15"/>
    <mergeCell ref="C14:C15"/>
    <mergeCell ref="D14:D15"/>
    <mergeCell ref="E14:E15"/>
    <mergeCell ref="F14:F15"/>
    <mergeCell ref="G14:G15"/>
    <mergeCell ref="H14:L14"/>
    <mergeCell ref="M14:M15"/>
    <mergeCell ref="N14:N15"/>
    <mergeCell ref="O14:O90"/>
    <mergeCell ref="A29:A30"/>
    <mergeCell ref="B29:B30"/>
    <mergeCell ref="C29:C30"/>
    <mergeCell ref="D29:D30"/>
    <mergeCell ref="E29:E30"/>
    <mergeCell ref="F29:F30"/>
    <mergeCell ref="G29:G30"/>
    <mergeCell ref="H29:L29"/>
    <mergeCell ref="M29:M30"/>
    <mergeCell ref="N29:N30"/>
    <mergeCell ref="B31:F31"/>
    <mergeCell ref="A60:A61"/>
    <mergeCell ref="B60:B61"/>
    <mergeCell ref="C60:C61"/>
    <mergeCell ref="D60:D61"/>
    <mergeCell ref="N60:N61"/>
    <mergeCell ref="B62:F62"/>
    <mergeCell ref="A83:G83"/>
    <mergeCell ref="J83:N83"/>
    <mergeCell ref="A84:N90"/>
    <mergeCell ref="E60:E61"/>
    <mergeCell ref="F60:F61"/>
    <mergeCell ref="G60:G61"/>
    <mergeCell ref="H60:L60"/>
    <mergeCell ref="M60:M61"/>
    <mergeCell ref="A66:N66"/>
    <mergeCell ref="A74:N74"/>
    <mergeCell ref="A78:N78"/>
    <mergeCell ref="A76:N76"/>
    <mergeCell ref="A109:J109"/>
    <mergeCell ref="K109:S109"/>
    <mergeCell ref="A101:O101"/>
    <mergeCell ref="A102:D103"/>
    <mergeCell ref="E102:J103"/>
    <mergeCell ref="K102:N108"/>
    <mergeCell ref="O102:O108"/>
    <mergeCell ref="A104:J108"/>
    <mergeCell ref="A91:O91"/>
    <mergeCell ref="A92:F92"/>
    <mergeCell ref="G92:J92"/>
    <mergeCell ref="K92:N100"/>
    <mergeCell ref="O92:O100"/>
    <mergeCell ref="A93:F100"/>
    <mergeCell ref="G93:J100"/>
  </mergeCells>
  <phoneticPr fontId="13" type="noConversion"/>
  <hyperlinks>
    <hyperlink ref="E35" r:id="rId1" display="VALVULA DE DESCARGA EM METAL CROMADO PARA MICTORIO COM ACIONAMENTO POR PRESSAO E FECHAMENTO AUTOMATICO" xr:uid="{00000000-0004-0000-0000-000000000000}"/>
  </hyperlinks>
  <pageMargins left="0.25" right="0.25" top="0.75" bottom="0.75" header="0.3" footer="0.3"/>
  <pageSetup paperSize="9" scale="53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B24"/>
  <sheetViews>
    <sheetView workbookViewId="0">
      <selection activeCell="B8" sqref="B8"/>
    </sheetView>
  </sheetViews>
  <sheetFormatPr defaultRowHeight="15" x14ac:dyDescent="0.25"/>
  <cols>
    <col min="2" max="2" width="46.28515625" bestFit="1" customWidth="1"/>
  </cols>
  <sheetData>
    <row r="3" spans="2:2" x14ac:dyDescent="0.25">
      <c r="B3" t="s">
        <v>122</v>
      </c>
    </row>
    <row r="4" spans="2:2" x14ac:dyDescent="0.25">
      <c r="B4" t="s">
        <v>123</v>
      </c>
    </row>
    <row r="5" spans="2:2" x14ac:dyDescent="0.25">
      <c r="B5" t="s">
        <v>124</v>
      </c>
    </row>
    <row r="6" spans="2:2" x14ac:dyDescent="0.25">
      <c r="B6" t="s">
        <v>125</v>
      </c>
    </row>
    <row r="7" spans="2:2" x14ac:dyDescent="0.25">
      <c r="B7">
        <v>1</v>
      </c>
    </row>
    <row r="8" spans="2:2" x14ac:dyDescent="0.25">
      <c r="B8" t="s">
        <v>126</v>
      </c>
    </row>
    <row r="9" spans="2:2" x14ac:dyDescent="0.25">
      <c r="B9" s="60">
        <v>20</v>
      </c>
    </row>
    <row r="10" spans="2:2" x14ac:dyDescent="0.25">
      <c r="B10" s="60">
        <v>40</v>
      </c>
    </row>
    <row r="11" spans="2:2" x14ac:dyDescent="0.25">
      <c r="B11">
        <v>7</v>
      </c>
    </row>
    <row r="12" spans="2:2" x14ac:dyDescent="0.25">
      <c r="B12" t="s">
        <v>127</v>
      </c>
    </row>
    <row r="13" spans="2:2" x14ac:dyDescent="0.25">
      <c r="B13" s="60">
        <v>45</v>
      </c>
    </row>
    <row r="14" spans="2:2" x14ac:dyDescent="0.25">
      <c r="B14" s="60">
        <v>315</v>
      </c>
    </row>
    <row r="15" spans="2:2" x14ac:dyDescent="0.25">
      <c r="B15">
        <v>7</v>
      </c>
    </row>
    <row r="16" spans="2:2" x14ac:dyDescent="0.25">
      <c r="B16" t="s">
        <v>128</v>
      </c>
    </row>
    <row r="17" spans="2:2" x14ac:dyDescent="0.25">
      <c r="B17" s="60">
        <v>45</v>
      </c>
    </row>
    <row r="18" spans="2:2" x14ac:dyDescent="0.25">
      <c r="B18" s="60">
        <v>315</v>
      </c>
    </row>
    <row r="19" spans="2:2" x14ac:dyDescent="0.25">
      <c r="B19">
        <v>7</v>
      </c>
    </row>
    <row r="20" spans="2:2" x14ac:dyDescent="0.25">
      <c r="B20" t="s">
        <v>129</v>
      </c>
    </row>
    <row r="21" spans="2:2" x14ac:dyDescent="0.25">
      <c r="B21" s="60">
        <v>690</v>
      </c>
    </row>
    <row r="22" spans="2:2" x14ac:dyDescent="0.25">
      <c r="B22" s="60">
        <v>4830</v>
      </c>
    </row>
    <row r="23" spans="2:2" x14ac:dyDescent="0.25">
      <c r="B23">
        <v>7</v>
      </c>
    </row>
    <row r="24" spans="2:2" x14ac:dyDescent="0.25">
      <c r="B24" t="s">
        <v>130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F8C476279ECFF49B7018EB20C51517F" ma:contentTypeVersion="12" ma:contentTypeDescription="Crie um novo documento." ma:contentTypeScope="" ma:versionID="34a0628b53b29352da2689cb67653714">
  <xsd:schema xmlns:xsd="http://www.w3.org/2001/XMLSchema" xmlns:xs="http://www.w3.org/2001/XMLSchema" xmlns:p="http://schemas.microsoft.com/office/2006/metadata/properties" xmlns:ns1="http://schemas.microsoft.com/sharepoint/v3" xmlns:ns2="0e7c8a86-84e5-4d34-8d3b-2e08d231c207" xmlns:ns3="1d1dcbf2-98b8-40e7-8092-e982a632e348" targetNamespace="http://schemas.microsoft.com/office/2006/metadata/properties" ma:root="true" ma:fieldsID="226731e1c54f699cb1f59e9a6e85886a" ns1:_="" ns2:_="" ns3:_="">
    <xsd:import namespace="http://schemas.microsoft.com/sharepoint/v3"/>
    <xsd:import namespace="0e7c8a86-84e5-4d34-8d3b-2e08d231c207"/>
    <xsd:import namespace="1d1dcbf2-98b8-40e7-8092-e982a632e34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Ação de Interface do Usuário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7c8a86-84e5-4d34-8d3b-2e08d231c2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1691ea95-0c2d-4cc1-8ba1-2cbd03c8072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1dcbf2-98b8-40e7-8092-e982a632e34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c2901c6-92c3-4448-8229-dbefe5f23788}" ma:internalName="TaxCatchAll" ma:showField="CatchAllData" ma:web="1d1dcbf2-98b8-40e7-8092-e982a632e34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e7c8a86-84e5-4d34-8d3b-2e08d231c207">
      <Terms xmlns="http://schemas.microsoft.com/office/infopath/2007/PartnerControls"/>
    </lcf76f155ced4ddcb4097134ff3c332f>
    <TaxCatchAll xmlns="1d1dcbf2-98b8-40e7-8092-e982a632e348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274CEF5D-8F45-4618-8F73-E205CF9C0890}"/>
</file>

<file path=customXml/itemProps2.xml><?xml version="1.0" encoding="utf-8"?>
<ds:datastoreItem xmlns:ds="http://schemas.openxmlformats.org/officeDocument/2006/customXml" ds:itemID="{DE746B1A-C4A9-45A5-8A97-EFF38CFC140D}"/>
</file>

<file path=customXml/itemProps3.xml><?xml version="1.0" encoding="utf-8"?>
<ds:datastoreItem xmlns:ds="http://schemas.openxmlformats.org/officeDocument/2006/customXml" ds:itemID="{B08D627C-9951-4BAE-B302-2F6DAFA6DB8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São Carlos</vt:lpstr>
      <vt:lpstr>Planilha1</vt:lpstr>
      <vt:lpstr>'São Carlos'!Area_de_impressao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Anivaldo Junior</dc:creator>
  <cp:lastModifiedBy>Ivan</cp:lastModifiedBy>
  <cp:lastPrinted>2024-02-19T10:05:37Z</cp:lastPrinted>
  <dcterms:created xsi:type="dcterms:W3CDTF">2022-01-02T19:12:46Z</dcterms:created>
  <dcterms:modified xsi:type="dcterms:W3CDTF">2024-02-19T20:15:15Z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0x0101006F8C476279ECFF49B7018EB20C51517F</vt:lpwstr>
  </property>
</Properties>
</file>