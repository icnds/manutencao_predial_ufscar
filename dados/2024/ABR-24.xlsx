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23-Abril-24\Originais\"/>
    </mc:Choice>
  </mc:AlternateContent>
  <xr:revisionPtr revIDLastSave="0" documentId="13_ncr:1_{C65CC823-1416-438A-9192-E3FC7715F3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  <sheet name="Planilha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3" i="1" l="1"/>
  <c r="J43" i="1" s="1"/>
  <c r="K43" i="1" l="1"/>
  <c r="L43" i="1" s="1"/>
  <c r="M43" i="1" s="1"/>
  <c r="I42" i="1" l="1"/>
  <c r="J42" i="1" s="1"/>
  <c r="K42" i="1" s="1"/>
  <c r="L42" i="1" l="1"/>
  <c r="M42" i="1" s="1"/>
  <c r="I41" i="1" l="1"/>
  <c r="J41" i="1" s="1"/>
  <c r="K41" i="1" l="1"/>
  <c r="L41" i="1" s="1"/>
  <c r="M41" i="1" s="1"/>
  <c r="M40" i="1" s="1"/>
  <c r="M31" i="1" l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42" i="1" l="1"/>
  <c r="N43" i="1"/>
  <c r="N41" i="1"/>
  <c r="N19" i="1"/>
  <c r="N18" i="1"/>
  <c r="N23" i="1"/>
  <c r="N21" i="1"/>
  <c r="N26" i="1"/>
  <c r="N20" i="1"/>
  <c r="N27" i="1"/>
  <c r="N25" i="1"/>
  <c r="N24" i="1"/>
  <c r="N28" i="1"/>
  <c r="N22" i="1"/>
  <c r="N17" i="1"/>
  <c r="J45" i="1"/>
  <c r="N16" i="1" l="1"/>
</calcChain>
</file>

<file path=xl/sharedStrings.xml><?xml version="1.0" encoding="utf-8"?>
<sst xmlns="http://schemas.openxmlformats.org/spreadsheetml/2006/main" count="180" uniqueCount="94">
  <si>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</si>
  <si>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</si>
  <si>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</si>
  <si>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</si>
  <si>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</si>
  <si>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</si>
  <si>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</si>
  <si>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</si>
  <si>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</si>
  <si>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</si>
  <si>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</si>
  <si>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</si>
  <si>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</si>
  <si>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</si>
  <si>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</si>
  <si>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</si>
  <si>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</si>
  <si>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</si>
  <si>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</si>
  <si>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</si>
  <si>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</si>
  <si>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</si>
  <si>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</si>
  <si>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</si>
  <si>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</si>
  <si>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</si>
  <si>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</si>
  <si>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</si>
  <si>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</si>
  <si>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</si>
  <si>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</si>
  <si>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</si>
  <si>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</si>
  <si>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</si>
  <si>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</si>
  <si>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</si>
  <si>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</si>
  <si>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</si>
  <si>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</si>
  <si>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</si>
  <si>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</si>
  <si>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</si>
  <si>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</si>
  <si>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</si>
  <si>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</si>
  <si>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</si>
  <si>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</si>
  <si>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</si>
  <si>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</si>
  <si>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</si>
  <si>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</si>
  <si>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</si>
  <si>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</si>
  <si>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</si>
  <si>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</si>
  <si>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</si>
  <si>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</si>
  <si>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</si>
  <si>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</si>
  <si>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</si>
  <si>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</si>
  <si>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</si>
  <si>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</si>
  <si>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</si>
  <si>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</si>
  <si>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</si>
  <si>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</si>
  <si>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</si>
  <si>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</si>
  <si>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</si>
  <si>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</si>
  <si>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</si>
  <si>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</si>
  <si>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</si>
  <si>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</si>
  <si>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</si>
  <si>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</si>
  <si>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3.1</t>
  </si>
  <si>
    <t>3.3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</si>
  <si>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</si>
  <si>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</si>
  <si>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</si>
  <si>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3.2</t>
  </si>
  <si>
    <t>PINTOR COM ENCARGOS COMPLEMENTARES</t>
  </si>
  <si>
    <t>ITEM 02 – AT. 07</t>
  </si>
  <si>
    <t>QTD</t>
  </si>
  <si>
    <t>DESCRIÇÃO O ITEM</t>
  </si>
  <si>
    <t>R$</t>
  </si>
  <si>
    <t>CHAVE DE STORZ P/ HIDRANTE</t>
  </si>
  <si>
    <t>EXTINTOR DE PÓ BC 4KG (RECARGA)</t>
  </si>
  <si>
    <t>EXTINTOR DE AGUA PRESSURIZADA 10L (RECARGA)</t>
  </si>
  <si>
    <t>MANGUEIRA TIPO 2 – 30m -1.¹/2 (NOVO)</t>
  </si>
  <si>
    <t>ESGUICHO REGULAVEL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</si>
  <si>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ABRIL/2024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</si>
</sst>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theme="4"/>
      <name val="Arial"/>
      <family val="2"/>
    </font>
    <font>
      <b/>
      <sz val="8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4" borderId="1" applyProtection="0"/>
    <xf numFmtId="0" fontId="17" fillId="0" borderId="0" applyBorder="0" applyProtection="0"/>
  </cellStyleXfs>
  <cellXfs count="136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9" fillId="2" borderId="24" xfId="1" applyFont="1" applyBorder="1"/>
    <xf numFmtId="0" fontId="18" fillId="0" borderId="39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5" fillId="0" borderId="0" xfId="0" applyFont="1"/>
    <xf numFmtId="2" fontId="4" fillId="0" borderId="24" xfId="1" applyNumberFormat="1" applyFont="1" applyFill="1" applyBorder="1" applyAlignment="1">
      <alignment horizontal="center" vertical="center"/>
    </xf>
    <xf numFmtId="2" fontId="8" fillId="0" borderId="24" xfId="1" applyNumberFormat="1" applyFont="1" applyFill="1" applyBorder="1" applyAlignment="1">
      <alignment horizontal="center" vertical="center"/>
    </xf>
    <xf numFmtId="8" fontId="0" fillId="0" borderId="0" xfId="0" applyNumberFormat="1"/>
    <xf numFmtId="0" fontId="15" fillId="0" borderId="24" xfId="0" applyFont="1" applyBorder="1"/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5" fillId="2" borderId="9" xfId="1" applyFont="1" applyBorder="1" applyAlignment="1">
      <alignment horizontal="center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" fillId="2" borderId="28" xfId="1" applyFont="1" applyBorder="1" applyAlignment="1">
      <alignment horizontal="center" vertical="center" textRotation="90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0" fillId="0" borderId="11" xfId="0" applyNumberFormat="1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20" fillId="0" borderId="12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3" fillId="0" borderId="7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4" fontId="21" fillId="0" borderId="24" xfId="2" applyNumberFormat="1" applyFont="1" applyBorder="1" applyAlignment="1" applyProtection="1">
      <alignment horizontal="center" vertical="center"/>
    </xf>
    <xf numFmtId="4" fontId="22" fillId="0" borderId="24" xfId="2" applyNumberFormat="1" applyFont="1" applyBorder="1" applyAlignment="1" applyProtection="1">
      <alignment horizontal="center" vertical="center"/>
    </xf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topLeftCell="A16" zoomScale="80" zoomScaleNormal="80" workbookViewId="0">
      <selection activeCell="I17" sqref="I17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</cols>
  <sheetData>
    <row r="1" spans="1:15" ht="17.100000000000001" customHeight="1" x14ac:dyDescent="0.25">
      <c r="A1" s="61" t="s">
        <v>0</v>
      </c>
      <c r="B1" s="62"/>
      <c r="C1" s="62"/>
      <c r="D1" s="62"/>
      <c r="E1" s="62"/>
      <c r="F1" s="62"/>
      <c r="G1" s="62"/>
      <c r="H1" s="62"/>
      <c r="I1" s="63"/>
      <c r="J1" s="70" t="s">
        <v>1</v>
      </c>
      <c r="K1" s="70"/>
      <c r="L1" s="70"/>
      <c r="M1" s="70"/>
      <c r="N1" s="70"/>
      <c r="O1" s="71"/>
    </row>
    <row r="2" spans="1:15" ht="17.100000000000001" customHeight="1" x14ac:dyDescent="0.25">
      <c r="A2" s="64"/>
      <c r="B2" s="65"/>
      <c r="C2" s="65"/>
      <c r="D2" s="65"/>
      <c r="E2" s="65"/>
      <c r="F2" s="65"/>
      <c r="G2" s="65"/>
      <c r="H2" s="65"/>
      <c r="I2" s="66"/>
      <c r="J2" s="72" t="s">
        <v>2</v>
      </c>
      <c r="K2" s="72"/>
      <c r="L2" s="72"/>
      <c r="M2" s="72"/>
      <c r="N2" s="72"/>
      <c r="O2" s="73"/>
    </row>
    <row r="3" spans="1:15" ht="17.100000000000001" customHeight="1" x14ac:dyDescent="0.25">
      <c r="A3" s="64"/>
      <c r="B3" s="65"/>
      <c r="C3" s="65"/>
      <c r="D3" s="65"/>
      <c r="E3" s="65"/>
      <c r="F3" s="65"/>
      <c r="G3" s="65"/>
      <c r="H3" s="65"/>
      <c r="I3" s="66"/>
      <c r="J3" s="72" t="s">
        <v>3</v>
      </c>
      <c r="K3" s="72"/>
      <c r="L3" s="72"/>
      <c r="M3" s="72" t="s">
        <v>4</v>
      </c>
      <c r="N3" s="72"/>
      <c r="O3" s="1"/>
    </row>
    <row r="4" spans="1:15" ht="17.100000000000001" customHeight="1" x14ac:dyDescent="0.25">
      <c r="A4" s="64"/>
      <c r="B4" s="65"/>
      <c r="C4" s="65"/>
      <c r="D4" s="65"/>
      <c r="E4" s="65"/>
      <c r="F4" s="65"/>
      <c r="G4" s="65"/>
      <c r="H4" s="65"/>
      <c r="I4" s="66"/>
      <c r="J4" s="72" t="s">
        <v>5</v>
      </c>
      <c r="K4" s="72"/>
      <c r="L4" s="72"/>
      <c r="M4" s="72" t="s">
        <v>6</v>
      </c>
      <c r="N4" s="72"/>
      <c r="O4" s="2"/>
    </row>
    <row r="5" spans="1:15" ht="17.100000000000001" customHeight="1" x14ac:dyDescent="0.25">
      <c r="A5" s="64"/>
      <c r="B5" s="65"/>
      <c r="C5" s="65"/>
      <c r="D5" s="65"/>
      <c r="E5" s="65"/>
      <c r="F5" s="65"/>
      <c r="G5" s="65"/>
      <c r="H5" s="65"/>
      <c r="I5" s="66"/>
      <c r="J5" s="72" t="s">
        <v>7</v>
      </c>
      <c r="K5" s="72"/>
      <c r="L5" s="72"/>
      <c r="M5" s="72" t="s">
        <v>8</v>
      </c>
      <c r="N5" s="72"/>
      <c r="O5" s="1"/>
    </row>
    <row r="6" spans="1:15" ht="17.100000000000001" customHeight="1" x14ac:dyDescent="0.25">
      <c r="A6" s="67"/>
      <c r="B6" s="68"/>
      <c r="C6" s="68"/>
      <c r="D6" s="68"/>
      <c r="E6" s="68"/>
      <c r="F6" s="68"/>
      <c r="G6" s="68"/>
      <c r="H6" s="68"/>
      <c r="I6" s="69"/>
      <c r="J6" s="72" t="s">
        <v>9</v>
      </c>
      <c r="K6" s="72"/>
      <c r="L6" s="72"/>
      <c r="M6" s="72" t="s">
        <v>10</v>
      </c>
      <c r="N6" s="72"/>
      <c r="O6" s="1"/>
    </row>
    <row r="7" spans="1:15" ht="17.100000000000001" customHeight="1" x14ac:dyDescent="0.25">
      <c r="A7" s="45" t="s">
        <v>11</v>
      </c>
      <c r="B7" s="46"/>
      <c r="C7" s="46"/>
      <c r="D7" s="46"/>
      <c r="E7" s="46"/>
      <c r="F7" s="46"/>
      <c r="G7" s="46"/>
      <c r="H7" s="46"/>
      <c r="I7" s="47"/>
      <c r="J7" s="48" t="s">
        <v>51</v>
      </c>
      <c r="K7" s="49"/>
      <c r="L7" s="49"/>
      <c r="M7" s="49"/>
      <c r="N7" s="50"/>
      <c r="O7" s="51" t="s">
        <v>12</v>
      </c>
    </row>
    <row r="8" spans="1:15" ht="17.100000000000001" customHeight="1" x14ac:dyDescent="0.25">
      <c r="A8" s="52" t="s">
        <v>93</v>
      </c>
      <c r="B8" s="53"/>
      <c r="C8" s="53"/>
      <c r="D8" s="53"/>
      <c r="E8" s="53"/>
      <c r="F8" s="53"/>
      <c r="G8" s="53"/>
      <c r="H8" s="53"/>
      <c r="I8" s="54"/>
      <c r="J8" s="48" t="s">
        <v>13</v>
      </c>
      <c r="K8" s="49"/>
      <c r="L8" s="49"/>
      <c r="M8" s="49"/>
      <c r="N8" s="50"/>
      <c r="O8" s="51"/>
    </row>
    <row r="9" spans="1:15" ht="17.100000000000001" customHeight="1" x14ac:dyDescent="0.25">
      <c r="A9" s="55"/>
      <c r="B9" s="56"/>
      <c r="C9" s="56"/>
      <c r="D9" s="56"/>
      <c r="E9" s="56"/>
      <c r="F9" s="56"/>
      <c r="G9" s="56"/>
      <c r="H9" s="56"/>
      <c r="I9" s="57"/>
      <c r="J9" s="48" t="s">
        <v>14</v>
      </c>
      <c r="K9" s="49"/>
      <c r="L9" s="49"/>
      <c r="M9" s="49"/>
      <c r="N9" s="50"/>
      <c r="O9" s="51"/>
    </row>
    <row r="10" spans="1:15" ht="17.100000000000001" customHeight="1" x14ac:dyDescent="0.25">
      <c r="A10" s="55"/>
      <c r="B10" s="56"/>
      <c r="C10" s="56"/>
      <c r="D10" s="56"/>
      <c r="E10" s="56"/>
      <c r="F10" s="56"/>
      <c r="G10" s="56"/>
      <c r="H10" s="56"/>
      <c r="I10" s="57"/>
      <c r="J10" s="48" t="s">
        <v>15</v>
      </c>
      <c r="K10" s="49"/>
      <c r="L10" s="49"/>
      <c r="M10" s="49"/>
      <c r="N10" s="50"/>
      <c r="O10" s="51"/>
    </row>
    <row r="11" spans="1:15" ht="17.100000000000001" customHeight="1" x14ac:dyDescent="0.25">
      <c r="A11" s="55"/>
      <c r="B11" s="56"/>
      <c r="C11" s="56"/>
      <c r="D11" s="56"/>
      <c r="E11" s="56"/>
      <c r="F11" s="56"/>
      <c r="G11" s="56"/>
      <c r="H11" s="56"/>
      <c r="I11" s="57"/>
      <c r="J11" s="48" t="s">
        <v>50</v>
      </c>
      <c r="K11" s="49"/>
      <c r="L11" s="49"/>
      <c r="M11" s="49"/>
      <c r="N11" s="50"/>
      <c r="O11" s="51"/>
    </row>
    <row r="12" spans="1:15" ht="17.100000000000001" customHeight="1" x14ac:dyDescent="0.25">
      <c r="A12" s="55"/>
      <c r="B12" s="56"/>
      <c r="C12" s="56"/>
      <c r="D12" s="56"/>
      <c r="E12" s="56"/>
      <c r="F12" s="56"/>
      <c r="G12" s="56"/>
      <c r="H12" s="56"/>
      <c r="I12" s="57"/>
      <c r="J12" s="48" t="s">
        <v>81</v>
      </c>
      <c r="K12" s="49"/>
      <c r="L12" s="49"/>
      <c r="M12" s="49"/>
      <c r="N12" s="50"/>
      <c r="O12" s="51"/>
    </row>
    <row r="13" spans="1:15" ht="17.100000000000001" customHeight="1" x14ac:dyDescent="0.25">
      <c r="A13" s="58"/>
      <c r="B13" s="59"/>
      <c r="C13" s="59"/>
      <c r="D13" s="59"/>
      <c r="E13" s="59"/>
      <c r="F13" s="59"/>
      <c r="G13" s="59"/>
      <c r="H13" s="59"/>
      <c r="I13" s="60"/>
      <c r="J13" s="48" t="s">
        <v>80</v>
      </c>
      <c r="K13" s="49"/>
      <c r="L13" s="49"/>
      <c r="M13" s="49"/>
      <c r="N13" s="50"/>
      <c r="O13" s="51"/>
    </row>
    <row r="14" spans="1:15" ht="17.100000000000001" customHeight="1" x14ac:dyDescent="0.25">
      <c r="A14" s="74" t="s">
        <v>16</v>
      </c>
      <c r="B14" s="76" t="s">
        <v>17</v>
      </c>
      <c r="C14" s="76" t="s">
        <v>18</v>
      </c>
      <c r="D14" s="76" t="s">
        <v>19</v>
      </c>
      <c r="E14" s="76" t="s">
        <v>20</v>
      </c>
      <c r="F14" s="76" t="s">
        <v>21</v>
      </c>
      <c r="G14" s="76" t="s">
        <v>22</v>
      </c>
      <c r="H14" s="78" t="s">
        <v>23</v>
      </c>
      <c r="I14" s="78"/>
      <c r="J14" s="78"/>
      <c r="K14" s="78"/>
      <c r="L14" s="79"/>
      <c r="M14" s="76" t="s">
        <v>24</v>
      </c>
      <c r="N14" s="76" t="s">
        <v>25</v>
      </c>
      <c r="O14" s="51" t="s">
        <v>26</v>
      </c>
    </row>
    <row r="15" spans="1:15" ht="17.100000000000001" customHeight="1" x14ac:dyDescent="0.25">
      <c r="A15" s="75"/>
      <c r="B15" s="77"/>
      <c r="C15" s="77"/>
      <c r="D15" s="77"/>
      <c r="E15" s="77"/>
      <c r="F15" s="77"/>
      <c r="G15" s="77"/>
      <c r="H15" s="3" t="s">
        <v>27</v>
      </c>
      <c r="I15" s="4" t="s">
        <v>28</v>
      </c>
      <c r="J15" s="3" t="s">
        <v>29</v>
      </c>
      <c r="K15" s="4" t="s">
        <v>52</v>
      </c>
      <c r="L15" s="3" t="s">
        <v>30</v>
      </c>
      <c r="M15" s="77"/>
      <c r="N15" s="77"/>
      <c r="O15" s="51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60157.882819320002</v>
      </c>
      <c r="N16" s="10">
        <f>SUM(N17:N28)</f>
        <v>1</v>
      </c>
      <c r="O16" s="51"/>
    </row>
    <row r="17" spans="1:15" ht="26.25" customHeight="1" x14ac:dyDescent="0.25">
      <c r="A17" s="17" t="s">
        <v>32</v>
      </c>
      <c r="B17" s="17" t="s">
        <v>33</v>
      </c>
      <c r="C17" s="11" t="s">
        <v>62</v>
      </c>
      <c r="D17" s="11" t="s">
        <v>34</v>
      </c>
      <c r="E17" s="20" t="s">
        <v>63</v>
      </c>
      <c r="F17" s="13" t="s">
        <v>35</v>
      </c>
      <c r="G17" s="17">
        <v>150</v>
      </c>
      <c r="H17" s="134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7054.5238077600006</v>
      </c>
      <c r="N17" s="14">
        <f>M17/M$16</f>
        <v>0.11726682318504741</v>
      </c>
      <c r="O17" s="80"/>
    </row>
    <row r="18" spans="1:15" ht="26.25" customHeight="1" x14ac:dyDescent="0.25">
      <c r="A18" s="17" t="s">
        <v>66</v>
      </c>
      <c r="B18" s="17" t="s">
        <v>33</v>
      </c>
      <c r="C18" s="11" t="s">
        <v>54</v>
      </c>
      <c r="D18" s="11" t="s">
        <v>34</v>
      </c>
      <c r="E18" s="20" t="s">
        <v>55</v>
      </c>
      <c r="F18" s="13" t="s">
        <v>35</v>
      </c>
      <c r="G18" s="17">
        <v>0</v>
      </c>
      <c r="H18" s="134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0</v>
      </c>
      <c r="N18" s="14">
        <f t="shared" ref="N18:N28" si="5">M18/M$16</f>
        <v>0</v>
      </c>
      <c r="O18" s="80"/>
    </row>
    <row r="19" spans="1:15" ht="26.25" customHeight="1" x14ac:dyDescent="0.25">
      <c r="A19" s="17" t="s">
        <v>67</v>
      </c>
      <c r="B19" s="17" t="s">
        <v>33</v>
      </c>
      <c r="C19" s="11" t="s">
        <v>54</v>
      </c>
      <c r="D19" s="11" t="s">
        <v>34</v>
      </c>
      <c r="E19" s="20" t="s">
        <v>55</v>
      </c>
      <c r="F19" s="13" t="s">
        <v>35</v>
      </c>
      <c r="G19" s="17">
        <v>150</v>
      </c>
      <c r="H19" s="134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6098.8797869999999</v>
      </c>
      <c r="N19" s="14">
        <f t="shared" si="5"/>
        <v>0.10138122389242918</v>
      </c>
      <c r="O19" s="80"/>
    </row>
    <row r="20" spans="1:15" ht="26.25" customHeight="1" x14ac:dyDescent="0.25">
      <c r="A20" s="17" t="s">
        <v>68</v>
      </c>
      <c r="B20" s="17" t="s">
        <v>33</v>
      </c>
      <c r="C20" s="11" t="s">
        <v>56</v>
      </c>
      <c r="D20" s="11" t="s">
        <v>34</v>
      </c>
      <c r="E20" s="20" t="s">
        <v>57</v>
      </c>
      <c r="F20" s="13" t="s">
        <v>35</v>
      </c>
      <c r="G20" s="17">
        <v>150</v>
      </c>
      <c r="H20" s="134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5242.2852424799994</v>
      </c>
      <c r="N20" s="14">
        <f t="shared" si="5"/>
        <v>8.7142116657011298E-2</v>
      </c>
      <c r="O20" s="80"/>
    </row>
    <row r="21" spans="1:15" ht="26.25" customHeight="1" x14ac:dyDescent="0.25">
      <c r="A21" s="17" t="s">
        <v>69</v>
      </c>
      <c r="B21" s="17" t="s">
        <v>33</v>
      </c>
      <c r="C21" s="11" t="s">
        <v>56</v>
      </c>
      <c r="D21" s="11" t="s">
        <v>34</v>
      </c>
      <c r="E21" s="20" t="s">
        <v>57</v>
      </c>
      <c r="F21" s="13" t="s">
        <v>35</v>
      </c>
      <c r="G21" s="17">
        <v>150</v>
      </c>
      <c r="H21" s="134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5242.2852424799994</v>
      </c>
      <c r="N21" s="14">
        <f t="shared" si="5"/>
        <v>8.7142116657011298E-2</v>
      </c>
      <c r="O21" s="80"/>
    </row>
    <row r="22" spans="1:15" ht="26.25" customHeight="1" x14ac:dyDescent="0.25">
      <c r="A22" s="17" t="s">
        <v>70</v>
      </c>
      <c r="B22" s="17" t="s">
        <v>33</v>
      </c>
      <c r="C22" s="11" t="s">
        <v>58</v>
      </c>
      <c r="D22" s="11" t="s">
        <v>34</v>
      </c>
      <c r="E22" s="20" t="s">
        <v>59</v>
      </c>
      <c r="F22" s="13" t="s">
        <v>35</v>
      </c>
      <c r="G22" s="17">
        <v>150</v>
      </c>
      <c r="H22" s="134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5794.3943600400007</v>
      </c>
      <c r="N22" s="14">
        <f t="shared" si="5"/>
        <v>9.6319785346220696E-2</v>
      </c>
      <c r="O22" s="80"/>
    </row>
    <row r="23" spans="1:15" ht="26.25" customHeight="1" x14ac:dyDescent="0.25">
      <c r="A23" s="17" t="s">
        <v>71</v>
      </c>
      <c r="B23" s="17" t="s">
        <v>33</v>
      </c>
      <c r="C23" s="11" t="s">
        <v>58</v>
      </c>
      <c r="D23" s="11" t="s">
        <v>34</v>
      </c>
      <c r="E23" s="20" t="s">
        <v>59</v>
      </c>
      <c r="F23" s="13" t="s">
        <v>35</v>
      </c>
      <c r="G23" s="17">
        <v>150</v>
      </c>
      <c r="H23" s="134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5794.3943600400007</v>
      </c>
      <c r="N23" s="14">
        <f t="shared" si="5"/>
        <v>9.6319785346220696E-2</v>
      </c>
      <c r="O23" s="80"/>
    </row>
    <row r="24" spans="1:15" ht="26.25" customHeight="1" x14ac:dyDescent="0.25">
      <c r="A24" s="17" t="s">
        <v>72</v>
      </c>
      <c r="B24" s="17" t="s">
        <v>33</v>
      </c>
      <c r="C24" s="11" t="s">
        <v>60</v>
      </c>
      <c r="D24" s="11" t="s">
        <v>34</v>
      </c>
      <c r="E24" s="20" t="s">
        <v>61</v>
      </c>
      <c r="F24" s="13" t="s">
        <v>35</v>
      </c>
      <c r="G24" s="17">
        <v>150</v>
      </c>
      <c r="H24" s="134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4989.1588032</v>
      </c>
      <c r="N24" s="14">
        <f t="shared" si="5"/>
        <v>8.2934414733054851E-2</v>
      </c>
      <c r="O24" s="80"/>
    </row>
    <row r="25" spans="1:15" ht="26.25" customHeight="1" x14ac:dyDescent="0.25">
      <c r="A25" s="17" t="s">
        <v>73</v>
      </c>
      <c r="B25" s="17" t="s">
        <v>33</v>
      </c>
      <c r="C25" s="11" t="s">
        <v>60</v>
      </c>
      <c r="D25" s="11" t="s">
        <v>34</v>
      </c>
      <c r="E25" s="20" t="s">
        <v>61</v>
      </c>
      <c r="F25" s="13" t="s">
        <v>35</v>
      </c>
      <c r="G25" s="17">
        <v>150</v>
      </c>
      <c r="H25" s="134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4989.1588032</v>
      </c>
      <c r="N25" s="14">
        <f t="shared" si="5"/>
        <v>8.2934414733054851E-2</v>
      </c>
      <c r="O25" s="80"/>
    </row>
    <row r="26" spans="1:15" ht="26.25" customHeight="1" x14ac:dyDescent="0.25">
      <c r="A26" s="17" t="s">
        <v>74</v>
      </c>
      <c r="B26" s="17" t="s">
        <v>33</v>
      </c>
      <c r="C26" s="11" t="s">
        <v>60</v>
      </c>
      <c r="D26" s="11" t="s">
        <v>34</v>
      </c>
      <c r="E26" s="20" t="s">
        <v>61</v>
      </c>
      <c r="F26" s="13" t="s">
        <v>35</v>
      </c>
      <c r="G26" s="17">
        <v>150</v>
      </c>
      <c r="H26" s="134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4989.1588032</v>
      </c>
      <c r="N26" s="14">
        <f t="shared" si="5"/>
        <v>8.2934414733054851E-2</v>
      </c>
      <c r="O26" s="80"/>
    </row>
    <row r="27" spans="1:15" ht="26.25" customHeight="1" x14ac:dyDescent="0.25">
      <c r="A27" s="17" t="s">
        <v>75</v>
      </c>
      <c r="B27" s="17" t="s">
        <v>33</v>
      </c>
      <c r="C27" s="11" t="s">
        <v>64</v>
      </c>
      <c r="D27" s="11" t="s">
        <v>34</v>
      </c>
      <c r="E27" s="12" t="s">
        <v>65</v>
      </c>
      <c r="F27" s="13" t="s">
        <v>35</v>
      </c>
      <c r="G27" s="17">
        <v>150</v>
      </c>
      <c r="H27" s="134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4981.82180496</v>
      </c>
      <c r="N27" s="14">
        <f t="shared" si="5"/>
        <v>8.2812452358447419E-2</v>
      </c>
      <c r="O27" s="80"/>
    </row>
    <row r="28" spans="1:15" ht="26.25" customHeight="1" x14ac:dyDescent="0.25">
      <c r="A28" s="17" t="s">
        <v>76</v>
      </c>
      <c r="B28" s="17" t="s">
        <v>33</v>
      </c>
      <c r="C28" s="11" t="s">
        <v>64</v>
      </c>
      <c r="D28" s="11" t="s">
        <v>34</v>
      </c>
      <c r="E28" s="12" t="s">
        <v>65</v>
      </c>
      <c r="F28" s="13" t="s">
        <v>35</v>
      </c>
      <c r="G28" s="17">
        <v>150</v>
      </c>
      <c r="H28" s="134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4981.82180496</v>
      </c>
      <c r="N28" s="14">
        <f t="shared" si="5"/>
        <v>8.2812452358447419E-2</v>
      </c>
      <c r="O28" s="80"/>
    </row>
    <row r="29" spans="1:15" x14ac:dyDescent="0.25">
      <c r="A29" s="74" t="s">
        <v>16</v>
      </c>
      <c r="B29" s="76" t="s">
        <v>17</v>
      </c>
      <c r="C29" s="76" t="s">
        <v>18</v>
      </c>
      <c r="D29" s="76" t="s">
        <v>19</v>
      </c>
      <c r="E29" s="76" t="s">
        <v>20</v>
      </c>
      <c r="F29" s="76" t="s">
        <v>21</v>
      </c>
      <c r="G29" s="76" t="s">
        <v>22</v>
      </c>
      <c r="H29" s="78" t="s">
        <v>23</v>
      </c>
      <c r="I29" s="78"/>
      <c r="J29" s="78"/>
      <c r="K29" s="78"/>
      <c r="L29" s="79"/>
      <c r="M29" s="76" t="s">
        <v>24</v>
      </c>
      <c r="N29" s="76" t="s">
        <v>25</v>
      </c>
      <c r="O29" s="80"/>
    </row>
    <row r="30" spans="1:15" ht="17.100000000000001" customHeight="1" x14ac:dyDescent="0.25">
      <c r="A30" s="75"/>
      <c r="B30" s="77"/>
      <c r="C30" s="77"/>
      <c r="D30" s="77"/>
      <c r="E30" s="77"/>
      <c r="F30" s="77"/>
      <c r="G30" s="77"/>
      <c r="H30" s="3" t="s">
        <v>27</v>
      </c>
      <c r="I30" s="26" t="s">
        <v>36</v>
      </c>
      <c r="J30" s="3" t="s">
        <v>29</v>
      </c>
      <c r="K30" s="4" t="s">
        <v>52</v>
      </c>
      <c r="L30" s="3" t="s">
        <v>30</v>
      </c>
      <c r="M30" s="77"/>
      <c r="N30" s="77"/>
      <c r="O30" s="51"/>
    </row>
    <row r="31" spans="1:15" ht="17.100000000000001" customHeight="1" x14ac:dyDescent="0.25">
      <c r="A31" s="15">
        <v>2</v>
      </c>
      <c r="B31" s="81" t="s">
        <v>37</v>
      </c>
      <c r="C31" s="81"/>
      <c r="D31" s="82"/>
      <c r="E31" s="82"/>
      <c r="F31" s="82"/>
      <c r="G31" s="16"/>
      <c r="H31" s="16"/>
      <c r="I31" s="16"/>
      <c r="J31" s="16"/>
      <c r="K31" s="16"/>
      <c r="L31" s="16"/>
      <c r="M31" s="22">
        <f>SUM(M32:M37)</f>
        <v>0</v>
      </c>
      <c r="N31" s="16"/>
      <c r="O31" s="80"/>
    </row>
    <row r="32" spans="1:15" x14ac:dyDescent="0.25">
      <c r="A32" s="18"/>
      <c r="B32" s="18"/>
      <c r="C32" s="18"/>
      <c r="D32" s="18"/>
      <c r="E32" s="25"/>
      <c r="F32" s="18"/>
      <c r="G32" s="18"/>
      <c r="H32" s="42"/>
      <c r="I32" s="14"/>
      <c r="J32" s="14"/>
      <c r="K32" s="14"/>
      <c r="L32" s="14"/>
      <c r="M32" s="14"/>
      <c r="N32" s="14"/>
      <c r="O32" s="80"/>
    </row>
    <row r="33" spans="1:15" x14ac:dyDescent="0.25">
      <c r="A33" s="18"/>
      <c r="B33" s="18"/>
      <c r="C33" s="18"/>
      <c r="D33" s="18"/>
      <c r="E33" s="25"/>
      <c r="F33" s="18"/>
      <c r="G33" s="18"/>
      <c r="H33" s="42"/>
      <c r="I33" s="14"/>
      <c r="J33" s="14"/>
      <c r="K33" s="14"/>
      <c r="L33" s="14"/>
      <c r="M33" s="14"/>
      <c r="N33" s="14"/>
      <c r="O33" s="80"/>
    </row>
    <row r="34" spans="1:15" x14ac:dyDescent="0.25">
      <c r="A34" s="18"/>
      <c r="B34" s="18"/>
      <c r="C34" s="18"/>
      <c r="D34" s="18"/>
      <c r="E34" s="25"/>
      <c r="F34" s="18"/>
      <c r="G34" s="18"/>
      <c r="H34" s="42"/>
      <c r="I34" s="14"/>
      <c r="J34" s="14"/>
      <c r="K34" s="14"/>
      <c r="L34" s="14"/>
      <c r="M34" s="14"/>
      <c r="N34" s="14"/>
      <c r="O34" s="80"/>
    </row>
    <row r="35" spans="1:15" x14ac:dyDescent="0.25">
      <c r="A35" s="18"/>
      <c r="B35" s="18"/>
      <c r="C35" s="18"/>
      <c r="D35" s="18"/>
      <c r="E35" s="25"/>
      <c r="F35" s="18"/>
      <c r="G35" s="18"/>
      <c r="H35" s="42"/>
      <c r="I35" s="14"/>
      <c r="J35" s="14"/>
      <c r="K35" s="14"/>
      <c r="L35" s="14"/>
      <c r="M35" s="14"/>
      <c r="N35" s="14"/>
      <c r="O35" s="80"/>
    </row>
    <row r="36" spans="1:15" s="19" customFormat="1" ht="17.100000000000001" customHeight="1" x14ac:dyDescent="0.2">
      <c r="A36" s="18"/>
      <c r="B36" s="18"/>
      <c r="C36" s="18"/>
      <c r="D36" s="18"/>
      <c r="E36" s="44"/>
      <c r="F36" s="18"/>
      <c r="G36" s="18"/>
      <c r="H36" s="41"/>
      <c r="I36" s="14"/>
      <c r="J36" s="14"/>
      <c r="K36" s="14"/>
      <c r="L36" s="14"/>
      <c r="M36" s="14"/>
      <c r="N36" s="14"/>
      <c r="O36" s="80"/>
    </row>
    <row r="37" spans="1:15" s="19" customFormat="1" ht="17.100000000000001" customHeight="1" x14ac:dyDescent="0.2">
      <c r="A37" s="18"/>
      <c r="B37" s="18"/>
      <c r="C37" s="23"/>
      <c r="D37" s="18"/>
      <c r="E37" s="24"/>
      <c r="F37" s="18"/>
      <c r="G37" s="18"/>
      <c r="H37" s="27"/>
      <c r="I37" s="14"/>
      <c r="J37" s="14"/>
      <c r="K37" s="14"/>
      <c r="L37" s="14"/>
      <c r="M37" s="14"/>
      <c r="N37" s="14"/>
      <c r="O37" s="80"/>
    </row>
    <row r="38" spans="1:15" s="28" customFormat="1" ht="17.100000000000001" customHeight="1" x14ac:dyDescent="0.25">
      <c r="A38" s="83" t="s">
        <v>16</v>
      </c>
      <c r="B38" s="85" t="s">
        <v>17</v>
      </c>
      <c r="C38" s="85" t="s">
        <v>18</v>
      </c>
      <c r="D38" s="85" t="s">
        <v>19</v>
      </c>
      <c r="E38" s="85" t="s">
        <v>20</v>
      </c>
      <c r="F38" s="85" t="s">
        <v>21</v>
      </c>
      <c r="G38" s="85" t="s">
        <v>22</v>
      </c>
      <c r="H38" s="96" t="s">
        <v>23</v>
      </c>
      <c r="I38" s="96"/>
      <c r="J38" s="96"/>
      <c r="K38" s="96"/>
      <c r="L38" s="97"/>
      <c r="M38" s="85" t="s">
        <v>24</v>
      </c>
      <c r="N38" s="85" t="s">
        <v>25</v>
      </c>
      <c r="O38" s="51"/>
    </row>
    <row r="39" spans="1:15" s="28" customFormat="1" ht="17.100000000000001" customHeight="1" x14ac:dyDescent="0.25">
      <c r="A39" s="84"/>
      <c r="B39" s="86"/>
      <c r="C39" s="86"/>
      <c r="D39" s="86"/>
      <c r="E39" s="86"/>
      <c r="F39" s="86"/>
      <c r="G39" s="86"/>
      <c r="H39" s="4" t="s">
        <v>27</v>
      </c>
      <c r="I39" s="4" t="s">
        <v>28</v>
      </c>
      <c r="J39" s="4" t="s">
        <v>29</v>
      </c>
      <c r="K39" s="4" t="s">
        <v>53</v>
      </c>
      <c r="L39" s="4" t="s">
        <v>30</v>
      </c>
      <c r="M39" s="86"/>
      <c r="N39" s="86"/>
      <c r="O39" s="51"/>
    </row>
    <row r="40" spans="1:15" s="29" customFormat="1" ht="17.100000000000001" customHeight="1" x14ac:dyDescent="0.2">
      <c r="A40" s="30">
        <v>3</v>
      </c>
      <c r="B40" s="87" t="s">
        <v>38</v>
      </c>
      <c r="C40" s="88"/>
      <c r="D40" s="88"/>
      <c r="E40" s="88"/>
      <c r="F40" s="89"/>
      <c r="G40" s="31"/>
      <c r="H40" s="31"/>
      <c r="I40" s="31"/>
      <c r="J40" s="31"/>
      <c r="K40" s="31"/>
      <c r="L40" s="31"/>
      <c r="M40" s="32">
        <f>SUM(M41:M43)</f>
        <v>12474.731257560001</v>
      </c>
      <c r="N40" s="31"/>
      <c r="O40" s="51"/>
    </row>
    <row r="41" spans="1:15" s="29" customFormat="1" ht="26.25" customHeight="1" x14ac:dyDescent="0.2">
      <c r="A41" s="33" t="s">
        <v>77</v>
      </c>
      <c r="B41" s="33" t="s">
        <v>33</v>
      </c>
      <c r="C41" s="33" t="s">
        <v>58</v>
      </c>
      <c r="D41" s="33" t="s">
        <v>34</v>
      </c>
      <c r="E41" s="34" t="s">
        <v>59</v>
      </c>
      <c r="F41" s="35" t="s">
        <v>35</v>
      </c>
      <c r="G41" s="33">
        <v>150</v>
      </c>
      <c r="H41" s="135">
        <v>31.59</v>
      </c>
      <c r="I41" s="36">
        <f>H41*0.2232</f>
        <v>7.0508880000000005</v>
      </c>
      <c r="J41" s="36">
        <f>H41+I41</f>
        <v>38.640888000000004</v>
      </c>
      <c r="K41" s="36">
        <f>J41*(0.03%)</f>
        <v>1.1592266400000001E-2</v>
      </c>
      <c r="L41" s="36">
        <f>J41-K41</f>
        <v>38.629295733600003</v>
      </c>
      <c r="M41" s="36">
        <f>L41*G41</f>
        <v>5794.3943600400007</v>
      </c>
      <c r="N41" s="36">
        <f>M41/M$16</f>
        <v>9.6319785346220696E-2</v>
      </c>
      <c r="O41" s="80"/>
    </row>
    <row r="42" spans="1:15" s="29" customFormat="1" ht="23.25" customHeight="1" x14ac:dyDescent="0.2">
      <c r="A42" s="33" t="s">
        <v>82</v>
      </c>
      <c r="B42" s="33" t="s">
        <v>33</v>
      </c>
      <c r="C42" s="33" t="s">
        <v>60</v>
      </c>
      <c r="D42" s="33" t="s">
        <v>34</v>
      </c>
      <c r="E42" s="34" t="s">
        <v>61</v>
      </c>
      <c r="F42" s="35" t="s">
        <v>35</v>
      </c>
      <c r="G42" s="33">
        <v>0</v>
      </c>
      <c r="H42" s="135">
        <v>27.2</v>
      </c>
      <c r="I42" s="36">
        <f t="shared" ref="I42" si="6">H42*0.2232</f>
        <v>6.07104</v>
      </c>
      <c r="J42" s="36">
        <f t="shared" ref="J42" si="7">H42+I42</f>
        <v>33.271039999999999</v>
      </c>
      <c r="K42" s="36">
        <f t="shared" ref="K42" si="8">J42*(0.03%)</f>
        <v>9.9813119999999991E-3</v>
      </c>
      <c r="L42" s="36">
        <f t="shared" ref="L42" si="9">J42-K42</f>
        <v>33.261058687999999</v>
      </c>
      <c r="M42" s="36">
        <f t="shared" ref="M42" si="10">L42*G42</f>
        <v>0</v>
      </c>
      <c r="N42" s="36">
        <f>M42/M$16</f>
        <v>0</v>
      </c>
      <c r="O42" s="80"/>
    </row>
    <row r="43" spans="1:15" s="28" customFormat="1" ht="26.25" customHeight="1" x14ac:dyDescent="0.25">
      <c r="A43" s="11" t="s">
        <v>78</v>
      </c>
      <c r="B43" s="11" t="s">
        <v>33</v>
      </c>
      <c r="C43" s="11">
        <v>88310</v>
      </c>
      <c r="D43" s="11" t="s">
        <v>34</v>
      </c>
      <c r="E43" s="20" t="s">
        <v>83</v>
      </c>
      <c r="F43" s="13" t="s">
        <v>35</v>
      </c>
      <c r="G43" s="11">
        <v>150</v>
      </c>
      <c r="H43" s="134">
        <v>36.42</v>
      </c>
      <c r="I43" s="14">
        <f>H43*0.2232</f>
        <v>8.1289440000000006</v>
      </c>
      <c r="J43" s="14">
        <f>H43+I43</f>
        <v>44.548944000000006</v>
      </c>
      <c r="K43" s="14">
        <f>J43*(0.03%)</f>
        <v>1.3364683200000001E-2</v>
      </c>
      <c r="L43" s="14">
        <f>J43-K43</f>
        <v>44.535579316800003</v>
      </c>
      <c r="M43" s="14">
        <f>L43*G43</f>
        <v>6680.3368975200001</v>
      </c>
      <c r="N43" s="14">
        <f>M43/M$16</f>
        <v>0.11104674208006829</v>
      </c>
      <c r="O43" s="80"/>
    </row>
    <row r="44" spans="1:15" s="40" customFormat="1" ht="17.100000000000001" customHeight="1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80"/>
    </row>
    <row r="45" spans="1:15" s="40" customFormat="1" ht="17.100000000000001" customHeight="1" x14ac:dyDescent="0.2">
      <c r="A45" s="90"/>
      <c r="B45" s="91"/>
      <c r="C45" s="91"/>
      <c r="D45" s="91"/>
      <c r="E45" s="91"/>
      <c r="F45" s="91"/>
      <c r="G45" s="91"/>
      <c r="H45" s="38" t="s">
        <v>39</v>
      </c>
      <c r="I45" s="39"/>
      <c r="J45" s="92">
        <f>M16+M31+M40</f>
        <v>72632.614076880011</v>
      </c>
      <c r="K45" s="93"/>
      <c r="L45" s="93"/>
      <c r="M45" s="93"/>
      <c r="N45" s="94"/>
      <c r="O45" s="51"/>
    </row>
    <row r="46" spans="1:15" ht="17.100000000000001" customHeight="1" x14ac:dyDescent="0.25">
      <c r="A46" s="95" t="s">
        <v>79</v>
      </c>
      <c r="B46" s="56"/>
      <c r="C46" s="56"/>
      <c r="D46" s="56"/>
      <c r="E46" s="56"/>
      <c r="F46" s="56"/>
      <c r="G46" s="56"/>
      <c r="H46" s="53"/>
      <c r="I46" s="53"/>
      <c r="J46" s="53"/>
      <c r="K46" s="53"/>
      <c r="L46" s="53"/>
      <c r="M46" s="53"/>
      <c r="N46" s="54"/>
      <c r="O46" s="51"/>
    </row>
    <row r="47" spans="1:15" ht="17.100000000000001" customHeight="1" x14ac:dyDescent="0.25">
      <c r="A47" s="55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7"/>
      <c r="O47" s="51"/>
    </row>
    <row r="48" spans="1:15" ht="17.100000000000001" customHeight="1" x14ac:dyDescent="0.25">
      <c r="A48" s="55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7"/>
      <c r="O48" s="51"/>
    </row>
    <row r="49" spans="1:15" ht="17.100000000000001" customHeight="1" x14ac:dyDescent="0.25">
      <c r="A49" s="55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7"/>
      <c r="O49" s="51"/>
    </row>
    <row r="50" spans="1:15" ht="17.100000000000001" customHeight="1" x14ac:dyDescent="0.25">
      <c r="A50" s="55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7"/>
      <c r="O50" s="51"/>
    </row>
    <row r="51" spans="1:15" ht="17.100000000000001" customHeight="1" x14ac:dyDescent="0.25">
      <c r="A51" s="55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7"/>
      <c r="O51" s="51"/>
    </row>
    <row r="52" spans="1:15" ht="17.100000000000001" customHeight="1" x14ac:dyDescent="0.25">
      <c r="A52" s="58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60"/>
      <c r="O52" s="51"/>
    </row>
    <row r="53" spans="1:15" ht="17.100000000000001" customHeight="1" x14ac:dyDescent="0.25">
      <c r="A53" s="114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15"/>
    </row>
    <row r="54" spans="1:15" ht="17.100000000000001" customHeight="1" x14ac:dyDescent="0.25">
      <c r="A54" s="116" t="s">
        <v>40</v>
      </c>
      <c r="B54" s="117"/>
      <c r="C54" s="117"/>
      <c r="D54" s="117"/>
      <c r="E54" s="117"/>
      <c r="F54" s="117"/>
      <c r="G54" s="118" t="s">
        <v>41</v>
      </c>
      <c r="H54" s="118"/>
      <c r="I54" s="118"/>
      <c r="J54" s="118"/>
      <c r="K54" s="119"/>
      <c r="L54" s="120"/>
      <c r="M54" s="120"/>
      <c r="N54" s="121"/>
      <c r="O54" s="51" t="s">
        <v>42</v>
      </c>
    </row>
    <row r="55" spans="1:15" ht="17.100000000000001" customHeight="1" x14ac:dyDescent="0.25">
      <c r="A55" s="126" t="s">
        <v>43</v>
      </c>
      <c r="B55" s="127"/>
      <c r="C55" s="127"/>
      <c r="D55" s="127"/>
      <c r="E55" s="127"/>
      <c r="F55" s="128"/>
      <c r="G55" s="132" t="s">
        <v>44</v>
      </c>
      <c r="H55" s="127"/>
      <c r="I55" s="127"/>
      <c r="J55" s="128"/>
      <c r="K55" s="122"/>
      <c r="L55" s="123"/>
      <c r="M55" s="123"/>
      <c r="N55" s="124"/>
      <c r="O55" s="51"/>
    </row>
    <row r="56" spans="1:15" ht="17.100000000000001" customHeight="1" x14ac:dyDescent="0.25">
      <c r="A56" s="129"/>
      <c r="B56" s="130"/>
      <c r="C56" s="130"/>
      <c r="D56" s="130"/>
      <c r="E56" s="130"/>
      <c r="F56" s="131"/>
      <c r="G56" s="133"/>
      <c r="H56" s="130"/>
      <c r="I56" s="130"/>
      <c r="J56" s="131"/>
      <c r="K56" s="122"/>
      <c r="L56" s="123"/>
      <c r="M56" s="123"/>
      <c r="N56" s="124"/>
      <c r="O56" s="51"/>
    </row>
    <row r="57" spans="1:15" ht="17.100000000000001" customHeight="1" x14ac:dyDescent="0.25">
      <c r="A57" s="129"/>
      <c r="B57" s="130"/>
      <c r="C57" s="130"/>
      <c r="D57" s="130"/>
      <c r="E57" s="130"/>
      <c r="F57" s="131"/>
      <c r="G57" s="133"/>
      <c r="H57" s="130"/>
      <c r="I57" s="130"/>
      <c r="J57" s="131"/>
      <c r="K57" s="122"/>
      <c r="L57" s="123"/>
      <c r="M57" s="123"/>
      <c r="N57" s="124"/>
      <c r="O57" s="51"/>
    </row>
    <row r="58" spans="1:15" ht="17.100000000000001" customHeight="1" x14ac:dyDescent="0.25">
      <c r="A58" s="129"/>
      <c r="B58" s="130"/>
      <c r="C58" s="130"/>
      <c r="D58" s="130"/>
      <c r="E58" s="130"/>
      <c r="F58" s="131"/>
      <c r="G58" s="133"/>
      <c r="H58" s="130"/>
      <c r="I58" s="130"/>
      <c r="J58" s="131"/>
      <c r="K58" s="122"/>
      <c r="L58" s="123"/>
      <c r="M58" s="123"/>
      <c r="N58" s="124"/>
      <c r="O58" s="51"/>
    </row>
    <row r="59" spans="1:15" ht="17.100000000000001" customHeight="1" x14ac:dyDescent="0.25">
      <c r="A59" s="129"/>
      <c r="B59" s="130"/>
      <c r="C59" s="130"/>
      <c r="D59" s="130"/>
      <c r="E59" s="130"/>
      <c r="F59" s="131"/>
      <c r="G59" s="133"/>
      <c r="H59" s="130"/>
      <c r="I59" s="130"/>
      <c r="J59" s="131"/>
      <c r="K59" s="122"/>
      <c r="L59" s="123"/>
      <c r="M59" s="123"/>
      <c r="N59" s="124"/>
      <c r="O59" s="51"/>
    </row>
    <row r="60" spans="1:15" ht="17.100000000000001" customHeight="1" x14ac:dyDescent="0.25">
      <c r="A60" s="129"/>
      <c r="B60" s="130"/>
      <c r="C60" s="130"/>
      <c r="D60" s="130"/>
      <c r="E60" s="130"/>
      <c r="F60" s="131"/>
      <c r="G60" s="133"/>
      <c r="H60" s="130"/>
      <c r="I60" s="130"/>
      <c r="J60" s="131"/>
      <c r="K60" s="122"/>
      <c r="L60" s="123"/>
      <c r="M60" s="123"/>
      <c r="N60" s="124"/>
      <c r="O60" s="51"/>
    </row>
    <row r="61" spans="1:15" ht="17.100000000000001" customHeight="1" x14ac:dyDescent="0.25">
      <c r="A61" s="129"/>
      <c r="B61" s="130"/>
      <c r="C61" s="130"/>
      <c r="D61" s="130"/>
      <c r="E61" s="130"/>
      <c r="F61" s="131"/>
      <c r="G61" s="133"/>
      <c r="H61" s="130"/>
      <c r="I61" s="130"/>
      <c r="J61" s="131"/>
      <c r="K61" s="122"/>
      <c r="L61" s="123"/>
      <c r="M61" s="123"/>
      <c r="N61" s="124"/>
      <c r="O61" s="51"/>
    </row>
    <row r="62" spans="1:15" ht="17.100000000000001" customHeight="1" thickBot="1" x14ac:dyDescent="0.3">
      <c r="A62" s="129"/>
      <c r="B62" s="130"/>
      <c r="C62" s="130"/>
      <c r="D62" s="130"/>
      <c r="E62" s="130"/>
      <c r="F62" s="131"/>
      <c r="G62" s="133"/>
      <c r="H62" s="130"/>
      <c r="I62" s="130"/>
      <c r="J62" s="131"/>
      <c r="K62" s="122"/>
      <c r="L62" s="123"/>
      <c r="M62" s="123"/>
      <c r="N62" s="124"/>
      <c r="O62" s="125"/>
    </row>
    <row r="63" spans="1:15" ht="17.100000000000001" customHeight="1" thickBot="1" x14ac:dyDescent="0.3">
      <c r="A63" s="99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1"/>
    </row>
    <row r="64" spans="1:15" ht="17.100000000000001" customHeight="1" x14ac:dyDescent="0.25">
      <c r="A64" s="95" t="s">
        <v>45</v>
      </c>
      <c r="B64" s="56"/>
      <c r="C64" s="56"/>
      <c r="D64" s="57"/>
      <c r="E64" s="102" t="s">
        <v>46</v>
      </c>
      <c r="F64" s="56"/>
      <c r="G64" s="56"/>
      <c r="H64" s="56"/>
      <c r="I64" s="56"/>
      <c r="J64" s="56"/>
      <c r="K64" s="104" t="s">
        <v>47</v>
      </c>
      <c r="L64" s="105"/>
      <c r="M64" s="105"/>
      <c r="N64" s="105"/>
      <c r="O64" s="109" t="s">
        <v>48</v>
      </c>
    </row>
    <row r="65" spans="1:19" ht="17.100000000000001" customHeight="1" x14ac:dyDescent="0.25">
      <c r="A65" s="58"/>
      <c r="B65" s="59"/>
      <c r="C65" s="59"/>
      <c r="D65" s="60"/>
      <c r="E65" s="103"/>
      <c r="F65" s="59"/>
      <c r="G65" s="59"/>
      <c r="H65" s="59"/>
      <c r="I65" s="59"/>
      <c r="J65" s="59"/>
      <c r="K65" s="106"/>
      <c r="L65" s="105"/>
      <c r="M65" s="105"/>
      <c r="N65" s="105"/>
      <c r="O65" s="110"/>
    </row>
    <row r="66" spans="1:19" ht="17.100000000000001" customHeight="1" x14ac:dyDescent="0.25">
      <c r="A66" s="52" t="s">
        <v>49</v>
      </c>
      <c r="B66" s="53"/>
      <c r="C66" s="53"/>
      <c r="D66" s="53"/>
      <c r="E66" s="53"/>
      <c r="F66" s="53"/>
      <c r="G66" s="53"/>
      <c r="H66" s="53"/>
      <c r="I66" s="53"/>
      <c r="J66" s="53"/>
      <c r="K66" s="106"/>
      <c r="L66" s="105"/>
      <c r="M66" s="105"/>
      <c r="N66" s="105"/>
      <c r="O66" s="110"/>
    </row>
    <row r="67" spans="1:19" ht="17.100000000000001" customHeight="1" x14ac:dyDescent="0.25">
      <c r="A67" s="55"/>
      <c r="B67" s="56"/>
      <c r="C67" s="56"/>
      <c r="D67" s="56"/>
      <c r="E67" s="56"/>
      <c r="F67" s="56"/>
      <c r="G67" s="56"/>
      <c r="H67" s="56"/>
      <c r="I67" s="56"/>
      <c r="J67" s="56"/>
      <c r="K67" s="106"/>
      <c r="L67" s="105"/>
      <c r="M67" s="105"/>
      <c r="N67" s="105"/>
      <c r="O67" s="110"/>
    </row>
    <row r="68" spans="1:19" ht="17.100000000000001" customHeight="1" x14ac:dyDescent="0.25">
      <c r="A68" s="55"/>
      <c r="B68" s="56"/>
      <c r="C68" s="56"/>
      <c r="D68" s="56"/>
      <c r="E68" s="56"/>
      <c r="F68" s="56"/>
      <c r="G68" s="56"/>
      <c r="H68" s="56"/>
      <c r="I68" s="56"/>
      <c r="J68" s="56"/>
      <c r="K68" s="106"/>
      <c r="L68" s="105"/>
      <c r="M68" s="105"/>
      <c r="N68" s="105"/>
      <c r="O68" s="110"/>
    </row>
    <row r="69" spans="1:19" ht="17.100000000000001" customHeight="1" x14ac:dyDescent="0.25">
      <c r="A69" s="55"/>
      <c r="B69" s="56"/>
      <c r="C69" s="56"/>
      <c r="D69" s="56"/>
      <c r="E69" s="56"/>
      <c r="F69" s="56"/>
      <c r="G69" s="56"/>
      <c r="H69" s="56"/>
      <c r="I69" s="56"/>
      <c r="J69" s="56"/>
      <c r="K69" s="106"/>
      <c r="L69" s="105"/>
      <c r="M69" s="105"/>
      <c r="N69" s="105"/>
      <c r="O69" s="110"/>
    </row>
    <row r="70" spans="1:19" ht="17.100000000000001" customHeight="1" thickBot="1" x14ac:dyDescent="0.3">
      <c r="A70" s="112"/>
      <c r="B70" s="113"/>
      <c r="C70" s="113"/>
      <c r="D70" s="113"/>
      <c r="E70" s="113"/>
      <c r="F70" s="113"/>
      <c r="G70" s="113"/>
      <c r="H70" s="113"/>
      <c r="I70" s="113"/>
      <c r="J70" s="113"/>
      <c r="K70" s="107"/>
      <c r="L70" s="108"/>
      <c r="M70" s="108"/>
      <c r="N70" s="108"/>
      <c r="O70" s="111"/>
    </row>
    <row r="71" spans="1:19" ht="14.1" customHeight="1" x14ac:dyDescent="0.25">
      <c r="A71" s="98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</row>
    <row r="72" spans="1:19" ht="14.1" customHeight="1" x14ac:dyDescent="0.25"/>
    <row r="73" spans="1:19" ht="14.1" customHeight="1" x14ac:dyDescent="0.25"/>
    <row r="74" spans="1:19" ht="14.1" customHeight="1" x14ac:dyDescent="0.25"/>
  </sheetData>
  <sortState xmlns:xlrd2="http://schemas.microsoft.com/office/spreadsheetml/2017/richdata2" ref="A32:N76">
    <sortCondition ref="E32:E76"/>
  </sortState>
  <mergeCells count="72">
    <mergeCell ref="A53:O53"/>
    <mergeCell ref="A54:F54"/>
    <mergeCell ref="G54:J54"/>
    <mergeCell ref="K54:N62"/>
    <mergeCell ref="O54:O62"/>
    <mergeCell ref="A55:F62"/>
    <mergeCell ref="G55:J62"/>
    <mergeCell ref="A71:J71"/>
    <mergeCell ref="K71:S71"/>
    <mergeCell ref="A63:O63"/>
    <mergeCell ref="A64:D65"/>
    <mergeCell ref="E64:J65"/>
    <mergeCell ref="K64:N70"/>
    <mergeCell ref="O64:O70"/>
    <mergeCell ref="A66:J70"/>
    <mergeCell ref="N38:N39"/>
    <mergeCell ref="B40:F40"/>
    <mergeCell ref="A45:G45"/>
    <mergeCell ref="J45:N45"/>
    <mergeCell ref="A46:N52"/>
    <mergeCell ref="E38:E39"/>
    <mergeCell ref="F38:F39"/>
    <mergeCell ref="G38:G39"/>
    <mergeCell ref="H38:L38"/>
    <mergeCell ref="M38:M39"/>
    <mergeCell ref="O14:O52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38:A39"/>
    <mergeCell ref="B38:B39"/>
    <mergeCell ref="C38:C39"/>
    <mergeCell ref="D38:D39"/>
    <mergeCell ref="F14:F15"/>
    <mergeCell ref="G14:G15"/>
    <mergeCell ref="H14:L14"/>
    <mergeCell ref="M14:M15"/>
    <mergeCell ref="N14:N15"/>
    <mergeCell ref="A14:A15"/>
    <mergeCell ref="B14:B15"/>
    <mergeCell ref="C14:C15"/>
    <mergeCell ref="D14:D15"/>
    <mergeCell ref="E14:E15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</mergeCells>
  <phoneticPr fontId="13" type="noConversion"/>
  <pageMargins left="0.25" right="0.25" top="0.75" bottom="0.75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24"/>
  <sheetViews>
    <sheetView workbookViewId="0">
      <selection activeCell="B8" sqref="B8"/>
    </sheetView>
  </sheetViews>
  <sheetFormatPr defaultRowHeight="15" x14ac:dyDescent="0.25"/>
  <cols>
    <col min="2" max="2" width="46.28515625" bestFit="1" customWidth="1"/>
  </cols>
  <sheetData>
    <row r="3" spans="2:2" x14ac:dyDescent="0.25">
      <c r="B3" t="s">
        <v>84</v>
      </c>
    </row>
    <row r="4" spans="2:2" x14ac:dyDescent="0.25">
      <c r="B4" t="s">
        <v>85</v>
      </c>
    </row>
    <row r="5" spans="2:2" x14ac:dyDescent="0.25">
      <c r="B5" t="s">
        <v>86</v>
      </c>
    </row>
    <row r="6" spans="2:2" x14ac:dyDescent="0.25">
      <c r="B6" t="s">
        <v>87</v>
      </c>
    </row>
    <row r="7" spans="2:2" x14ac:dyDescent="0.25">
      <c r="B7">
        <v>1</v>
      </c>
    </row>
    <row r="8" spans="2:2" x14ac:dyDescent="0.25">
      <c r="B8" t="s">
        <v>88</v>
      </c>
    </row>
    <row r="9" spans="2:2" x14ac:dyDescent="0.25">
      <c r="B9" s="43">
        <v>20</v>
      </c>
    </row>
    <row r="10" spans="2:2" x14ac:dyDescent="0.25">
      <c r="B10" s="43">
        <v>40</v>
      </c>
    </row>
    <row r="11" spans="2:2" x14ac:dyDescent="0.25">
      <c r="B11">
        <v>7</v>
      </c>
    </row>
    <row r="12" spans="2:2" x14ac:dyDescent="0.25">
      <c r="B12" t="s">
        <v>89</v>
      </c>
    </row>
    <row r="13" spans="2:2" x14ac:dyDescent="0.25">
      <c r="B13" s="43">
        <v>45</v>
      </c>
    </row>
    <row r="14" spans="2:2" x14ac:dyDescent="0.25">
      <c r="B14" s="43">
        <v>315</v>
      </c>
    </row>
    <row r="15" spans="2:2" x14ac:dyDescent="0.25">
      <c r="B15">
        <v>7</v>
      </c>
    </row>
    <row r="16" spans="2:2" x14ac:dyDescent="0.25">
      <c r="B16" t="s">
        <v>90</v>
      </c>
    </row>
    <row r="17" spans="2:2" x14ac:dyDescent="0.25">
      <c r="B17" s="43">
        <v>45</v>
      </c>
    </row>
    <row r="18" spans="2:2" x14ac:dyDescent="0.25">
      <c r="B18" s="43">
        <v>315</v>
      </c>
    </row>
    <row r="19" spans="2:2" x14ac:dyDescent="0.25">
      <c r="B19">
        <v>7</v>
      </c>
    </row>
    <row r="20" spans="2:2" x14ac:dyDescent="0.25">
      <c r="B20" t="s">
        <v>91</v>
      </c>
    </row>
    <row r="21" spans="2:2" x14ac:dyDescent="0.25">
      <c r="B21" s="43">
        <v>690</v>
      </c>
    </row>
    <row r="22" spans="2:2" x14ac:dyDescent="0.25">
      <c r="B22" s="43">
        <v>4830</v>
      </c>
    </row>
    <row r="23" spans="2:2" x14ac:dyDescent="0.25">
      <c r="B23">
        <v>7</v>
      </c>
    </row>
    <row r="24" spans="2:2" x14ac:dyDescent="0.25">
      <c r="B24" t="s">
        <v>92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7533089-CE91-45AB-92C5-97FB95B9F1A7}"/>
</file>

<file path=customXml/itemProps2.xml><?xml version="1.0" encoding="utf-8"?>
<ds:datastoreItem xmlns:ds="http://schemas.openxmlformats.org/officeDocument/2006/customXml" ds:itemID="{8045F125-227C-4C22-BCC0-E66181DE8202}"/>
</file>

<file path=customXml/itemProps3.xml><?xml version="1.0" encoding="utf-8"?>
<ds:datastoreItem xmlns:ds="http://schemas.openxmlformats.org/officeDocument/2006/customXml" ds:itemID="{23CDD98C-C7D1-43BE-90C3-A42397582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São 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2022-04-24T23:49:58Z</cp:lastPrinted>
  <dcterms:created xsi:type="dcterms:W3CDTF">2022-01-02T19:12:46Z</dcterms:created>
  <dcterms:modified xsi:type="dcterms:W3CDTF">2024-05-16T10:32:45Z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