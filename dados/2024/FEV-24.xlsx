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0-Gi contrato 2022\Medições\21-Fevereiro-24\"/>
    </mc:Choice>
  </mc:AlternateContent>
  <xr:revisionPtr revIDLastSave="0" documentId="13_ncr:1_{A3134DC8-846E-4C88-B535-32CE01058B30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ão Carlos" sheetId="1" r:id="rId1"/>
    <sheet name="Planilha1" sheetId="2" r:id="rId2"/>
  </sheets>
  <definedNames>
    <definedName name="_xlnm.Print_Area" localSheetId="0">'São Carlos'!$A$1:$T$142</definedName>
  </definedNames>
  <calcPr calcId="18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15" i="1" l="1"/>
  <c r="I115" i="1"/>
  <c r="L114" i="1"/>
  <c r="M114" i="1" s="1"/>
  <c r="I114" i="1"/>
  <c r="J114" i="1" s="1"/>
  <c r="K114" i="1" s="1"/>
  <c r="G114" i="1"/>
  <c r="K113" i="1"/>
  <c r="J113" i="1"/>
  <c r="L113" i="1" s="1"/>
  <c r="M113" i="1" s="1"/>
  <c r="I113" i="1"/>
  <c r="I112" i="1"/>
  <c r="J112" i="1" s="1"/>
  <c r="K110" i="1"/>
  <c r="J110" i="1"/>
  <c r="I110" i="1"/>
  <c r="I108" i="1"/>
  <c r="J108" i="1" s="1"/>
  <c r="G108" i="1"/>
  <c r="I107" i="1"/>
  <c r="J107" i="1" s="1"/>
  <c r="K107" i="1" s="1"/>
  <c r="G107" i="1"/>
  <c r="I105" i="1"/>
  <c r="J105" i="1" s="1"/>
  <c r="G105" i="1"/>
  <c r="J104" i="1"/>
  <c r="I104" i="1"/>
  <c r="I103" i="1"/>
  <c r="J103" i="1" s="1"/>
  <c r="G103" i="1"/>
  <c r="I101" i="1"/>
  <c r="J101" i="1" s="1"/>
  <c r="I100" i="1"/>
  <c r="J100" i="1" s="1"/>
  <c r="G100" i="1"/>
  <c r="I99" i="1"/>
  <c r="J99" i="1" s="1"/>
  <c r="G99" i="1"/>
  <c r="I98" i="1"/>
  <c r="J98" i="1" s="1"/>
  <c r="I96" i="1"/>
  <c r="J96" i="1" s="1"/>
  <c r="I94" i="1"/>
  <c r="J94" i="1" s="1"/>
  <c r="I93" i="1"/>
  <c r="J93" i="1" s="1"/>
  <c r="I92" i="1"/>
  <c r="J92" i="1" s="1"/>
  <c r="I91" i="1"/>
  <c r="J91" i="1" s="1"/>
  <c r="I89" i="1"/>
  <c r="J89" i="1" s="1"/>
  <c r="I88" i="1"/>
  <c r="J88" i="1" s="1"/>
  <c r="I87" i="1"/>
  <c r="J87" i="1" s="1"/>
  <c r="I86" i="1"/>
  <c r="J86" i="1" s="1"/>
  <c r="I85" i="1"/>
  <c r="J85" i="1" s="1"/>
  <c r="I84" i="1"/>
  <c r="J84" i="1" s="1"/>
  <c r="I81" i="1"/>
  <c r="J81" i="1" s="1"/>
  <c r="I79" i="1"/>
  <c r="J79" i="1" s="1"/>
  <c r="I78" i="1"/>
  <c r="J78" i="1" s="1"/>
  <c r="I77" i="1"/>
  <c r="J77" i="1" s="1"/>
  <c r="I76" i="1"/>
  <c r="J76" i="1" s="1"/>
  <c r="I75" i="1"/>
  <c r="J75" i="1" s="1"/>
  <c r="I73" i="1"/>
  <c r="J73" i="1" s="1"/>
  <c r="G73" i="1"/>
  <c r="J72" i="1"/>
  <c r="I72" i="1"/>
  <c r="L71" i="1"/>
  <c r="M71" i="1" s="1"/>
  <c r="J71" i="1"/>
  <c r="K71" i="1" s="1"/>
  <c r="I71" i="1"/>
  <c r="J70" i="1"/>
  <c r="I70" i="1"/>
  <c r="I63" i="1"/>
  <c r="J63" i="1" s="1"/>
  <c r="I62" i="1"/>
  <c r="J62" i="1" s="1"/>
  <c r="I61" i="1"/>
  <c r="J61" i="1" s="1"/>
  <c r="K60" i="1"/>
  <c r="I60" i="1"/>
  <c r="J60" i="1" s="1"/>
  <c r="I59" i="1"/>
  <c r="J59" i="1" s="1"/>
  <c r="I58" i="1"/>
  <c r="J58" i="1" s="1"/>
  <c r="I57" i="1"/>
  <c r="J57" i="1" s="1"/>
  <c r="K56" i="1"/>
  <c r="I56" i="1"/>
  <c r="J56" i="1" s="1"/>
  <c r="I55" i="1"/>
  <c r="J55" i="1" s="1"/>
  <c r="I54" i="1"/>
  <c r="J54" i="1" s="1"/>
  <c r="I53" i="1"/>
  <c r="J53" i="1" s="1"/>
  <c r="K52" i="1"/>
  <c r="I52" i="1"/>
  <c r="J52" i="1" s="1"/>
  <c r="I51" i="1"/>
  <c r="J51" i="1" s="1"/>
  <c r="I50" i="1"/>
  <c r="J50" i="1" s="1"/>
  <c r="K49" i="1"/>
  <c r="I49" i="1"/>
  <c r="J49" i="1" s="1"/>
  <c r="I48" i="1"/>
  <c r="J48" i="1" s="1"/>
  <c r="I47" i="1"/>
  <c r="J47" i="1" s="1"/>
  <c r="I46" i="1"/>
  <c r="J46" i="1" s="1"/>
  <c r="K45" i="1"/>
  <c r="I45" i="1"/>
  <c r="J45" i="1" s="1"/>
  <c r="I44" i="1"/>
  <c r="J44" i="1" s="1"/>
  <c r="G44" i="1"/>
  <c r="J43" i="1"/>
  <c r="K43" i="1" s="1"/>
  <c r="I43" i="1"/>
  <c r="L42" i="1"/>
  <c r="M42" i="1" s="1"/>
  <c r="J42" i="1"/>
  <c r="K42" i="1" s="1"/>
  <c r="I42" i="1"/>
  <c r="J41" i="1"/>
  <c r="K41" i="1" s="1"/>
  <c r="I41" i="1"/>
  <c r="J40" i="1"/>
  <c r="K40" i="1" s="1"/>
  <c r="I40" i="1"/>
  <c r="J39" i="1"/>
  <c r="K39" i="1" s="1"/>
  <c r="I39" i="1"/>
  <c r="G39" i="1"/>
  <c r="K38" i="1"/>
  <c r="I38" i="1"/>
  <c r="J38" i="1" s="1"/>
  <c r="K37" i="1"/>
  <c r="L37" i="1" s="1"/>
  <c r="M37" i="1" s="1"/>
  <c r="I37" i="1"/>
  <c r="J37" i="1" s="1"/>
  <c r="J36" i="1"/>
  <c r="K36" i="1" s="1"/>
  <c r="I36" i="1"/>
  <c r="G36" i="1"/>
  <c r="L35" i="1"/>
  <c r="M35" i="1" s="1"/>
  <c r="K35" i="1"/>
  <c r="I35" i="1"/>
  <c r="J35" i="1" s="1"/>
  <c r="I34" i="1"/>
  <c r="J34" i="1" s="1"/>
  <c r="I33" i="1"/>
  <c r="J33" i="1" s="1"/>
  <c r="I32" i="1"/>
  <c r="J32" i="1" s="1"/>
  <c r="J28" i="1"/>
  <c r="K28" i="1" s="1"/>
  <c r="I28" i="1"/>
  <c r="K27" i="1"/>
  <c r="L27" i="1" s="1"/>
  <c r="M27" i="1" s="1"/>
  <c r="J27" i="1"/>
  <c r="I27" i="1"/>
  <c r="I26" i="1"/>
  <c r="J26" i="1" s="1"/>
  <c r="J25" i="1"/>
  <c r="I25" i="1"/>
  <c r="J24" i="1"/>
  <c r="K24" i="1" s="1"/>
  <c r="I24" i="1"/>
  <c r="K23" i="1"/>
  <c r="L23" i="1" s="1"/>
  <c r="M23" i="1" s="1"/>
  <c r="J23" i="1"/>
  <c r="I23" i="1"/>
  <c r="I22" i="1"/>
  <c r="J22" i="1" s="1"/>
  <c r="J21" i="1"/>
  <c r="I21" i="1"/>
  <c r="J20" i="1"/>
  <c r="K20" i="1" s="1"/>
  <c r="I20" i="1"/>
  <c r="K19" i="1"/>
  <c r="L19" i="1" s="1"/>
  <c r="M19" i="1" s="1"/>
  <c r="J19" i="1"/>
  <c r="I19" i="1"/>
  <c r="I18" i="1"/>
  <c r="J18" i="1" s="1"/>
  <c r="J17" i="1"/>
  <c r="I17" i="1"/>
  <c r="K26" i="1" l="1"/>
  <c r="L26" i="1"/>
  <c r="M26" i="1" s="1"/>
  <c r="L34" i="1"/>
  <c r="M34" i="1" s="1"/>
  <c r="K34" i="1"/>
  <c r="K18" i="1"/>
  <c r="L18" i="1"/>
  <c r="M18" i="1" s="1"/>
  <c r="K22" i="1"/>
  <c r="L22" i="1" s="1"/>
  <c r="M22" i="1" s="1"/>
  <c r="K32" i="1"/>
  <c r="L32" i="1" s="1"/>
  <c r="M32" i="1" s="1"/>
  <c r="L47" i="1"/>
  <c r="M47" i="1" s="1"/>
  <c r="K47" i="1"/>
  <c r="K70" i="1"/>
  <c r="L70" i="1"/>
  <c r="M70" i="1" s="1"/>
  <c r="L20" i="1"/>
  <c r="M20" i="1" s="1"/>
  <c r="L24" i="1"/>
  <c r="M24" i="1" s="1"/>
  <c r="L28" i="1"/>
  <c r="M28" i="1" s="1"/>
  <c r="L36" i="1"/>
  <c r="M36" i="1" s="1"/>
  <c r="N36" i="1" s="1"/>
  <c r="L41" i="1"/>
  <c r="M41" i="1" s="1"/>
  <c r="N41" i="1" s="1"/>
  <c r="K51" i="1"/>
  <c r="L51" i="1" s="1"/>
  <c r="M51" i="1" s="1"/>
  <c r="L59" i="1"/>
  <c r="M59" i="1" s="1"/>
  <c r="K59" i="1"/>
  <c r="K17" i="1"/>
  <c r="L17" i="1" s="1"/>
  <c r="M17" i="1" s="1"/>
  <c r="K21" i="1"/>
  <c r="L21" i="1" s="1"/>
  <c r="M21" i="1" s="1"/>
  <c r="K25" i="1"/>
  <c r="L25" i="1" s="1"/>
  <c r="M25" i="1" s="1"/>
  <c r="K33" i="1"/>
  <c r="L33" i="1" s="1"/>
  <c r="M33" i="1" s="1"/>
  <c r="N33" i="1" s="1"/>
  <c r="L39" i="1"/>
  <c r="M39" i="1" s="1"/>
  <c r="L40" i="1"/>
  <c r="M40" i="1" s="1"/>
  <c r="N40" i="1" s="1"/>
  <c r="K44" i="1"/>
  <c r="L44" i="1" s="1"/>
  <c r="M44" i="1" s="1"/>
  <c r="N44" i="1" s="1"/>
  <c r="K48" i="1"/>
  <c r="L48" i="1" s="1"/>
  <c r="M48" i="1" s="1"/>
  <c r="N48" i="1" s="1"/>
  <c r="K55" i="1"/>
  <c r="L55" i="1" s="1"/>
  <c r="M55" i="1" s="1"/>
  <c r="N55" i="1" s="1"/>
  <c r="L63" i="1"/>
  <c r="M63" i="1" s="1"/>
  <c r="K63" i="1"/>
  <c r="K103" i="1"/>
  <c r="L103" i="1"/>
  <c r="M103" i="1" s="1"/>
  <c r="K99" i="1"/>
  <c r="L99" i="1" s="1"/>
  <c r="M99" i="1" s="1"/>
  <c r="L43" i="1"/>
  <c r="M43" i="1" s="1"/>
  <c r="N43" i="1" s="1"/>
  <c r="L108" i="1"/>
  <c r="M108" i="1" s="1"/>
  <c r="K108" i="1"/>
  <c r="L54" i="1"/>
  <c r="M54" i="1" s="1"/>
  <c r="L76" i="1"/>
  <c r="M76" i="1" s="1"/>
  <c r="L87" i="1"/>
  <c r="M87" i="1" s="1"/>
  <c r="L98" i="1"/>
  <c r="M98" i="1" s="1"/>
  <c r="K112" i="1"/>
  <c r="L112" i="1" s="1"/>
  <c r="M112" i="1" s="1"/>
  <c r="L38" i="1"/>
  <c r="M38" i="1" s="1"/>
  <c r="N38" i="1" s="1"/>
  <c r="L45" i="1"/>
  <c r="M45" i="1" s="1"/>
  <c r="K46" i="1"/>
  <c r="L46" i="1" s="1"/>
  <c r="M46" i="1" s="1"/>
  <c r="N46" i="1" s="1"/>
  <c r="L49" i="1"/>
  <c r="M49" i="1" s="1"/>
  <c r="K50" i="1"/>
  <c r="L50" i="1" s="1"/>
  <c r="M50" i="1" s="1"/>
  <c r="N50" i="1" s="1"/>
  <c r="K54" i="1"/>
  <c r="K58" i="1"/>
  <c r="L58" i="1" s="1"/>
  <c r="M58" i="1" s="1"/>
  <c r="K62" i="1"/>
  <c r="L62" i="1" s="1"/>
  <c r="M62" i="1" s="1"/>
  <c r="K72" i="1"/>
  <c r="L72" i="1"/>
  <c r="M72" i="1" s="1"/>
  <c r="K73" i="1"/>
  <c r="L73" i="1" s="1"/>
  <c r="M73" i="1" s="1"/>
  <c r="N73" i="1" s="1"/>
  <c r="K76" i="1"/>
  <c r="K78" i="1"/>
  <c r="L78" i="1" s="1"/>
  <c r="M78" i="1" s="1"/>
  <c r="K81" i="1"/>
  <c r="L81" i="1" s="1"/>
  <c r="M81" i="1" s="1"/>
  <c r="K85" i="1"/>
  <c r="L85" i="1" s="1"/>
  <c r="M85" i="1" s="1"/>
  <c r="K87" i="1"/>
  <c r="K89" i="1"/>
  <c r="L89" i="1" s="1"/>
  <c r="M89" i="1" s="1"/>
  <c r="K92" i="1"/>
  <c r="L92" i="1" s="1"/>
  <c r="M92" i="1" s="1"/>
  <c r="K94" i="1"/>
  <c r="L94" i="1" s="1"/>
  <c r="M94" i="1" s="1"/>
  <c r="K98" i="1"/>
  <c r="K101" i="1"/>
  <c r="L101" i="1" s="1"/>
  <c r="M101" i="1" s="1"/>
  <c r="L107" i="1"/>
  <c r="M107" i="1" s="1"/>
  <c r="K115" i="1"/>
  <c r="L115" i="1"/>
  <c r="M115" i="1" s="1"/>
  <c r="L52" i="1"/>
  <c r="M52" i="1" s="1"/>
  <c r="K53" i="1"/>
  <c r="L53" i="1" s="1"/>
  <c r="M53" i="1" s="1"/>
  <c r="N53" i="1" s="1"/>
  <c r="L56" i="1"/>
  <c r="M56" i="1" s="1"/>
  <c r="K57" i="1"/>
  <c r="L57" i="1" s="1"/>
  <c r="M57" i="1" s="1"/>
  <c r="N57" i="1" s="1"/>
  <c r="L60" i="1"/>
  <c r="M60" i="1" s="1"/>
  <c r="N60" i="1" s="1"/>
  <c r="K61" i="1"/>
  <c r="L61" i="1" s="1"/>
  <c r="M61" i="1" s="1"/>
  <c r="N61" i="1" s="1"/>
  <c r="K75" i="1"/>
  <c r="L75" i="1" s="1"/>
  <c r="M75" i="1" s="1"/>
  <c r="L77" i="1"/>
  <c r="M77" i="1" s="1"/>
  <c r="K77" i="1"/>
  <c r="K79" i="1"/>
  <c r="L79" i="1" s="1"/>
  <c r="M79" i="1" s="1"/>
  <c r="L84" i="1"/>
  <c r="M84" i="1" s="1"/>
  <c r="K84" i="1"/>
  <c r="K86" i="1"/>
  <c r="L86" i="1" s="1"/>
  <c r="M86" i="1" s="1"/>
  <c r="L88" i="1"/>
  <c r="M88" i="1" s="1"/>
  <c r="K88" i="1"/>
  <c r="K91" i="1"/>
  <c r="L91" i="1" s="1"/>
  <c r="M91" i="1" s="1"/>
  <c r="L93" i="1"/>
  <c r="M93" i="1" s="1"/>
  <c r="K93" i="1"/>
  <c r="K96" i="1"/>
  <c r="L96" i="1" s="1"/>
  <c r="M96" i="1" s="1"/>
  <c r="L100" i="1"/>
  <c r="M100" i="1" s="1"/>
  <c r="K100" i="1"/>
  <c r="K104" i="1"/>
  <c r="L104" i="1"/>
  <c r="M104" i="1" s="1"/>
  <c r="K105" i="1"/>
  <c r="L105" i="1" s="1"/>
  <c r="M105" i="1" s="1"/>
  <c r="L110" i="1"/>
  <c r="M110" i="1" s="1"/>
  <c r="M31" i="1" l="1"/>
  <c r="N32" i="1"/>
  <c r="N62" i="1"/>
  <c r="N51" i="1"/>
  <c r="N58" i="1"/>
  <c r="M16" i="1"/>
  <c r="N52" i="1"/>
  <c r="N59" i="1"/>
  <c r="N34" i="1"/>
  <c r="N49" i="1"/>
  <c r="M69" i="1"/>
  <c r="N37" i="1"/>
  <c r="N87" i="1"/>
  <c r="N54" i="1"/>
  <c r="N63" i="1"/>
  <c r="N47" i="1"/>
  <c r="N115" i="1"/>
  <c r="N56" i="1"/>
  <c r="N39" i="1"/>
  <c r="N93" i="1"/>
  <c r="N107" i="1"/>
  <c r="N45" i="1"/>
  <c r="N42" i="1"/>
  <c r="N35" i="1"/>
  <c r="J117" i="1" l="1"/>
  <c r="N19" i="1"/>
  <c r="N27" i="1"/>
  <c r="N23" i="1"/>
  <c r="N113" i="1"/>
  <c r="N71" i="1"/>
  <c r="N114" i="1"/>
  <c r="N79" i="1"/>
  <c r="N24" i="1"/>
  <c r="N110" i="1"/>
  <c r="N28" i="1"/>
  <c r="N72" i="1"/>
  <c r="N26" i="1"/>
  <c r="N103" i="1"/>
  <c r="N20" i="1"/>
  <c r="N96" i="1"/>
  <c r="N21" i="1"/>
  <c r="N91" i="1"/>
  <c r="N22" i="1"/>
  <c r="N98" i="1"/>
  <c r="N75" i="1"/>
  <c r="N89" i="1"/>
  <c r="N76" i="1"/>
  <c r="N88" i="1"/>
  <c r="N18" i="1"/>
  <c r="N84" i="1"/>
  <c r="N85" i="1"/>
  <c r="N86" i="1"/>
  <c r="N99" i="1"/>
  <c r="N105" i="1"/>
  <c r="N25" i="1"/>
  <c r="N77" i="1"/>
  <c r="N100" i="1"/>
  <c r="N70" i="1"/>
  <c r="N104" i="1"/>
  <c r="N108" i="1"/>
  <c r="N17" i="1"/>
  <c r="N94" i="1"/>
  <c r="N92" i="1"/>
  <c r="N112" i="1"/>
  <c r="N101" i="1"/>
  <c r="N78" i="1"/>
  <c r="N81" i="1"/>
  <c r="N16" i="1" l="1"/>
</calcChain>
</file>

<file path=xl/sharedStrings.xml><?xml version="1.0" encoding="utf-8"?>
<sst xmlns="http://schemas.openxmlformats.org/spreadsheetml/2006/main" count="523" uniqueCount="249">
  <si>
    <t>LOGO</t>
  </si>
  <si>
    <t>Ordem de Serviço</t>
  </si>
  <si>
    <t>Prioridade:</t>
  </si>
  <si>
    <t>URGENTE</t>
  </si>
  <si>
    <t xml:space="preserve">24 horas </t>
  </si>
  <si>
    <t>ALTA</t>
  </si>
  <si>
    <t>3 dias</t>
  </si>
  <si>
    <t>MÉDIA</t>
  </si>
  <si>
    <t>7 dias</t>
  </si>
  <si>
    <t>BAIXA</t>
  </si>
  <si>
    <t xml:space="preserve">15 dias </t>
  </si>
  <si>
    <r>
      <rPr>
        <b/>
        <sz val="8"/>
        <color rgb="FF000000"/>
        <rFont val="Arial"/>
        <family val="2"/>
        <charset val="1"/>
      </rPr>
      <t xml:space="preserve">UNIDADE: </t>
    </r>
    <r>
      <rPr>
        <sz val="8"/>
        <color rgb="FFFF0000"/>
        <rFont val="Arial"/>
        <family val="2"/>
        <charset val="1"/>
      </rPr>
      <t>UFSCar Campus São Carlos</t>
    </r>
  </si>
  <si>
    <r>
      <rPr>
        <sz val="8"/>
        <color rgb="FF000000"/>
        <rFont val="Arial"/>
        <family val="2"/>
        <charset val="1"/>
      </rPr>
      <t xml:space="preserve">CONTRATO: </t>
    </r>
    <r>
      <rPr>
        <sz val="8"/>
        <color rgb="FFFF0000"/>
        <rFont val="Arial"/>
        <family val="2"/>
        <charset val="1"/>
      </rPr>
      <t xml:space="preserve"> 023/2022</t>
    </r>
  </si>
  <si>
    <t>SOLICITAÇÃO</t>
  </si>
  <si>
    <r>
      <rPr>
        <sz val="8"/>
        <color rgb="FF000000"/>
        <rFont val="Arial"/>
        <family val="2"/>
        <charset val="1"/>
      </rPr>
      <t xml:space="preserve">Descrição serviço: </t>
    </r>
    <r>
      <rPr>
        <b/>
        <sz val="8"/>
        <color rgb="FF000000"/>
        <rFont val="Arial"/>
        <family val="2"/>
        <charset val="1"/>
      </rPr>
      <t>ROTINAS DE MANUTENÇÃO PREDIAL NO CAMPUS SÃO CARLOS, REFERENTE AO PERIDO DE FEVEREIRO/2024</t>
    </r>
  </si>
  <si>
    <r>
      <rPr>
        <sz val="8"/>
        <color rgb="FF000000"/>
        <rFont val="Arial"/>
        <family val="2"/>
        <charset val="1"/>
      </rPr>
      <t xml:space="preserve">Solicitante: </t>
    </r>
    <r>
      <rPr>
        <sz val="8"/>
        <color rgb="FFFF0000"/>
        <rFont val="Arial"/>
        <family val="2"/>
        <charset val="1"/>
      </rPr>
      <t>Prefeitura Universitária do Campus São Carlos</t>
    </r>
  </si>
  <si>
    <r>
      <rPr>
        <sz val="8"/>
        <color rgb="FF000000"/>
        <rFont val="Arial"/>
        <family val="2"/>
        <charset val="1"/>
      </rPr>
      <t xml:space="preserve">Ambiente: </t>
    </r>
    <r>
      <rPr>
        <sz val="8"/>
        <color rgb="FFFF0000"/>
        <rFont val="Arial"/>
        <family val="2"/>
        <charset val="1"/>
      </rPr>
      <t>Campus São Carlos</t>
    </r>
  </si>
  <si>
    <r>
      <rPr>
        <sz val="8"/>
        <color rgb="FF000000"/>
        <rFont val="Arial"/>
        <family val="2"/>
        <charset val="1"/>
      </rPr>
      <t xml:space="preserve">Prazo de execução: </t>
    </r>
    <r>
      <rPr>
        <sz val="8"/>
        <color rgb="FFFF0000"/>
        <rFont val="Arial"/>
        <family val="2"/>
        <charset val="1"/>
      </rPr>
      <t>Continuado</t>
    </r>
  </si>
  <si>
    <r>
      <rPr>
        <sz val="8"/>
        <color rgb="FF000000"/>
        <rFont val="Arial"/>
        <family val="2"/>
        <charset val="1"/>
      </rPr>
      <t xml:space="preserve">Prazo de início: </t>
    </r>
    <r>
      <rPr>
        <sz val="8"/>
        <color rgb="FFFF0000"/>
        <rFont val="Arial"/>
        <family val="2"/>
        <charset val="1"/>
      </rPr>
      <t>13/06/2022</t>
    </r>
  </si>
  <si>
    <r>
      <rPr>
        <sz val="8"/>
        <color rgb="FF000000"/>
        <rFont val="Arial"/>
        <family val="2"/>
        <charset val="1"/>
      </rPr>
      <t xml:space="preserve">Data Orçamento: </t>
    </r>
    <r>
      <rPr>
        <sz val="8"/>
        <color rgb="FFFF0000"/>
        <rFont val="Arial"/>
        <family val="2"/>
        <charset val="1"/>
      </rPr>
      <t>Jun/23</t>
    </r>
  </si>
  <si>
    <r>
      <rPr>
        <sz val="8"/>
        <color rgb="FF000000"/>
        <rFont val="Arial"/>
        <family val="2"/>
        <charset val="1"/>
      </rPr>
      <t xml:space="preserve">Mês de referência: </t>
    </r>
    <r>
      <rPr>
        <sz val="8"/>
        <color rgb="FFFF0000"/>
        <rFont val="Arial"/>
        <family val="2"/>
        <charset val="1"/>
      </rPr>
      <t>Maio/2023 (data da proposta)</t>
    </r>
  </si>
  <si>
    <t>ITEM</t>
  </si>
  <si>
    <t>TIPO</t>
  </si>
  <si>
    <t>CÓDIGO</t>
  </si>
  <si>
    <t>BANCO</t>
  </si>
  <si>
    <t>DESCRIÇÃO DAS ETAPAS</t>
  </si>
  <si>
    <t>UNID.</t>
  </si>
  <si>
    <t>QUANT.</t>
  </si>
  <si>
    <t>PREÇO</t>
  </si>
  <si>
    <t>TOTAL DA ETAPA</t>
  </si>
  <si>
    <t>%</t>
  </si>
  <si>
    <t>ORÇAMENTO</t>
  </si>
  <si>
    <t>UNITÁRIO SEM BDI</t>
  </si>
  <si>
    <t>BDI (22,32%)</t>
  </si>
  <si>
    <t>UNITÁRIO COM BDI</t>
  </si>
  <si>
    <t>DESCONTO (0,03%)</t>
  </si>
  <si>
    <t>UNITÁRIO C/ BDI e DESCONTO</t>
  </si>
  <si>
    <t>EQUIPE DE PRESTAÇÃO DE SERVIÇOS ROTINEIROS DE MANUTENÇÃO PREDIAL</t>
  </si>
  <si>
    <t>1.1</t>
  </si>
  <si>
    <t xml:space="preserve">Composição </t>
  </si>
  <si>
    <t xml:space="preserve"> 90776 </t>
  </si>
  <si>
    <t>SINAPI</t>
  </si>
  <si>
    <t>ENCARREGADO GERAL COM ENCARGOS COMPLEMENTARES</t>
  </si>
  <si>
    <t>h</t>
  </si>
  <si>
    <t>1.2</t>
  </si>
  <si>
    <t xml:space="preserve"> 88267 </t>
  </si>
  <si>
    <t>ENCANADOR OU BOMBEIRO HIDRÁULICO COM ENCARGOS COMPLEMENTARES</t>
  </si>
  <si>
    <t>1.3</t>
  </si>
  <si>
    <t>1.4</t>
  </si>
  <si>
    <t xml:space="preserve"> 88248 </t>
  </si>
  <si>
    <t>AUXILIAR DE ENCANADOR OU BOMBEIRO HIDRÁULICO COM ENCARGOS COMPLEMENTARES</t>
  </si>
  <si>
    <t>1.5</t>
  </si>
  <si>
    <t>1.6</t>
  </si>
  <si>
    <t xml:space="preserve"> 88309 </t>
  </si>
  <si>
    <t>PEDREIRO COM ENCARGOS COMPLEMENTARES</t>
  </si>
  <si>
    <t>Pedreiro + ajudante férias</t>
  </si>
  <si>
    <t>1.7</t>
  </si>
  <si>
    <t>Teve reposição de ajudante, mas não pedreiro</t>
  </si>
  <si>
    <t>1.8</t>
  </si>
  <si>
    <t xml:space="preserve"> 88242 </t>
  </si>
  <si>
    <t>AJUDANTE DE PEDREIRO COM ENCARGOS COMPLEMENTARES</t>
  </si>
  <si>
    <t>1.9</t>
  </si>
  <si>
    <t>1.10</t>
  </si>
  <si>
    <t>1.11</t>
  </si>
  <si>
    <t xml:space="preserve"> 88241 </t>
  </si>
  <si>
    <t>AJUDANTE DE OPERAÇÃO EM GERAL COM ENCARGOS COMPLEMENTARES</t>
  </si>
  <si>
    <t>1.12</t>
  </si>
  <si>
    <t>BDI (15,32%)</t>
  </si>
  <si>
    <t>MATERIAIS NECESSÁRIOS PARA O DESEMPENHO DAS ROTINAS</t>
  </si>
  <si>
    <t>2.1</t>
  </si>
  <si>
    <t>Insumos</t>
  </si>
  <si>
    <t>ASSENTO SANITARIO DE PLASTICO, TIPO CONVENCIONAL</t>
  </si>
  <si>
    <t>2.2</t>
  </si>
  <si>
    <t>6.95.47</t>
  </si>
  <si>
    <t>FDE</t>
  </si>
  <si>
    <t>REPARO P/VALVULA DESCARGA HIDRA LISA II</t>
  </si>
  <si>
    <t>2.3</t>
  </si>
  <si>
    <t>FITA CREPE ROLO DE 25 MM X 50 M</t>
  </si>
  <si>
    <t>2.4</t>
  </si>
  <si>
    <t>MASSA PLASTICA PARA MARMORE/GRANITO</t>
  </si>
  <si>
    <t>KG</t>
  </si>
  <si>
    <t>2.5</t>
  </si>
  <si>
    <t>TINTA LATEX ACRILICA STANDARD, COR BRANCA</t>
  </si>
  <si>
    <t>L</t>
  </si>
  <si>
    <t>2.6</t>
  </si>
  <si>
    <t>TINTA ACRILICA PREMIUM PARA PISO</t>
  </si>
  <si>
    <t>2.7</t>
  </si>
  <si>
    <t>AREIA GROSSA - POSTO JAZIDA/FORNECEDOR (RETIRADO NA JAZIDA, SEM TRANSPORTE)</t>
  </si>
  <si>
    <t>m3</t>
  </si>
  <si>
    <t>2.8</t>
  </si>
  <si>
    <t>CIMENTO PORTLAND COMPOSTO CP II-32</t>
  </si>
  <si>
    <t>2.9</t>
  </si>
  <si>
    <t>TORNEIRA METALICA CROMADA PARA JARDIM / TANQUE, COM BICO PLASTICO, CANO LONGO, DE PAREDE, PADRAO POPULAR / USO GERAL , 1/2 " OU 3/4 " (REF 1153 / 1130)</t>
  </si>
  <si>
    <t>2.10</t>
  </si>
  <si>
    <t>SELANTE ELASTICO MONOCOMPONENTE A BASE DE POLIURETANO (PU) PARA JUNTAS DIVERSAS</t>
  </si>
  <si>
    <t>2.11</t>
  </si>
  <si>
    <t>IMPERMEABILIZANTE FLEXIVEL BRANCO DE BASE ACRILICA PARA COBERTURAS</t>
  </si>
  <si>
    <t>2.12</t>
  </si>
  <si>
    <t>LUVA SIMPLES, PVC SERIE R, 50 MM, PARA ESGOTO PREDIAL</t>
  </si>
  <si>
    <t>2.13</t>
  </si>
  <si>
    <t>ADESIVO ACRILICO DE BASE AQUOSA / COLA DE CONTATO</t>
  </si>
  <si>
    <t>2.14</t>
  </si>
  <si>
    <t>GESSO EM PO PARA REVESTIMENTOS/MOLDURAS/SANCAS E USO GERAL</t>
  </si>
  <si>
    <t>2.15</t>
  </si>
  <si>
    <t>TINTA ESMALTE BASE AGUA PREMIUM ACETINADO</t>
  </si>
  <si>
    <t>2.16</t>
  </si>
  <si>
    <t>ARAME RECOZIDO 16 BWG, D = 1,65 MM (0,016 KG/M) OU 18 BWG, D = 1,25 MM (0,01 KG/M)</t>
  </si>
  <si>
    <t>kg</t>
  </si>
  <si>
    <t>2.17</t>
  </si>
  <si>
    <t>MANTA ASFALTICA ELASTOMERICA EM POLIESTER ALUMINIZADA 3 MM, TIPO III, CLASSE B (NBR 9952)</t>
  </si>
  <si>
    <t>M2</t>
  </si>
  <si>
    <t>2.18</t>
  </si>
  <si>
    <t>BANCADA/BANCA/PIA DE ACO INOXIDAVEL (AISI 430) COM 1 CUBA CENTRAL, COM VALVULA, ESCORREDOR DUPLO, DE *0,55 X 1,40* M</t>
  </si>
  <si>
    <t>2.19</t>
  </si>
  <si>
    <t>ORSE</t>
  </si>
  <si>
    <t>Tela de nylon malha 5mm tipo mosquiteiro/fachadeira (proteção de fachadas)</t>
  </si>
  <si>
    <t>m²</t>
  </si>
  <si>
    <t>2.20</t>
  </si>
  <si>
    <t>ADESIVO PLASTICO PARA PVC, FRASCO COM *850* GR</t>
  </si>
  <si>
    <t>2.21</t>
  </si>
  <si>
    <t>SIFAO / TUBO SINFONADO EXTENSIVEL/SANFONADO, UNIVERSAL/ SIMPLES, ENTRE *50 A 70* CM, DE PLASTICO BRANCO</t>
  </si>
  <si>
    <t>2.22</t>
  </si>
  <si>
    <t>BUCHA DE NYLON SEM ABA S6</t>
  </si>
  <si>
    <t>2.23</t>
  </si>
  <si>
    <t>BUCHA DE NYLON SEM ABA S8</t>
  </si>
  <si>
    <t>2.24</t>
  </si>
  <si>
    <t>JOELHO PVC, SOLDAVEL, PB, 90 GRAUS, DN 50 MM, PARA ESGOTO PREDIAL</t>
  </si>
  <si>
    <t>2.25</t>
  </si>
  <si>
    <t>PARAFUSO ROSCA SOBERBA ZINCADO CABECA CHATA FENDA SIMPLES 5,5 X 65 MM (2.1/2 ")</t>
  </si>
  <si>
    <t>2.26</t>
  </si>
  <si>
    <t>PARAFUSO ROSCA SOBERBA ZINCADO CABECA CHATA FENDA SIMPLES 4,8 X 40 MM (1.1/2 ")</t>
  </si>
  <si>
    <t>2.27</t>
  </si>
  <si>
    <t>ADAPTADOR PVC SOLDAVEL CURTO COM BOLSA E ROSCA, 25 MM X 3/4", PARA AGUA FRIA</t>
  </si>
  <si>
    <t>2.28</t>
  </si>
  <si>
    <t>ADAPTADOR PVC SOLDAVEL CURTO COM BOLSA E ROSCA, 50 MM X1 1/2", PARA AGUA FRIA</t>
  </si>
  <si>
    <t>2.29</t>
  </si>
  <si>
    <t>JOELHO PVC, SOLDAVEL, 90 GRAUS, 25 MM, PARA AGUA FRIA PREDIAL</t>
  </si>
  <si>
    <t>2.30</t>
  </si>
  <si>
    <t>JOELHO PVC, SOLDAVEL, 90 GRAUS, 50 MM, COR MARROM, PARA AGUA FRIA PREDIAL</t>
  </si>
  <si>
    <t>2.31</t>
  </si>
  <si>
    <t>LUVA SOLDAVEL COM BUCHA DE LATAO, PVC, 25 MM X 1/2"</t>
  </si>
  <si>
    <t>2.32</t>
  </si>
  <si>
    <t>LUVA DE CORRER PARA TUBO SOLDAVEL, PVC, 50 MM, PARA AGUA FRIA PREDIAL</t>
  </si>
  <si>
    <t>ESCONTO (0,03%)</t>
  </si>
  <si>
    <t>SERVIÇOS / EQUIPAMENTOS ADICIONAIS NECESSÁRIOS DURANTE AS ROTINAS</t>
  </si>
  <si>
    <t>3.1</t>
  </si>
  <si>
    <t>3.2</t>
  </si>
  <si>
    <t>Remoção</t>
  </si>
  <si>
    <t>3.3</t>
  </si>
  <si>
    <t>PINTOR COM ENCARGOS COMPLEMENTARES</t>
  </si>
  <si>
    <t>3.10</t>
  </si>
  <si>
    <t>TRANSPORTE COM CAMINHÃO BASCULANTE DE 10 M³, EM VIA URBANA EM LEITO NATURAL (UNIDADE: M3XKM). AF_07/2020</t>
  </si>
  <si>
    <t>M3XKM</t>
  </si>
  <si>
    <t>Parede DryWall Departamento de Quimica</t>
  </si>
  <si>
    <t>3.4</t>
  </si>
  <si>
    <t>RETIRADA DE DIVISORIA TIPO NAVAL COM APROVEITAMENTO DE MATERIAL</t>
  </si>
  <si>
    <t>3.5</t>
  </si>
  <si>
    <t>PAREDE COM PLACAS DE GESSO ACARTONADO (DRYWALL), PARA USO INTERNO COM DUAS FACES DUPLAS E ESTRUTURA METÁLICA COM GUIAS DUPLAS, SEM VÃOS. AF_06/2017</t>
  </si>
  <si>
    <t>3.6</t>
  </si>
  <si>
    <t xml:space="preserve"> 88489 </t>
  </si>
  <si>
    <t>PINTURA LÁTEX ACRÍLICA PREMIUM, APLICAÇÃO MANUAL EM PAREDES, DUAS DEMÃOS. AF_04/2023</t>
  </si>
  <si>
    <t>3.7</t>
  </si>
  <si>
    <t>APLICAÇÃO DE FUNDO SELADOR ACRÍLICO EM PAREDES, UMA DEMÃO. AF_06/2014</t>
  </si>
  <si>
    <t>3.8</t>
  </si>
  <si>
    <t>APLICAÇÃO MANUAL DE MASSA ACRÍLICA EM PAREDES EXTERNAS DE CASAS, DUAS DEMÃOS. AF_05/2017</t>
  </si>
  <si>
    <t>Tela Deas</t>
  </si>
  <si>
    <t>3.9</t>
  </si>
  <si>
    <t>25.20.020</t>
  </si>
  <si>
    <t>CPOS</t>
  </si>
  <si>
    <t>Tela de proteção tipo mosquiteira removível, em fibra de vidro com revestimento em PVC e requadro em alumínio</t>
  </si>
  <si>
    <t>MANUTENÇÃO USE</t>
  </si>
  <si>
    <t>Pintura e Impermeabilização</t>
  </si>
  <si>
    <t>APLICAÇÃO MANUAL DE PINTURA COM TINTA LÁTEX ACRÍLICA EM TETO, DUAS DEMÃOS. AF_06/2014</t>
  </si>
  <si>
    <t>3.11</t>
  </si>
  <si>
    <t>3.12</t>
  </si>
  <si>
    <t>3.13</t>
  </si>
  <si>
    <t>3.14</t>
  </si>
  <si>
    <t>IMPERMEABILIZAÇÃO DE SUPERFÍCIE COM MEMBRANA À BASE DE RESINA ACRÍLICA, 3 DEMÃOS. AF_06/2018</t>
  </si>
  <si>
    <t>3.15</t>
  </si>
  <si>
    <t>LIMPEZA DE SUPERFÍCIE COM JATO DE ALTA PRESSÃO. AF_04/2019</t>
  </si>
  <si>
    <t>PISO VINILICO - USE</t>
  </si>
  <si>
    <t>3.16</t>
  </si>
  <si>
    <t>SBC</t>
  </si>
  <si>
    <t>RETIRADA DE PLACAS VINILICAS EM PISOS</t>
  </si>
  <si>
    <t>3.17</t>
  </si>
  <si>
    <t>13.05.068</t>
  </si>
  <si>
    <t>RODAPE VINILICO DE 5 CM SIMPLES</t>
  </si>
  <si>
    <t>M</t>
  </si>
  <si>
    <t>3.18</t>
  </si>
  <si>
    <t>REMOCAO DE RODAPE VINILICO OU DE BORRACHA COLADA</t>
  </si>
  <si>
    <t>Retirada piso SBC inclui rodapé</t>
  </si>
  <si>
    <t>3.19</t>
  </si>
  <si>
    <t>Piso vinílico 30 x 30 cm, e=2mm, liso, fixado com cola sobre cimentado, Paviflex ou similar (exceto cimentado)</t>
  </si>
  <si>
    <t>Vidros e portas temperados - USE</t>
  </si>
  <si>
    <t>3.20</t>
  </si>
  <si>
    <t>VIDRACEIRO COM ENCARGOS COMPLEMENTARES</t>
  </si>
  <si>
    <t>Pintura sala DIGRA na ProGrad</t>
  </si>
  <si>
    <t>3.21</t>
  </si>
  <si>
    <t>3.22</t>
  </si>
  <si>
    <t>3.23</t>
  </si>
  <si>
    <t>PINTURA COM TINTA ALQUÍDICA DE ACABAMENTO (ESMALTE SINTÉTICO BRILHANTE) APLICADA A ROLO OU PINCEL SOBRE SUPERFÍCIES METÁLICAS (EXCETO PERFIL) EXECUTADO EM OBRA (POR DEMÃO). AF_01/2020</t>
  </si>
  <si>
    <t>3.24</t>
  </si>
  <si>
    <t>Arquivo geral da ProGrad, prédio da antiga DiCa</t>
  </si>
  <si>
    <t>3.25</t>
  </si>
  <si>
    <t>3.26</t>
  </si>
  <si>
    <t>SIURB (01/2023)</t>
  </si>
  <si>
    <t>RECOLOCAÇÃO DE DIVISÓRIAS - CHAPAS OU TÁBUAS, INCLUSIVE ENTARUGAMENTO</t>
  </si>
  <si>
    <t>REMOÇÃO DE CHAPAS E PERFIS DE DRYWALL, DE FORMA MANUAL, SEM REAPROVEITAMENTO. AF_12/2017</t>
  </si>
  <si>
    <t>Grade DEFMH (Antigo IBEV/CIVISA)</t>
  </si>
  <si>
    <t>3..27</t>
  </si>
  <si>
    <t>GRADIL EM FERRO FIXADO EM VÃOS DE JANELAS, FORMADO POR BARRAS CHATAS DE 25X4,8 MM. AF_04/2019</t>
  </si>
  <si>
    <t>Faltam detalhes para conclusão, será analisada na próxima medição</t>
  </si>
  <si>
    <t>3.28</t>
  </si>
  <si>
    <t>PINTURA DE GRADIL METALICO, CONFECCIONADO COM BARRAS CHATA 1 1/4 X 3/16, EM MODULO 16X16CM, OU TIJOLINHO 20X10CM, COM 01 DEMÃO DE TINTA ANTICORROSIVA - ZARCÃO E 02 DEMÃOS DE ESMALTE SINTETICO (MEDIR SOMENTE UMA VEZ)</t>
  </si>
  <si>
    <t>Divisoria DEFMH</t>
  </si>
  <si>
    <t>3.29</t>
  </si>
  <si>
    <t>14.30.110</t>
  </si>
  <si>
    <t>CPOS/CDHU</t>
  </si>
  <si>
    <t>Divisória cega tipo naval, acabamento em laminado fenólico melamínico, com espessura de 3,5 cm</t>
  </si>
  <si>
    <t>INSTALAÇÃO DE VIDROS</t>
  </si>
  <si>
    <t>3.30</t>
  </si>
  <si>
    <t>INSTALAÇÃO DE VIDRO LISO INCOLOR, E = 4 MM, EM ESQUADRIA DE ALUMÍNIO OU PVC, FIXADO COM BAGUETE. AF_01/2021_PS</t>
  </si>
  <si>
    <t>3.31</t>
  </si>
  <si>
    <t>INSTALAÇÃO DE VIDRO LISO INCOLOR, E = 3 MM, EM ESQUADRIA DE ALUMÍNIO OU PVC, FIXADO COM BAGUETE. AF_01/2021_PS</t>
  </si>
  <si>
    <t>3.32</t>
  </si>
  <si>
    <t>VIDRO FANTASIA TIPO CANELADO, ESPESSURA 4MM</t>
  </si>
  <si>
    <t>3.33</t>
  </si>
  <si>
    <t>Espelho plano 4mm</t>
  </si>
  <si>
    <t>TOTAL DO SERVIÇO - R$</t>
  </si>
  <si>
    <r>
      <rPr>
        <sz val="8"/>
        <color rgb="FF000000"/>
        <rFont val="Arial"/>
        <family val="2"/>
        <charset val="1"/>
      </rPr>
      <t xml:space="preserve">Observações: 
1) As composições de custos apresentadas nesta planilha orçamentária englobam em seu valor toda a mão de obra, materiais, ferramentas, equipamentos e demais itens necessários à sua perfeita e completa execução.
2) Preços das composições e insumos do </t>
    </r>
    <r>
      <rPr>
        <b/>
        <sz val="8"/>
        <color rgb="FFFF0000"/>
        <rFont val="Arial"/>
        <family val="2"/>
        <charset val="1"/>
      </rPr>
      <t xml:space="preserve">SINAPI São Paulo (mês 05/2023) </t>
    </r>
    <r>
      <rPr>
        <sz val="8"/>
        <color rgb="FF000000"/>
        <rFont val="Arial"/>
        <family val="2"/>
        <charset val="1"/>
      </rPr>
      <t xml:space="preserve">e/ou demais preços do mercado vigentes na mesma data.
3) A identificação de materiais ou equipamentos por determinada marca implica apenas na caracterização de uma analogia ou similaridade, não tendo caráter vinculante e sim, meramente indicativo.
4) O BDI e o desconto adotados são os acordados no respectivo contrato, bem como a modalidade de impostos desonerados ou padrão, considerando o ISS da Prefeitura local do serviço.
</t>
    </r>
  </si>
  <si>
    <t>APROVAÇÃO DO ORÇAMENTO</t>
  </si>
  <si>
    <t>Ordem Serviço Eletrônica</t>
  </si>
  <si>
    <t>APROVAÇÃO ORÇAMENTO</t>
  </si>
  <si>
    <t>Conforme Serviços.UFSCar</t>
  </si>
  <si>
    <t xml:space="preserve">
Conforme Servicos.UFSCar
</t>
  </si>
  <si>
    <t xml:space="preserve">Data de início:
Hora de início:
</t>
  </si>
  <si>
    <t xml:space="preserve">Data de conclusão:
Hora de conclusão:
</t>
  </si>
  <si>
    <t xml:space="preserve"> _____________________________________________
Fiscal do Contrato / Assinatura
</t>
  </si>
  <si>
    <t xml:space="preserve">EXECUÇÃO / ATESTE DE
APROVAÇAO DO SERVIÇO
</t>
  </si>
  <si>
    <t xml:space="preserve">Observações do fiscal do contrato: </t>
  </si>
  <si>
    <t>ITEM 02 – AT. 07</t>
  </si>
  <si>
    <t>QTD</t>
  </si>
  <si>
    <t>DESCRIÇÃO O ITEM</t>
  </si>
  <si>
    <t>R$</t>
  </si>
  <si>
    <t>CHAVE DE STORZ P/ HIDRANTE</t>
  </si>
  <si>
    <t>EXTINTOR DE PÓ BC 4KG (RECARGA)</t>
  </si>
  <si>
    <t>EXTINTOR DE AGUA PRESSURIZADA 10L (RECARGA)</t>
  </si>
  <si>
    <t>MANGUEIRA TIPO 2 – 30m -1.¹/2 (NOVO)</t>
  </si>
  <si>
    <t>ESGUICHO REGULAVEL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</si>
</sst>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R$ &quot;* #,##0.00_-;&quot;-R$ &quot;* #,##0.00_-;_-&quot;R$ &quot;* \-??_-;_-@_-"/>
    <numFmt numFmtId="165" formatCode="_-* #,##0.00_-;\-* #,##0.00_-;_-* \-??_-;_-@_-"/>
    <numFmt numFmtId="166" formatCode="&quot;R$ &quot;#,##0.00;[Red]&quot;-R$ &quot;#,##0.00"/>
  </numFmts>
  <fonts count="29" x14ac:knownFonts="1">
    <font>
      <sz val="11"/>
      <color rgb="FF000000"/>
      <name val="Calibri"/>
      <family val="2"/>
      <charset val="1"/>
    </font>
    <font>
      <sz val="8"/>
      <color rgb="FF000000"/>
      <name val="Arial"/>
      <family val="2"/>
      <charset val="1"/>
    </font>
    <font>
      <b/>
      <sz val="8"/>
      <color rgb="FF3F3F3F"/>
      <name val="Arial"/>
      <family val="2"/>
      <charset val="1"/>
    </font>
    <font>
      <b/>
      <sz val="11"/>
      <color rgb="FF3F3F3F"/>
      <name val="Calibri"/>
      <family val="2"/>
      <charset val="1"/>
    </font>
    <font>
      <sz val="8"/>
      <color rgb="FF3F3F3F"/>
      <name val="Arial"/>
      <family val="2"/>
      <charset val="1"/>
    </font>
    <font>
      <b/>
      <sz val="8"/>
      <color rgb="FF000000"/>
      <name val="Arial"/>
      <family val="2"/>
      <charset val="1"/>
    </font>
    <font>
      <sz val="8"/>
      <color rgb="FFFF0000"/>
      <name val="Arial"/>
      <family val="2"/>
      <charset val="1"/>
    </font>
    <font>
      <b/>
      <sz val="8"/>
      <name val="Arial"/>
      <family val="2"/>
      <charset val="1"/>
    </font>
    <font>
      <sz val="8"/>
      <name val="Arial"/>
      <family val="2"/>
      <charset val="1"/>
    </font>
    <font>
      <i/>
      <sz val="11"/>
      <color rgb="FF7F7F7F"/>
      <name val="Calibri"/>
      <family val="2"/>
      <charset val="1"/>
    </font>
    <font>
      <b/>
      <sz val="8"/>
      <color rgb="FF5B9BD5"/>
      <name val="Arial"/>
      <family val="2"/>
      <charset val="1"/>
    </font>
    <font>
      <sz val="11"/>
      <color rgb="FFFF0000"/>
      <name val="Calibri"/>
      <family val="2"/>
      <charset val="1"/>
    </font>
    <font>
      <sz val="8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8"/>
      <color rgb="FF333333"/>
      <name val="Arial"/>
      <family val="2"/>
      <charset val="1"/>
    </font>
    <font>
      <sz val="8"/>
      <color rgb="FF000000"/>
      <name val="Calibri"/>
      <family val="2"/>
      <charset val="1"/>
    </font>
    <font>
      <b/>
      <sz val="8"/>
      <color rgb="FF5B9BD5"/>
      <name val="Calibri"/>
      <family val="2"/>
      <charset val="1"/>
    </font>
    <font>
      <sz val="11"/>
      <name val="Calibri"/>
      <family val="2"/>
      <charset val="1"/>
    </font>
    <font>
      <b/>
      <sz val="8"/>
      <name val="Calibri"/>
      <family val="2"/>
      <charset val="1"/>
    </font>
    <font>
      <sz val="8"/>
      <color rgb="FFFF0000"/>
      <name val="Calibri"/>
      <family val="2"/>
      <charset val="1"/>
    </font>
    <font>
      <b/>
      <sz val="8"/>
      <color rgb="FFFF0000"/>
      <name val="Arial"/>
      <family val="2"/>
      <charset val="1"/>
    </font>
    <font>
      <sz val="8"/>
      <name val="Arial"/>
      <family val="1"/>
      <charset val="1"/>
    </font>
    <font>
      <b/>
      <sz val="8"/>
      <color rgb="FF5B9BD5"/>
      <name val="Arial"/>
      <family val="1"/>
      <charset val="1"/>
    </font>
    <font>
      <sz val="8"/>
      <color rgb="FF000000"/>
      <name val="Arial"/>
      <family val="1"/>
      <charset val="1"/>
    </font>
    <font>
      <b/>
      <sz val="8"/>
      <color rgb="FFFF0000"/>
      <name val="Arial"/>
      <family val="1"/>
      <charset val="1"/>
    </font>
    <font>
      <sz val="8"/>
      <color rgb="FFFF0000"/>
      <name val="Arial"/>
      <family val="1"/>
      <charset val="1"/>
    </font>
    <font>
      <b/>
      <sz val="8"/>
      <color rgb="FF3F3F3F"/>
      <name val="Calibri"/>
      <family val="2"/>
      <charset val="1"/>
    </font>
    <font>
      <b/>
      <sz val="8"/>
      <color rgb="FFFF0000"/>
      <name val="Calibri"/>
      <family val="2"/>
      <charset val="1"/>
    </font>
    <font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</fills>
  <borders count="2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rgb="FF3F3F3F"/>
      </left>
      <right style="medium">
        <color auto="1"/>
      </right>
      <top style="medium">
        <color auto="1"/>
      </top>
      <bottom style="thin">
        <color rgb="FF3F3F3F"/>
      </bottom>
      <diagonal/>
    </border>
    <border>
      <left style="thin">
        <color rgb="FF3F3F3F"/>
      </left>
      <right style="medium">
        <color auto="1"/>
      </right>
      <top style="thin">
        <color rgb="FF3F3F3F"/>
      </top>
      <bottom style="thin">
        <color rgb="FF3F3F3F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medium">
        <color auto="1"/>
      </left>
      <right/>
      <top style="thin">
        <color rgb="FF3F3F3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3F3F3F"/>
      </left>
      <right style="thin">
        <color rgb="FF3F3F3F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medium">
        <color auto="1"/>
      </right>
      <top style="thin">
        <color rgb="FF3F3F3F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</borders>
  <cellStyleXfs count="6">
    <xf numFmtId="0" fontId="0" fillId="0" borderId="0"/>
    <xf numFmtId="164" fontId="28" fillId="0" borderId="0" applyBorder="0" applyProtection="0"/>
    <xf numFmtId="0" fontId="13" fillId="0" borderId="0" applyBorder="0" applyProtection="0"/>
    <xf numFmtId="0" fontId="3" fillId="2" borderId="1" applyProtection="0"/>
    <xf numFmtId="0" fontId="9" fillId="0" borderId="0" applyBorder="0" applyProtection="0"/>
    <xf numFmtId="0" fontId="3" fillId="2" borderId="1" applyProtection="0"/>
  </cellStyleXfs>
  <cellXfs count="128">
    <xf numFmtId="0" fontId="0" fillId="0" borderId="0" xfId="0"/>
    <xf numFmtId="0" fontId="7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2" fillId="2" borderId="4" xfId="3" applyFont="1" applyBorder="1" applyProtection="1"/>
    <xf numFmtId="0" fontId="4" fillId="2" borderId="4" xfId="3" applyFont="1" applyBorder="1" applyAlignment="1" applyProtection="1">
      <alignment horizontal="center" vertical="center"/>
    </xf>
    <xf numFmtId="0" fontId="4" fillId="2" borderId="8" xfId="3" applyFont="1" applyBorder="1" applyAlignment="1" applyProtection="1">
      <alignment horizontal="center" vertical="center"/>
    </xf>
    <xf numFmtId="0" fontId="2" fillId="2" borderId="9" xfId="3" applyFont="1" applyBorder="1" applyAlignment="1" applyProtection="1">
      <alignment vertical="center"/>
    </xf>
    <xf numFmtId="0" fontId="2" fillId="2" borderId="10" xfId="3" applyFont="1" applyBorder="1" applyAlignment="1" applyProtection="1">
      <alignment vertical="center"/>
    </xf>
    <xf numFmtId="0" fontId="2" fillId="2" borderId="9" xfId="3" applyFont="1" applyBorder="1" applyAlignment="1" applyProtection="1">
      <alignment horizontal="center" vertical="center"/>
    </xf>
    <xf numFmtId="0" fontId="2" fillId="2" borderId="11" xfId="3" applyFont="1" applyBorder="1" applyAlignment="1" applyProtection="1">
      <alignment horizontal="center" vertical="center"/>
    </xf>
    <xf numFmtId="164" fontId="2" fillId="2" borderId="11" xfId="1" applyFont="1" applyFill="1" applyBorder="1" applyAlignment="1" applyProtection="1">
      <alignment horizontal="center" vertical="center"/>
    </xf>
    <xf numFmtId="4" fontId="2" fillId="2" borderId="11" xfId="3" applyNumberFormat="1" applyFont="1" applyBorder="1" applyAlignment="1" applyProtection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6" xfId="4" applyFont="1" applyBorder="1" applyAlignment="1" applyProtection="1">
      <alignment horizontal="left" vertical="center" wrapText="1"/>
    </xf>
    <xf numFmtId="0" fontId="8" fillId="0" borderId="6" xfId="4" applyFont="1" applyBorder="1" applyAlignment="1" applyProtection="1">
      <alignment horizontal="center" vertical="center"/>
    </xf>
    <xf numFmtId="0" fontId="6" fillId="0" borderId="6" xfId="0" applyFont="1" applyBorder="1" applyAlignment="1">
      <alignment horizontal="center" vertical="center"/>
    </xf>
    <xf numFmtId="4" fontId="10" fillId="0" borderId="6" xfId="4" applyNumberFormat="1" applyFont="1" applyBorder="1" applyAlignment="1" applyProtection="1">
      <alignment horizontal="center" vertical="center"/>
    </xf>
    <xf numFmtId="4" fontId="8" fillId="0" borderId="6" xfId="4" applyNumberFormat="1" applyFont="1" applyBorder="1" applyAlignment="1" applyProtection="1">
      <alignment horizontal="center" vertical="center"/>
    </xf>
    <xf numFmtId="0" fontId="11" fillId="0" borderId="0" xfId="0" applyFont="1"/>
    <xf numFmtId="0" fontId="7" fillId="3" borderId="6" xfId="0" applyFont="1" applyFill="1" applyBorder="1" applyAlignment="1">
      <alignment horizontal="center" vertical="center"/>
    </xf>
    <xf numFmtId="0" fontId="4" fillId="2" borderId="12" xfId="3" applyFont="1" applyBorder="1" applyAlignment="1" applyProtection="1">
      <alignment horizontal="center" vertical="center"/>
    </xf>
    <xf numFmtId="0" fontId="2" fillId="2" borderId="6" xfId="3" applyFont="1" applyBorder="1" applyAlignment="1" applyProtection="1">
      <alignment horizontal="center" vertical="center"/>
    </xf>
    <xf numFmtId="164" fontId="2" fillId="2" borderId="6" xfId="1" applyFont="1" applyFill="1" applyBorder="1" applyAlignment="1" applyProtection="1">
      <alignment horizontal="center" vertical="center"/>
    </xf>
    <xf numFmtId="0" fontId="8" fillId="0" borderId="6" xfId="3" applyFont="1" applyFill="1" applyBorder="1" applyAlignment="1" applyProtection="1">
      <alignment horizontal="center" vertical="center"/>
    </xf>
    <xf numFmtId="0" fontId="8" fillId="0" borderId="6" xfId="0" applyFont="1" applyBorder="1" applyAlignment="1">
      <alignment horizontal="center"/>
    </xf>
    <xf numFmtId="0" fontId="12" fillId="0" borderId="6" xfId="2" applyFont="1" applyBorder="1" applyProtection="1"/>
    <xf numFmtId="2" fontId="10" fillId="0" borderId="6" xfId="4" applyNumberFormat="1" applyFont="1" applyBorder="1" applyAlignment="1" applyProtection="1">
      <alignment horizontal="center" vertical="center"/>
    </xf>
    <xf numFmtId="0" fontId="8" fillId="0" borderId="0" xfId="0" applyFont="1"/>
    <xf numFmtId="0" fontId="8" fillId="0" borderId="6" xfId="5" applyFont="1" applyFill="1" applyBorder="1" applyAlignment="1" applyProtection="1">
      <alignment horizontal="center" vertical="center"/>
    </xf>
    <xf numFmtId="0" fontId="8" fillId="0" borderId="6" xfId="0" applyFont="1" applyBorder="1"/>
    <xf numFmtId="0" fontId="14" fillId="0" borderId="6" xfId="0" applyFont="1" applyBorder="1"/>
    <xf numFmtId="2" fontId="10" fillId="0" borderId="6" xfId="3" applyNumberFormat="1" applyFont="1" applyFill="1" applyBorder="1" applyAlignment="1" applyProtection="1">
      <alignment horizontal="center" vertical="center"/>
    </xf>
    <xf numFmtId="0" fontId="15" fillId="0" borderId="6" xfId="0" applyFont="1" applyBorder="1" applyAlignment="1">
      <alignment vertical="center"/>
    </xf>
    <xf numFmtId="0" fontId="10" fillId="0" borderId="6" xfId="3" applyFont="1" applyFill="1" applyBorder="1" applyAlignment="1" applyProtection="1">
      <alignment horizontal="center" vertical="center"/>
    </xf>
    <xf numFmtId="0" fontId="8" fillId="0" borderId="6" xfId="2" applyFont="1" applyBorder="1" applyProtection="1"/>
    <xf numFmtId="0" fontId="8" fillId="0" borderId="6" xfId="0" applyFont="1" applyBorder="1" applyAlignment="1">
      <alignment vertical="center"/>
    </xf>
    <xf numFmtId="0" fontId="15" fillId="0" borderId="0" xfId="0" applyFont="1"/>
    <xf numFmtId="0" fontId="1" fillId="0" borderId="6" xfId="0" applyFont="1" applyBorder="1"/>
    <xf numFmtId="49" fontId="8" fillId="0" borderId="6" xfId="4" applyNumberFormat="1" applyFont="1" applyBorder="1" applyAlignment="1" applyProtection="1">
      <alignment horizontal="center" vertical="center"/>
    </xf>
    <xf numFmtId="1" fontId="1" fillId="0" borderId="6" xfId="0" applyNumberFormat="1" applyFont="1" applyBorder="1" applyAlignment="1">
      <alignment horizontal="center"/>
    </xf>
    <xf numFmtId="0" fontId="12" fillId="0" borderId="0" xfId="2" applyFont="1" applyBorder="1" applyProtection="1"/>
    <xf numFmtId="0" fontId="15" fillId="0" borderId="6" xfId="0" applyFont="1" applyBorder="1"/>
    <xf numFmtId="0" fontId="12" fillId="0" borderId="6" xfId="5" applyFont="1" applyFill="1" applyBorder="1" applyAlignment="1" applyProtection="1">
      <alignment horizontal="center" vertical="center"/>
    </xf>
    <xf numFmtId="0" fontId="12" fillId="0" borderId="6" xfId="0" applyFont="1" applyBorder="1"/>
    <xf numFmtId="2" fontId="16" fillId="0" borderId="6" xfId="5" applyNumberFormat="1" applyFont="1" applyFill="1" applyBorder="1" applyAlignment="1" applyProtection="1">
      <alignment horizontal="center" vertical="center"/>
    </xf>
    <xf numFmtId="0" fontId="12" fillId="0" borderId="0" xfId="0" applyFont="1"/>
    <xf numFmtId="0" fontId="15" fillId="0" borderId="0" xfId="0" applyFont="1" applyAlignment="1">
      <alignment vertical="center"/>
    </xf>
    <xf numFmtId="2" fontId="2" fillId="0" borderId="6" xfId="3" applyNumberFormat="1" applyFont="1" applyFill="1" applyBorder="1" applyAlignment="1" applyProtection="1">
      <alignment horizontal="center" vertical="center"/>
    </xf>
    <xf numFmtId="0" fontId="7" fillId="0" borderId="6" xfId="3" applyFont="1" applyFill="1" applyBorder="1" applyAlignment="1" applyProtection="1">
      <alignment horizontal="center" vertical="center"/>
    </xf>
    <xf numFmtId="0" fontId="17" fillId="0" borderId="0" xfId="0" applyFont="1"/>
    <xf numFmtId="0" fontId="12" fillId="2" borderId="8" xfId="3" applyFont="1" applyBorder="1" applyAlignment="1" applyProtection="1">
      <alignment horizontal="center" vertical="center"/>
    </xf>
    <xf numFmtId="0" fontId="18" fillId="2" borderId="11" xfId="3" applyFont="1" applyBorder="1" applyAlignment="1" applyProtection="1">
      <alignment horizontal="center" vertical="center"/>
    </xf>
    <xf numFmtId="164" fontId="18" fillId="2" borderId="11" xfId="1" applyFont="1" applyFill="1" applyBorder="1" applyAlignment="1" applyProtection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6" xfId="4" applyFont="1" applyBorder="1" applyAlignment="1" applyProtection="1">
      <alignment horizontal="left" vertical="center" wrapText="1"/>
    </xf>
    <xf numFmtId="0" fontId="12" fillId="0" borderId="6" xfId="4" applyFont="1" applyBorder="1" applyAlignment="1" applyProtection="1">
      <alignment horizontal="center" vertical="center"/>
    </xf>
    <xf numFmtId="0" fontId="19" fillId="0" borderId="6" xfId="0" applyFont="1" applyBorder="1" applyAlignment="1">
      <alignment horizontal="center" vertical="center"/>
    </xf>
    <xf numFmtId="4" fontId="16" fillId="0" borderId="6" xfId="4" applyNumberFormat="1" applyFont="1" applyBorder="1" applyAlignment="1" applyProtection="1">
      <alignment horizontal="center" vertical="center"/>
    </xf>
    <xf numFmtId="4" fontId="12" fillId="0" borderId="6" xfId="4" applyNumberFormat="1" applyFont="1" applyBorder="1" applyAlignment="1" applyProtection="1">
      <alignment horizontal="center" vertical="center"/>
    </xf>
    <xf numFmtId="0" fontId="19" fillId="0" borderId="0" xfId="0" applyFont="1"/>
    <xf numFmtId="0" fontId="1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left" vertical="center"/>
    </xf>
    <xf numFmtId="0" fontId="14" fillId="0" borderId="6" xfId="0" applyFont="1" applyBorder="1" applyAlignment="1">
      <alignment horizontal="center" vertical="center" wrapText="1"/>
    </xf>
    <xf numFmtId="4" fontId="20" fillId="0" borderId="6" xfId="0" applyNumberFormat="1" applyFont="1" applyBorder="1" applyAlignment="1">
      <alignment horizontal="center" vertical="center" wrapText="1"/>
    </xf>
    <xf numFmtId="4" fontId="18" fillId="0" borderId="6" xfId="4" applyNumberFormat="1" applyFont="1" applyBorder="1" applyAlignment="1" applyProtection="1">
      <alignment horizontal="left" vertical="center"/>
    </xf>
    <xf numFmtId="4" fontId="12" fillId="0" borderId="15" xfId="4" applyNumberFormat="1" applyFont="1" applyBorder="1" applyAlignment="1" applyProtection="1">
      <alignment horizontal="center" vertical="center"/>
    </xf>
    <xf numFmtId="0" fontId="21" fillId="0" borderId="6" xfId="0" applyFont="1" applyBorder="1" applyAlignment="1">
      <alignment horizontal="center" vertical="center" wrapText="1"/>
    </xf>
    <xf numFmtId="0" fontId="21" fillId="0" borderId="6" xfId="0" applyFont="1" applyBorder="1" applyAlignment="1">
      <alignment vertical="center" wrapText="1"/>
    </xf>
    <xf numFmtId="4" fontId="22" fillId="4" borderId="7" xfId="0" applyNumberFormat="1" applyFont="1" applyFill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left" vertical="top" wrapText="1"/>
    </xf>
    <xf numFmtId="4" fontId="22" fillId="4" borderId="6" xfId="0" applyNumberFormat="1" applyFont="1" applyFill="1" applyBorder="1" applyAlignment="1">
      <alignment horizontal="center" vertical="center" wrapText="1"/>
    </xf>
    <xf numFmtId="0" fontId="21" fillId="0" borderId="6" xfId="0" applyFont="1" applyBorder="1" applyAlignment="1">
      <alignment horizontal="left" vertical="center" wrapText="1"/>
    </xf>
    <xf numFmtId="4" fontId="24" fillId="4" borderId="6" xfId="0" applyNumberFormat="1" applyFont="1" applyFill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left" vertical="center" wrapText="1"/>
    </xf>
    <xf numFmtId="4" fontId="19" fillId="0" borderId="6" xfId="4" applyNumberFormat="1" applyFont="1" applyBorder="1" applyAlignment="1" applyProtection="1">
      <alignment horizontal="center" vertical="center"/>
    </xf>
    <xf numFmtId="0" fontId="21" fillId="0" borderId="6" xfId="0" applyFont="1" applyBorder="1" applyAlignment="1">
      <alignment horizontal="left" vertical="top" wrapText="1"/>
    </xf>
    <xf numFmtId="4" fontId="10" fillId="4" borderId="7" xfId="0" applyNumberFormat="1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top" wrapText="1"/>
    </xf>
    <xf numFmtId="4" fontId="16" fillId="4" borderId="6" xfId="0" applyNumberFormat="1" applyFont="1" applyFill="1" applyBorder="1" applyAlignment="1">
      <alignment horizontal="center" vertical="center" wrapText="1"/>
    </xf>
    <xf numFmtId="2" fontId="12" fillId="0" borderId="0" xfId="0" applyNumberFormat="1" applyFont="1" applyAlignment="1">
      <alignment horizontal="center" vertical="center"/>
    </xf>
    <xf numFmtId="0" fontId="21" fillId="4" borderId="6" xfId="0" applyFont="1" applyFill="1" applyBorder="1" applyAlignment="1">
      <alignment horizontal="center" vertical="center" wrapText="1"/>
    </xf>
    <xf numFmtId="0" fontId="23" fillId="0" borderId="6" xfId="0" applyFont="1" applyBorder="1" applyAlignment="1">
      <alignment horizontal="left" vertical="center" wrapText="1"/>
    </xf>
    <xf numFmtId="4" fontId="10" fillId="4" borderId="6" xfId="0" applyNumberFormat="1" applyFont="1" applyFill="1" applyBorder="1" applyAlignment="1">
      <alignment horizontal="center" vertical="center" wrapText="1"/>
    </xf>
    <xf numFmtId="0" fontId="26" fillId="2" borderId="6" xfId="3" applyFont="1" applyBorder="1" applyProtection="1"/>
    <xf numFmtId="0" fontId="18" fillId="0" borderId="17" xfId="0" applyFont="1" applyBorder="1" applyAlignment="1">
      <alignment vertical="top"/>
    </xf>
    <xf numFmtId="0" fontId="27" fillId="0" borderId="18" xfId="0" applyFont="1" applyBorder="1" applyAlignment="1">
      <alignment vertical="top"/>
    </xf>
    <xf numFmtId="166" fontId="0" fillId="0" borderId="0" xfId="0" applyNumberFormat="1"/>
    <xf numFmtId="2" fontId="23" fillId="0" borderId="6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0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26" xfId="0" applyFont="1" applyBorder="1" applyAlignment="1">
      <alignment horizontal="center" wrapText="1"/>
    </xf>
    <xf numFmtId="0" fontId="4" fillId="2" borderId="27" xfId="3" applyFont="1" applyBorder="1" applyAlignment="1" applyProtection="1">
      <alignment horizontal="left" vertical="center" textRotation="90" wrapText="1"/>
    </xf>
    <xf numFmtId="0" fontId="1" fillId="0" borderId="28" xfId="0" applyFont="1" applyBorder="1" applyAlignment="1">
      <alignment horizontal="left" vertical="top"/>
    </xf>
    <xf numFmtId="0" fontId="1" fillId="0" borderId="21" xfId="0" applyFont="1" applyBorder="1" applyAlignment="1">
      <alignment horizontal="center"/>
    </xf>
    <xf numFmtId="0" fontId="4" fillId="2" borderId="22" xfId="3" applyFont="1" applyBorder="1" applyAlignment="1" applyProtection="1">
      <alignment horizontal="left" vertical="top"/>
    </xf>
    <xf numFmtId="0" fontId="4" fillId="2" borderId="1" xfId="3" applyFont="1" applyAlignment="1" applyProtection="1">
      <alignment horizontal="center" vertical="center"/>
    </xf>
    <xf numFmtId="0" fontId="1" fillId="0" borderId="13" xfId="0" applyFont="1" applyBorder="1" applyAlignment="1">
      <alignment horizontal="left" vertical="center" wrapText="1"/>
    </xf>
    <xf numFmtId="0" fontId="4" fillId="2" borderId="23" xfId="3" applyFont="1" applyBorder="1" applyAlignment="1" applyProtection="1">
      <alignment horizontal="center" vertical="center" textRotation="90"/>
    </xf>
    <xf numFmtId="0" fontId="6" fillId="0" borderId="24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4" fontId="18" fillId="0" borderId="6" xfId="4" applyNumberFormat="1" applyFont="1" applyBorder="1" applyAlignment="1" applyProtection="1">
      <alignment horizontal="left" vertical="center"/>
    </xf>
    <xf numFmtId="0" fontId="15" fillId="0" borderId="16" xfId="0" applyFont="1" applyBorder="1" applyAlignment="1">
      <alignment horizontal="center"/>
    </xf>
    <xf numFmtId="165" fontId="27" fillId="0" borderId="19" xfId="0" applyNumberFormat="1" applyFont="1" applyBorder="1" applyAlignment="1">
      <alignment horizontal="center" vertical="top"/>
    </xf>
    <xf numFmtId="0" fontId="7" fillId="0" borderId="7" xfId="0" applyFont="1" applyBorder="1" applyAlignment="1">
      <alignment horizontal="left" vertical="center"/>
    </xf>
    <xf numFmtId="4" fontId="7" fillId="0" borderId="6" xfId="4" applyNumberFormat="1" applyFont="1" applyBorder="1" applyAlignment="1" applyProtection="1">
      <alignment horizontal="left" vertical="center"/>
    </xf>
    <xf numFmtId="0" fontId="7" fillId="0" borderId="6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/>
    </xf>
    <xf numFmtId="0" fontId="18" fillId="2" borderId="14" xfId="3" applyFont="1" applyBorder="1" applyAlignment="1" applyProtection="1">
      <alignment horizontal="center" vertical="center"/>
    </xf>
    <xf numFmtId="0" fontId="7" fillId="0" borderId="7" xfId="0" applyFont="1" applyBorder="1" applyAlignment="1">
      <alignment horizontal="center"/>
    </xf>
    <xf numFmtId="0" fontId="4" fillId="2" borderId="4" xfId="3" applyFont="1" applyBorder="1" applyAlignment="1" applyProtection="1">
      <alignment horizontal="center" vertical="center" textRotation="90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2" fillId="2" borderId="13" xfId="3" applyFont="1" applyBorder="1" applyAlignment="1" applyProtection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2" xfId="0" applyFont="1" applyBorder="1" applyAlignment="1">
      <alignment horizontal="center" vertical="center"/>
    </xf>
    <xf numFmtId="0" fontId="2" fillId="2" borderId="3" xfId="3" applyFont="1" applyBorder="1" applyAlignment="1" applyProtection="1">
      <alignment horizontal="center"/>
    </xf>
    <xf numFmtId="0" fontId="4" fillId="2" borderId="4" xfId="3" applyFont="1" applyBorder="1" applyAlignment="1" applyProtection="1">
      <alignment horizontal="center"/>
    </xf>
    <xf numFmtId="0" fontId="4" fillId="2" borderId="1" xfId="3" applyFont="1" applyAlignment="1" applyProtection="1">
      <alignment horizontal="center"/>
    </xf>
  </cellXfs>
  <cellStyles count="6">
    <cellStyle name="Excel Built-in Explanatory Text" xfId="4" xr:uid="{00000000-0005-0000-0000-000007000000}"/>
    <cellStyle name="Excel Built-in Output" xfId="3" xr:uid="{00000000-0005-0000-0000-000006000000}"/>
    <cellStyle name="Excel Built-in Output 2" xfId="5" xr:uid="{00000000-0005-0000-0000-000009000000}"/>
    <cellStyle name="Hiperlink" xfId="2" builtinId="8"/>
    <cellStyle name="Moeda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5B9BD5"/>
      <rgbColor rgb="FF993366"/>
      <rgbColor rgb="FFF2F2F2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F3F3F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2042640</xdr:colOff>
      <xdr:row>1</xdr:row>
      <xdr:rowOff>96840</xdr:rowOff>
    </xdr:from>
    <xdr:to>
      <xdr:col>4</xdr:col>
      <xdr:colOff>2991240</xdr:colOff>
      <xdr:row>4</xdr:row>
      <xdr:rowOff>178920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654640" y="306360"/>
          <a:ext cx="948600" cy="7106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Downloads/Originais/2022/10%20Outubro/Notas%20Fiscais/NF%20516064%20Jabu%20S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6"/>
  <sheetViews>
    <sheetView tabSelected="1" topLeftCell="A118" zoomScale="40" zoomScaleNormal="40" workbookViewId="0">
      <selection activeCell="T141" sqref="A1:T142"/>
    </sheetView>
  </sheetViews>
  <sheetFormatPr defaultColWidth="8.7109375" defaultRowHeight="15" x14ac:dyDescent="0.25"/>
  <cols>
    <col min="2" max="3" width="10.7109375" hidden="1" customWidth="1"/>
    <col min="4" max="4" width="12.140625" hidden="1" customWidth="1"/>
    <col min="5" max="5" width="66.5703125" customWidth="1"/>
    <col min="6" max="6" width="6.42578125" customWidth="1"/>
    <col min="8" max="8" width="23.7109375" customWidth="1"/>
    <col min="9" max="9" width="12.42578125" customWidth="1"/>
    <col min="10" max="10" width="19" customWidth="1"/>
    <col min="11" max="11" width="18.85546875" customWidth="1"/>
    <col min="12" max="12" width="29.28515625" customWidth="1"/>
    <col min="13" max="13" width="18" customWidth="1"/>
    <col min="14" max="14" width="10.7109375" customWidth="1"/>
    <col min="15" max="15" width="4.7109375" customWidth="1"/>
  </cols>
  <sheetData>
    <row r="1" spans="1:15" ht="16.5" customHeight="1" x14ac:dyDescent="0.25">
      <c r="A1" s="124" t="s">
        <v>0</v>
      </c>
      <c r="B1" s="124"/>
      <c r="C1" s="124"/>
      <c r="D1" s="124"/>
      <c r="E1" s="124"/>
      <c r="F1" s="124"/>
      <c r="G1" s="124"/>
      <c r="H1" s="124"/>
      <c r="I1" s="124"/>
      <c r="J1" s="125" t="s">
        <v>1</v>
      </c>
      <c r="K1" s="125"/>
      <c r="L1" s="125"/>
      <c r="M1" s="125"/>
      <c r="N1" s="125"/>
      <c r="O1" s="125"/>
    </row>
    <row r="2" spans="1:15" ht="16.5" customHeight="1" x14ac:dyDescent="0.25">
      <c r="A2" s="124"/>
      <c r="B2" s="124"/>
      <c r="C2" s="124"/>
      <c r="D2" s="124"/>
      <c r="E2" s="124"/>
      <c r="F2" s="124"/>
      <c r="G2" s="124"/>
      <c r="H2" s="124"/>
      <c r="I2" s="124"/>
      <c r="J2" s="126" t="s">
        <v>2</v>
      </c>
      <c r="K2" s="126"/>
      <c r="L2" s="126"/>
      <c r="M2" s="126"/>
      <c r="N2" s="126"/>
      <c r="O2" s="126"/>
    </row>
    <row r="3" spans="1:15" ht="16.5" customHeight="1" x14ac:dyDescent="0.25">
      <c r="A3" s="124"/>
      <c r="B3" s="124"/>
      <c r="C3" s="124"/>
      <c r="D3" s="124"/>
      <c r="E3" s="124"/>
      <c r="F3" s="124"/>
      <c r="G3" s="124"/>
      <c r="H3" s="124"/>
      <c r="I3" s="124"/>
      <c r="J3" s="127" t="s">
        <v>3</v>
      </c>
      <c r="K3" s="127"/>
      <c r="L3" s="127"/>
      <c r="M3" s="127" t="s">
        <v>4</v>
      </c>
      <c r="N3" s="127"/>
      <c r="O3" s="3"/>
    </row>
    <row r="4" spans="1:15" ht="16.5" customHeight="1" x14ac:dyDescent="0.25">
      <c r="A4" s="124"/>
      <c r="B4" s="124"/>
      <c r="C4" s="124"/>
      <c r="D4" s="124"/>
      <c r="E4" s="124"/>
      <c r="F4" s="124"/>
      <c r="G4" s="124"/>
      <c r="H4" s="124"/>
      <c r="I4" s="124"/>
      <c r="J4" s="127" t="s">
        <v>5</v>
      </c>
      <c r="K4" s="127"/>
      <c r="L4" s="127"/>
      <c r="M4" s="127" t="s">
        <v>6</v>
      </c>
      <c r="N4" s="127"/>
      <c r="O4" s="4"/>
    </row>
    <row r="5" spans="1:15" ht="16.5" customHeight="1" x14ac:dyDescent="0.25">
      <c r="A5" s="124"/>
      <c r="B5" s="124"/>
      <c r="C5" s="124"/>
      <c r="D5" s="124"/>
      <c r="E5" s="124"/>
      <c r="F5" s="124"/>
      <c r="G5" s="124"/>
      <c r="H5" s="124"/>
      <c r="I5" s="124"/>
      <c r="J5" s="127" t="s">
        <v>7</v>
      </c>
      <c r="K5" s="127"/>
      <c r="L5" s="127"/>
      <c r="M5" s="127" t="s">
        <v>8</v>
      </c>
      <c r="N5" s="127"/>
      <c r="O5" s="3"/>
    </row>
    <row r="6" spans="1:15" ht="16.5" customHeight="1" x14ac:dyDescent="0.25">
      <c r="A6" s="124"/>
      <c r="B6" s="124"/>
      <c r="C6" s="124"/>
      <c r="D6" s="124"/>
      <c r="E6" s="124"/>
      <c r="F6" s="124"/>
      <c r="G6" s="124"/>
      <c r="H6" s="124"/>
      <c r="I6" s="124"/>
      <c r="J6" s="127" t="s">
        <v>9</v>
      </c>
      <c r="K6" s="127"/>
      <c r="L6" s="127"/>
      <c r="M6" s="127" t="s">
        <v>10</v>
      </c>
      <c r="N6" s="127"/>
      <c r="O6" s="3"/>
    </row>
    <row r="7" spans="1:15" ht="16.5" customHeight="1" x14ac:dyDescent="0.25">
      <c r="A7" s="121" t="s">
        <v>11</v>
      </c>
      <c r="B7" s="121"/>
      <c r="C7" s="121"/>
      <c r="D7" s="121"/>
      <c r="E7" s="121"/>
      <c r="F7" s="121"/>
      <c r="G7" s="121"/>
      <c r="H7" s="121"/>
      <c r="I7" s="121"/>
      <c r="J7" s="122" t="s">
        <v>12</v>
      </c>
      <c r="K7" s="122"/>
      <c r="L7" s="122"/>
      <c r="M7" s="122"/>
      <c r="N7" s="122"/>
      <c r="O7" s="115" t="s">
        <v>13</v>
      </c>
    </row>
    <row r="8" spans="1:15" ht="16.5" customHeight="1" x14ac:dyDescent="0.25">
      <c r="A8" s="123" t="s">
        <v>14</v>
      </c>
      <c r="B8" s="123"/>
      <c r="C8" s="123"/>
      <c r="D8" s="123"/>
      <c r="E8" s="123"/>
      <c r="F8" s="123"/>
      <c r="G8" s="123"/>
      <c r="H8" s="123"/>
      <c r="I8" s="123"/>
      <c r="J8" s="122" t="s">
        <v>15</v>
      </c>
      <c r="K8" s="122"/>
      <c r="L8" s="122"/>
      <c r="M8" s="122"/>
      <c r="N8" s="122"/>
      <c r="O8" s="115"/>
    </row>
    <row r="9" spans="1:15" ht="16.5" customHeight="1" x14ac:dyDescent="0.25">
      <c r="A9" s="123"/>
      <c r="B9" s="123"/>
      <c r="C9" s="123"/>
      <c r="D9" s="123"/>
      <c r="E9" s="123"/>
      <c r="F9" s="123"/>
      <c r="G9" s="123"/>
      <c r="H9" s="123"/>
      <c r="I9" s="123"/>
      <c r="J9" s="122" t="s">
        <v>16</v>
      </c>
      <c r="K9" s="122"/>
      <c r="L9" s="122"/>
      <c r="M9" s="122"/>
      <c r="N9" s="122"/>
      <c r="O9" s="115"/>
    </row>
    <row r="10" spans="1:15" ht="16.5" customHeight="1" x14ac:dyDescent="0.25">
      <c r="A10" s="123"/>
      <c r="B10" s="123"/>
      <c r="C10" s="123"/>
      <c r="D10" s="123"/>
      <c r="E10" s="123"/>
      <c r="F10" s="123"/>
      <c r="G10" s="123"/>
      <c r="H10" s="123"/>
      <c r="I10" s="123"/>
      <c r="J10" s="122" t="s">
        <v>17</v>
      </c>
      <c r="K10" s="122"/>
      <c r="L10" s="122"/>
      <c r="M10" s="122"/>
      <c r="N10" s="122"/>
      <c r="O10" s="115"/>
    </row>
    <row r="11" spans="1:15" ht="16.5" customHeight="1" x14ac:dyDescent="0.25">
      <c r="A11" s="123"/>
      <c r="B11" s="123"/>
      <c r="C11" s="123"/>
      <c r="D11" s="123"/>
      <c r="E11" s="123"/>
      <c r="F11" s="123"/>
      <c r="G11" s="123"/>
      <c r="H11" s="123"/>
      <c r="I11" s="123"/>
      <c r="J11" s="122" t="s">
        <v>18</v>
      </c>
      <c r="K11" s="122"/>
      <c r="L11" s="122"/>
      <c r="M11" s="122"/>
      <c r="N11" s="122"/>
      <c r="O11" s="115"/>
    </row>
    <row r="12" spans="1:15" ht="16.5" customHeight="1" x14ac:dyDescent="0.25">
      <c r="A12" s="123"/>
      <c r="B12" s="123"/>
      <c r="C12" s="123"/>
      <c r="D12" s="123"/>
      <c r="E12" s="123"/>
      <c r="F12" s="123"/>
      <c r="G12" s="123"/>
      <c r="H12" s="123"/>
      <c r="I12" s="123"/>
      <c r="J12" s="122" t="s">
        <v>19</v>
      </c>
      <c r="K12" s="122"/>
      <c r="L12" s="122"/>
      <c r="M12" s="122"/>
      <c r="N12" s="122"/>
      <c r="O12" s="115"/>
    </row>
    <row r="13" spans="1:15" ht="16.5" customHeight="1" x14ac:dyDescent="0.25">
      <c r="A13" s="123"/>
      <c r="B13" s="123"/>
      <c r="C13" s="123"/>
      <c r="D13" s="123"/>
      <c r="E13" s="123"/>
      <c r="F13" s="123"/>
      <c r="G13" s="123"/>
      <c r="H13" s="123"/>
      <c r="I13" s="123"/>
      <c r="J13" s="122" t="s">
        <v>20</v>
      </c>
      <c r="K13" s="122"/>
      <c r="L13" s="122"/>
      <c r="M13" s="122"/>
      <c r="N13" s="122"/>
      <c r="O13" s="115"/>
    </row>
    <row r="14" spans="1:15" ht="16.5" customHeight="1" x14ac:dyDescent="0.25">
      <c r="A14" s="116" t="s">
        <v>21</v>
      </c>
      <c r="B14" s="117" t="s">
        <v>22</v>
      </c>
      <c r="C14" s="117" t="s">
        <v>23</v>
      </c>
      <c r="D14" s="117" t="s">
        <v>24</v>
      </c>
      <c r="E14" s="117" t="s">
        <v>25</v>
      </c>
      <c r="F14" s="117" t="s">
        <v>26</v>
      </c>
      <c r="G14" s="117" t="s">
        <v>27</v>
      </c>
      <c r="H14" s="118" t="s">
        <v>28</v>
      </c>
      <c r="I14" s="118"/>
      <c r="J14" s="118"/>
      <c r="K14" s="118"/>
      <c r="L14" s="118"/>
      <c r="M14" s="117" t="s">
        <v>29</v>
      </c>
      <c r="N14" s="117" t="s">
        <v>30</v>
      </c>
      <c r="O14" s="115" t="s">
        <v>31</v>
      </c>
    </row>
    <row r="15" spans="1:15" ht="16.5" customHeight="1" x14ac:dyDescent="0.25">
      <c r="A15" s="116"/>
      <c r="B15" s="117"/>
      <c r="C15" s="117"/>
      <c r="D15" s="117"/>
      <c r="E15" s="117"/>
      <c r="F15" s="117"/>
      <c r="G15" s="117"/>
      <c r="H15" s="2" t="s">
        <v>32</v>
      </c>
      <c r="I15" s="1" t="s">
        <v>33</v>
      </c>
      <c r="J15" s="2" t="s">
        <v>34</v>
      </c>
      <c r="K15" s="1" t="s">
        <v>35</v>
      </c>
      <c r="L15" s="2" t="s">
        <v>36</v>
      </c>
      <c r="M15" s="117"/>
      <c r="N15" s="117"/>
      <c r="O15" s="115"/>
    </row>
    <row r="16" spans="1:15" ht="16.5" customHeight="1" x14ac:dyDescent="0.25">
      <c r="A16" s="5">
        <v>1</v>
      </c>
      <c r="B16" s="6"/>
      <c r="C16" s="7"/>
      <c r="D16" s="7"/>
      <c r="E16" s="8" t="s">
        <v>37</v>
      </c>
      <c r="F16" s="9"/>
      <c r="G16" s="9"/>
      <c r="H16" s="9"/>
      <c r="I16" s="9"/>
      <c r="J16" s="9"/>
      <c r="K16" s="9"/>
      <c r="L16" s="9"/>
      <c r="M16" s="10">
        <f>SUM(M17:M28)</f>
        <v>70942.512075635212</v>
      </c>
      <c r="N16" s="11">
        <f>SUM(N17:N28)</f>
        <v>1</v>
      </c>
      <c r="O16" s="115"/>
    </row>
    <row r="17" spans="1:16" ht="26.25" customHeight="1" x14ac:dyDescent="0.25">
      <c r="A17" s="12" t="s">
        <v>38</v>
      </c>
      <c r="B17" s="12" t="s">
        <v>39</v>
      </c>
      <c r="C17" s="13" t="s">
        <v>40</v>
      </c>
      <c r="D17" s="13" t="s">
        <v>41</v>
      </c>
      <c r="E17" s="14" t="s">
        <v>42</v>
      </c>
      <c r="F17" s="15" t="s">
        <v>43</v>
      </c>
      <c r="G17" s="16">
        <v>176</v>
      </c>
      <c r="H17" s="17">
        <v>38.46</v>
      </c>
      <c r="I17" s="18">
        <f t="shared" ref="I17:I28" si="0">H17*0.2232</f>
        <v>8.5842720000000003</v>
      </c>
      <c r="J17" s="18">
        <f t="shared" ref="J17:J28" si="1">H17+I17</f>
        <v>47.044271999999999</v>
      </c>
      <c r="K17" s="18">
        <f t="shared" ref="K17:K28" si="2">J17*(0.03%)</f>
        <v>1.4113281599999999E-2</v>
      </c>
      <c r="L17" s="18">
        <f t="shared" ref="L17:L28" si="3">J17-K17</f>
        <v>47.030158718400003</v>
      </c>
      <c r="M17" s="18">
        <f t="shared" ref="M17:M28" si="4">L17*G17</f>
        <v>8277.3079344384005</v>
      </c>
      <c r="N17" s="18">
        <f t="shared" ref="N17:N28" si="5">M17/M$16</f>
        <v>0.11667627339744562</v>
      </c>
      <c r="O17" s="115"/>
    </row>
    <row r="18" spans="1:16" ht="26.25" customHeight="1" x14ac:dyDescent="0.25">
      <c r="A18" s="12" t="s">
        <v>44</v>
      </c>
      <c r="B18" s="12" t="s">
        <v>39</v>
      </c>
      <c r="C18" s="13" t="s">
        <v>45</v>
      </c>
      <c r="D18" s="13" t="s">
        <v>41</v>
      </c>
      <c r="E18" s="14" t="s">
        <v>46</v>
      </c>
      <c r="F18" s="15" t="s">
        <v>43</v>
      </c>
      <c r="G18" s="16">
        <v>176</v>
      </c>
      <c r="H18" s="17">
        <v>33.25</v>
      </c>
      <c r="I18" s="18">
        <f t="shared" si="0"/>
        <v>7.4214000000000002</v>
      </c>
      <c r="J18" s="18">
        <f t="shared" si="1"/>
        <v>40.671399999999998</v>
      </c>
      <c r="K18" s="18">
        <f t="shared" si="2"/>
        <v>1.2201419999999999E-2</v>
      </c>
      <c r="L18" s="18">
        <f t="shared" si="3"/>
        <v>40.659198580000002</v>
      </c>
      <c r="M18" s="18">
        <f t="shared" si="4"/>
        <v>7156.0189500800006</v>
      </c>
      <c r="N18" s="18">
        <f t="shared" si="5"/>
        <v>0.10087067317901889</v>
      </c>
      <c r="O18" s="115"/>
    </row>
    <row r="19" spans="1:16" ht="26.25" customHeight="1" x14ac:dyDescent="0.25">
      <c r="A19" s="12" t="s">
        <v>47</v>
      </c>
      <c r="B19" s="12" t="s">
        <v>39</v>
      </c>
      <c r="C19" s="13" t="s">
        <v>45</v>
      </c>
      <c r="D19" s="13" t="s">
        <v>41</v>
      </c>
      <c r="E19" s="14" t="s">
        <v>46</v>
      </c>
      <c r="F19" s="15" t="s">
        <v>43</v>
      </c>
      <c r="G19" s="16">
        <v>176</v>
      </c>
      <c r="H19" s="17">
        <v>33.25</v>
      </c>
      <c r="I19" s="18">
        <f t="shared" si="0"/>
        <v>7.4214000000000002</v>
      </c>
      <c r="J19" s="18">
        <f t="shared" si="1"/>
        <v>40.671399999999998</v>
      </c>
      <c r="K19" s="18">
        <f t="shared" si="2"/>
        <v>1.2201419999999999E-2</v>
      </c>
      <c r="L19" s="18">
        <f t="shared" si="3"/>
        <v>40.659198580000002</v>
      </c>
      <c r="M19" s="18">
        <f t="shared" si="4"/>
        <v>7156.0189500800006</v>
      </c>
      <c r="N19" s="18">
        <f t="shared" si="5"/>
        <v>0.10087067317901889</v>
      </c>
      <c r="O19" s="115"/>
    </row>
    <row r="20" spans="1:16" ht="26.25" customHeight="1" x14ac:dyDescent="0.25">
      <c r="A20" s="12" t="s">
        <v>48</v>
      </c>
      <c r="B20" s="12" t="s">
        <v>39</v>
      </c>
      <c r="C20" s="13" t="s">
        <v>49</v>
      </c>
      <c r="D20" s="13" t="s">
        <v>41</v>
      </c>
      <c r="E20" s="14" t="s">
        <v>50</v>
      </c>
      <c r="F20" s="15" t="s">
        <v>43</v>
      </c>
      <c r="G20" s="16">
        <v>176</v>
      </c>
      <c r="H20" s="17">
        <v>28.58</v>
      </c>
      <c r="I20" s="18">
        <f t="shared" si="0"/>
        <v>6.3790560000000003</v>
      </c>
      <c r="J20" s="18">
        <f t="shared" si="1"/>
        <v>34.959055999999997</v>
      </c>
      <c r="K20" s="18">
        <f t="shared" si="2"/>
        <v>1.0487716799999998E-2</v>
      </c>
      <c r="L20" s="18">
        <f t="shared" si="3"/>
        <v>34.948568283199997</v>
      </c>
      <c r="M20" s="18">
        <f t="shared" si="4"/>
        <v>6150.9480178431995</v>
      </c>
      <c r="N20" s="18">
        <f t="shared" si="5"/>
        <v>8.6703273367108549E-2</v>
      </c>
      <c r="O20" s="115"/>
    </row>
    <row r="21" spans="1:16" ht="26.25" customHeight="1" x14ac:dyDescent="0.25">
      <c r="A21" s="12" t="s">
        <v>51</v>
      </c>
      <c r="B21" s="12" t="s">
        <v>39</v>
      </c>
      <c r="C21" s="13" t="s">
        <v>49</v>
      </c>
      <c r="D21" s="13" t="s">
        <v>41</v>
      </c>
      <c r="E21" s="14" t="s">
        <v>50</v>
      </c>
      <c r="F21" s="15" t="s">
        <v>43</v>
      </c>
      <c r="G21" s="16">
        <v>176</v>
      </c>
      <c r="H21" s="17">
        <v>28.58</v>
      </c>
      <c r="I21" s="18">
        <f t="shared" si="0"/>
        <v>6.3790560000000003</v>
      </c>
      <c r="J21" s="18">
        <f t="shared" si="1"/>
        <v>34.959055999999997</v>
      </c>
      <c r="K21" s="18">
        <f t="shared" si="2"/>
        <v>1.0487716799999998E-2</v>
      </c>
      <c r="L21" s="18">
        <f t="shared" si="3"/>
        <v>34.948568283199997</v>
      </c>
      <c r="M21" s="18">
        <f t="shared" si="4"/>
        <v>6150.9480178431995</v>
      </c>
      <c r="N21" s="18">
        <f t="shared" si="5"/>
        <v>8.6703273367108549E-2</v>
      </c>
      <c r="O21" s="115"/>
    </row>
    <row r="22" spans="1:16" ht="26.25" customHeight="1" x14ac:dyDescent="0.25">
      <c r="A22" s="12" t="s">
        <v>52</v>
      </c>
      <c r="B22" s="12" t="s">
        <v>39</v>
      </c>
      <c r="C22" s="13" t="s">
        <v>53</v>
      </c>
      <c r="D22" s="13" t="s">
        <v>41</v>
      </c>
      <c r="E22" s="14" t="s">
        <v>54</v>
      </c>
      <c r="F22" s="15" t="s">
        <v>43</v>
      </c>
      <c r="G22" s="16">
        <v>0</v>
      </c>
      <c r="H22" s="17">
        <v>31.59</v>
      </c>
      <c r="I22" s="18">
        <f t="shared" si="0"/>
        <v>7.0508880000000005</v>
      </c>
      <c r="J22" s="18">
        <f t="shared" si="1"/>
        <v>38.640888000000004</v>
      </c>
      <c r="K22" s="18">
        <f t="shared" si="2"/>
        <v>1.1592266400000001E-2</v>
      </c>
      <c r="L22" s="18">
        <f t="shared" si="3"/>
        <v>38.629295733600003</v>
      </c>
      <c r="M22" s="18">
        <f t="shared" si="4"/>
        <v>0</v>
      </c>
      <c r="N22" s="18">
        <f t="shared" si="5"/>
        <v>0</v>
      </c>
      <c r="O22" s="115"/>
      <c r="P22" s="19" t="s">
        <v>55</v>
      </c>
    </row>
    <row r="23" spans="1:16" ht="26.25" customHeight="1" x14ac:dyDescent="0.25">
      <c r="A23" s="12" t="s">
        <v>56</v>
      </c>
      <c r="B23" s="12" t="s">
        <v>39</v>
      </c>
      <c r="C23" s="13" t="s">
        <v>53</v>
      </c>
      <c r="D23" s="13" t="s">
        <v>41</v>
      </c>
      <c r="E23" s="14" t="s">
        <v>54</v>
      </c>
      <c r="F23" s="15" t="s">
        <v>43</v>
      </c>
      <c r="G23" s="16">
        <v>176</v>
      </c>
      <c r="H23" s="17">
        <v>31.59</v>
      </c>
      <c r="I23" s="18">
        <f t="shared" si="0"/>
        <v>7.0508880000000005</v>
      </c>
      <c r="J23" s="18">
        <f t="shared" si="1"/>
        <v>38.640888000000004</v>
      </c>
      <c r="K23" s="18">
        <f t="shared" si="2"/>
        <v>1.1592266400000001E-2</v>
      </c>
      <c r="L23" s="18">
        <f t="shared" si="3"/>
        <v>38.629295733600003</v>
      </c>
      <c r="M23" s="18">
        <f t="shared" si="4"/>
        <v>6798.756049113601</v>
      </c>
      <c r="N23" s="18">
        <f t="shared" si="5"/>
        <v>9.5834723781209233E-2</v>
      </c>
      <c r="O23" s="115"/>
      <c r="P23" s="19" t="s">
        <v>57</v>
      </c>
    </row>
    <row r="24" spans="1:16" ht="26.25" customHeight="1" x14ac:dyDescent="0.25">
      <c r="A24" s="12" t="s">
        <v>58</v>
      </c>
      <c r="B24" s="12" t="s">
        <v>39</v>
      </c>
      <c r="C24" s="13" t="s">
        <v>59</v>
      </c>
      <c r="D24" s="13" t="s">
        <v>41</v>
      </c>
      <c r="E24" s="14" t="s">
        <v>60</v>
      </c>
      <c r="F24" s="15" t="s">
        <v>43</v>
      </c>
      <c r="G24" s="16">
        <v>176</v>
      </c>
      <c r="H24" s="17">
        <v>27.2</v>
      </c>
      <c r="I24" s="18">
        <f t="shared" si="0"/>
        <v>6.07104</v>
      </c>
      <c r="J24" s="18">
        <f t="shared" si="1"/>
        <v>33.271039999999999</v>
      </c>
      <c r="K24" s="18">
        <f t="shared" si="2"/>
        <v>9.9813119999999991E-3</v>
      </c>
      <c r="L24" s="18">
        <f t="shared" si="3"/>
        <v>33.261058687999999</v>
      </c>
      <c r="M24" s="18">
        <f t="shared" si="4"/>
        <v>5853.9463290879994</v>
      </c>
      <c r="N24" s="18">
        <f t="shared" si="5"/>
        <v>8.2516761217122203E-2</v>
      </c>
      <c r="O24" s="115"/>
    </row>
    <row r="25" spans="1:16" ht="26.25" customHeight="1" x14ac:dyDescent="0.25">
      <c r="A25" s="12" t="s">
        <v>61</v>
      </c>
      <c r="B25" s="12" t="s">
        <v>39</v>
      </c>
      <c r="C25" s="13" t="s">
        <v>59</v>
      </c>
      <c r="D25" s="13" t="s">
        <v>41</v>
      </c>
      <c r="E25" s="14" t="s">
        <v>60</v>
      </c>
      <c r="F25" s="15" t="s">
        <v>43</v>
      </c>
      <c r="G25" s="16">
        <v>176</v>
      </c>
      <c r="H25" s="17">
        <v>27.2</v>
      </c>
      <c r="I25" s="18">
        <f t="shared" si="0"/>
        <v>6.07104</v>
      </c>
      <c r="J25" s="18">
        <f t="shared" si="1"/>
        <v>33.271039999999999</v>
      </c>
      <c r="K25" s="18">
        <f t="shared" si="2"/>
        <v>9.9813119999999991E-3</v>
      </c>
      <c r="L25" s="18">
        <f t="shared" si="3"/>
        <v>33.261058687999999</v>
      </c>
      <c r="M25" s="18">
        <f t="shared" si="4"/>
        <v>5853.9463290879994</v>
      </c>
      <c r="N25" s="18">
        <f t="shared" si="5"/>
        <v>8.2516761217122203E-2</v>
      </c>
      <c r="O25" s="115"/>
    </row>
    <row r="26" spans="1:16" ht="26.25" customHeight="1" x14ac:dyDescent="0.25">
      <c r="A26" s="12" t="s">
        <v>62</v>
      </c>
      <c r="B26" s="12" t="s">
        <v>39</v>
      </c>
      <c r="C26" s="13" t="s">
        <v>59</v>
      </c>
      <c r="D26" s="13" t="s">
        <v>41</v>
      </c>
      <c r="E26" s="14" t="s">
        <v>60</v>
      </c>
      <c r="F26" s="15" t="s">
        <v>43</v>
      </c>
      <c r="G26" s="16">
        <v>176</v>
      </c>
      <c r="H26" s="17">
        <v>27.2</v>
      </c>
      <c r="I26" s="18">
        <f t="shared" si="0"/>
        <v>6.07104</v>
      </c>
      <c r="J26" s="18">
        <f t="shared" si="1"/>
        <v>33.271039999999999</v>
      </c>
      <c r="K26" s="18">
        <f t="shared" si="2"/>
        <v>9.9813119999999991E-3</v>
      </c>
      <c r="L26" s="18">
        <f t="shared" si="3"/>
        <v>33.261058687999999</v>
      </c>
      <c r="M26" s="18">
        <f t="shared" si="4"/>
        <v>5853.9463290879994</v>
      </c>
      <c r="N26" s="18">
        <f t="shared" si="5"/>
        <v>8.2516761217122203E-2</v>
      </c>
      <c r="O26" s="115"/>
    </row>
    <row r="27" spans="1:16" ht="26.25" customHeight="1" x14ac:dyDescent="0.25">
      <c r="A27" s="12" t="s">
        <v>63</v>
      </c>
      <c r="B27" s="12" t="s">
        <v>39</v>
      </c>
      <c r="C27" s="13" t="s">
        <v>64</v>
      </c>
      <c r="D27" s="13" t="s">
        <v>41</v>
      </c>
      <c r="E27" s="14" t="s">
        <v>65</v>
      </c>
      <c r="F27" s="15" t="s">
        <v>43</v>
      </c>
      <c r="G27" s="16">
        <v>176</v>
      </c>
      <c r="H27" s="17">
        <v>27.16</v>
      </c>
      <c r="I27" s="18">
        <f t="shared" si="0"/>
        <v>6.0621119999999999</v>
      </c>
      <c r="J27" s="18">
        <f t="shared" si="1"/>
        <v>33.222112000000003</v>
      </c>
      <c r="K27" s="18">
        <f t="shared" si="2"/>
        <v>9.9666336000000001E-3</v>
      </c>
      <c r="L27" s="18">
        <f t="shared" si="3"/>
        <v>33.212145366400001</v>
      </c>
      <c r="M27" s="18">
        <f t="shared" si="4"/>
        <v>5845.3375844864004</v>
      </c>
      <c r="N27" s="18">
        <f t="shared" si="5"/>
        <v>8.2395413038861748E-2</v>
      </c>
      <c r="O27" s="115"/>
    </row>
    <row r="28" spans="1:16" ht="26.25" customHeight="1" x14ac:dyDescent="0.25">
      <c r="A28" s="12" t="s">
        <v>66</v>
      </c>
      <c r="B28" s="12" t="s">
        <v>39</v>
      </c>
      <c r="C28" s="13" t="s">
        <v>64</v>
      </c>
      <c r="D28" s="13" t="s">
        <v>41</v>
      </c>
      <c r="E28" s="14" t="s">
        <v>65</v>
      </c>
      <c r="F28" s="15" t="s">
        <v>43</v>
      </c>
      <c r="G28" s="16">
        <v>176</v>
      </c>
      <c r="H28" s="17">
        <v>27.16</v>
      </c>
      <c r="I28" s="18">
        <f t="shared" si="0"/>
        <v>6.0621119999999999</v>
      </c>
      <c r="J28" s="18">
        <f t="shared" si="1"/>
        <v>33.222112000000003</v>
      </c>
      <c r="K28" s="18">
        <f t="shared" si="2"/>
        <v>9.9666336000000001E-3</v>
      </c>
      <c r="L28" s="18">
        <f t="shared" si="3"/>
        <v>33.212145366400001</v>
      </c>
      <c r="M28" s="18">
        <f t="shared" si="4"/>
        <v>5845.3375844864004</v>
      </c>
      <c r="N28" s="18">
        <f t="shared" si="5"/>
        <v>8.2395413038861748E-2</v>
      </c>
      <c r="O28" s="115"/>
    </row>
    <row r="29" spans="1:16" x14ac:dyDescent="0.25">
      <c r="A29" s="116" t="s">
        <v>21</v>
      </c>
      <c r="B29" s="117" t="s">
        <v>22</v>
      </c>
      <c r="C29" s="117" t="s">
        <v>23</v>
      </c>
      <c r="D29" s="117" t="s">
        <v>24</v>
      </c>
      <c r="E29" s="117" t="s">
        <v>25</v>
      </c>
      <c r="F29" s="117" t="s">
        <v>26</v>
      </c>
      <c r="G29" s="117" t="s">
        <v>27</v>
      </c>
      <c r="H29" s="118" t="s">
        <v>28</v>
      </c>
      <c r="I29" s="118"/>
      <c r="J29" s="118"/>
      <c r="K29" s="118"/>
      <c r="L29" s="118"/>
      <c r="M29" s="117" t="s">
        <v>29</v>
      </c>
      <c r="N29" s="117" t="s">
        <v>30</v>
      </c>
      <c r="O29" s="115"/>
    </row>
    <row r="30" spans="1:16" ht="16.5" customHeight="1" x14ac:dyDescent="0.25">
      <c r="A30" s="116"/>
      <c r="B30" s="117"/>
      <c r="C30" s="117"/>
      <c r="D30" s="117"/>
      <c r="E30" s="117"/>
      <c r="F30" s="117"/>
      <c r="G30" s="117"/>
      <c r="H30" s="2" t="s">
        <v>32</v>
      </c>
      <c r="I30" s="20" t="s">
        <v>67</v>
      </c>
      <c r="J30" s="2" t="s">
        <v>34</v>
      </c>
      <c r="K30" s="1" t="s">
        <v>35</v>
      </c>
      <c r="L30" s="2" t="s">
        <v>36</v>
      </c>
      <c r="M30" s="117"/>
      <c r="N30" s="117"/>
      <c r="O30" s="115"/>
    </row>
    <row r="31" spans="1:16" ht="16.5" customHeight="1" x14ac:dyDescent="0.25">
      <c r="A31" s="21">
        <v>2</v>
      </c>
      <c r="B31" s="119" t="s">
        <v>68</v>
      </c>
      <c r="C31" s="119"/>
      <c r="D31" s="119"/>
      <c r="E31" s="119"/>
      <c r="F31" s="119"/>
      <c r="G31" s="22"/>
      <c r="H31" s="22"/>
      <c r="I31" s="22"/>
      <c r="J31" s="22"/>
      <c r="K31" s="22"/>
      <c r="L31" s="22"/>
      <c r="M31" s="23">
        <f>SUM(M32:M66)</f>
        <v>20481.312049713837</v>
      </c>
      <c r="N31" s="22"/>
      <c r="O31" s="115"/>
    </row>
    <row r="32" spans="1:16" s="28" customFormat="1" ht="16.5" customHeight="1" x14ac:dyDescent="0.2">
      <c r="A32" s="24" t="s">
        <v>69</v>
      </c>
      <c r="B32" s="24" t="s">
        <v>70</v>
      </c>
      <c r="C32" s="25">
        <v>377</v>
      </c>
      <c r="D32" s="24" t="s">
        <v>41</v>
      </c>
      <c r="E32" s="26" t="s">
        <v>71</v>
      </c>
      <c r="F32" s="24" t="s">
        <v>26</v>
      </c>
      <c r="G32" s="24">
        <v>50</v>
      </c>
      <c r="H32" s="27">
        <v>41.71</v>
      </c>
      <c r="I32" s="18">
        <f t="shared" ref="I32:I63" si="6">H32*0.1532</f>
        <v>6.3899720000000002</v>
      </c>
      <c r="J32" s="18">
        <f t="shared" ref="J32:J63" si="7">H32+I32</f>
        <v>48.099972000000001</v>
      </c>
      <c r="K32" s="18">
        <f t="shared" ref="K32:K63" si="8">J32*(0.03%)</f>
        <v>1.4429991599999999E-2</v>
      </c>
      <c r="L32" s="18">
        <f t="shared" ref="L32:L63" si="9">J32-K32</f>
        <v>48.085542008400004</v>
      </c>
      <c r="M32" s="18">
        <f t="shared" ref="M32:M63" si="10">L32*G32</f>
        <v>2404.2771004200004</v>
      </c>
      <c r="N32" s="18">
        <f t="shared" ref="N32:N63" si="11">M32/M31</f>
        <v>0.11738882228756398</v>
      </c>
      <c r="O32" s="115"/>
    </row>
    <row r="33" spans="1:15" s="28" customFormat="1" ht="16.5" customHeight="1" x14ac:dyDescent="0.2">
      <c r="A33" s="24" t="s">
        <v>72</v>
      </c>
      <c r="B33" s="24" t="s">
        <v>70</v>
      </c>
      <c r="C33" s="29" t="s">
        <v>73</v>
      </c>
      <c r="D33" s="29" t="s">
        <v>74</v>
      </c>
      <c r="E33" s="30" t="s">
        <v>75</v>
      </c>
      <c r="F33" s="24" t="s">
        <v>26</v>
      </c>
      <c r="G33" s="24">
        <v>40</v>
      </c>
      <c r="H33" s="17">
        <v>78.3</v>
      </c>
      <c r="I33" s="18">
        <f t="shared" si="6"/>
        <v>11.995559999999999</v>
      </c>
      <c r="J33" s="18">
        <f t="shared" si="7"/>
        <v>90.295559999999995</v>
      </c>
      <c r="K33" s="18">
        <f t="shared" si="8"/>
        <v>2.7088667999999996E-2</v>
      </c>
      <c r="L33" s="18">
        <f t="shared" si="9"/>
        <v>90.26847133199999</v>
      </c>
      <c r="M33" s="18">
        <f t="shared" si="10"/>
        <v>3610.7388532799996</v>
      </c>
      <c r="N33" s="18">
        <f t="shared" si="11"/>
        <v>1.5017981299448571</v>
      </c>
      <c r="O33" s="115"/>
    </row>
    <row r="34" spans="1:15" s="28" customFormat="1" ht="16.5" customHeight="1" x14ac:dyDescent="0.2">
      <c r="A34" s="24" t="s">
        <v>76</v>
      </c>
      <c r="B34" s="24" t="s">
        <v>70</v>
      </c>
      <c r="C34" s="24">
        <v>12815</v>
      </c>
      <c r="D34" s="24" t="s">
        <v>41</v>
      </c>
      <c r="E34" s="31" t="s">
        <v>77</v>
      </c>
      <c r="F34" s="24" t="s">
        <v>26</v>
      </c>
      <c r="G34" s="24">
        <v>10</v>
      </c>
      <c r="H34" s="32">
        <v>10.89</v>
      </c>
      <c r="I34" s="18">
        <f t="shared" si="6"/>
        <v>1.6683480000000002</v>
      </c>
      <c r="J34" s="18">
        <f t="shared" si="7"/>
        <v>12.558348000000001</v>
      </c>
      <c r="K34" s="18">
        <f t="shared" si="8"/>
        <v>3.7675043999999998E-3</v>
      </c>
      <c r="L34" s="18">
        <f t="shared" si="9"/>
        <v>12.5545804956</v>
      </c>
      <c r="M34" s="18">
        <f t="shared" si="10"/>
        <v>125.545804956</v>
      </c>
      <c r="N34" s="18">
        <f t="shared" si="11"/>
        <v>3.477011494252874E-2</v>
      </c>
      <c r="O34" s="115"/>
    </row>
    <row r="35" spans="1:15" s="28" customFormat="1" ht="16.5" customHeight="1" x14ac:dyDescent="0.2">
      <c r="A35" s="24" t="s">
        <v>78</v>
      </c>
      <c r="B35" s="24" t="s">
        <v>70</v>
      </c>
      <c r="C35" s="24">
        <v>4823</v>
      </c>
      <c r="D35" s="24" t="s">
        <v>41</v>
      </c>
      <c r="E35" s="33" t="s">
        <v>79</v>
      </c>
      <c r="F35" s="24" t="s">
        <v>80</v>
      </c>
      <c r="G35" s="24">
        <v>2</v>
      </c>
      <c r="H35" s="32">
        <v>42.01</v>
      </c>
      <c r="I35" s="18">
        <f t="shared" si="6"/>
        <v>6.4359320000000002</v>
      </c>
      <c r="J35" s="18">
        <f t="shared" si="7"/>
        <v>48.445931999999999</v>
      </c>
      <c r="K35" s="18">
        <f t="shared" si="8"/>
        <v>1.4533779599999998E-2</v>
      </c>
      <c r="L35" s="18">
        <f t="shared" si="9"/>
        <v>48.431398220399998</v>
      </c>
      <c r="M35" s="18">
        <f t="shared" si="10"/>
        <v>96.862796440799997</v>
      </c>
      <c r="N35" s="18">
        <f t="shared" si="11"/>
        <v>0.77153351698806238</v>
      </c>
      <c r="O35" s="115"/>
    </row>
    <row r="36" spans="1:15" x14ac:dyDescent="0.25">
      <c r="A36" s="24" t="s">
        <v>81</v>
      </c>
      <c r="B36" s="24" t="s">
        <v>70</v>
      </c>
      <c r="C36" s="24">
        <v>35692</v>
      </c>
      <c r="D36" s="24" t="s">
        <v>41</v>
      </c>
      <c r="E36" s="26" t="s">
        <v>82</v>
      </c>
      <c r="F36" s="24" t="s">
        <v>83</v>
      </c>
      <c r="G36" s="24">
        <f>18*4</f>
        <v>72</v>
      </c>
      <c r="H36" s="34">
        <v>18.97</v>
      </c>
      <c r="I36" s="18">
        <f t="shared" si="6"/>
        <v>2.9062039999999998</v>
      </c>
      <c r="J36" s="18">
        <f t="shared" si="7"/>
        <v>21.876203999999998</v>
      </c>
      <c r="K36" s="18">
        <f t="shared" si="8"/>
        <v>6.5628611999999989E-3</v>
      </c>
      <c r="L36" s="18">
        <f t="shared" si="9"/>
        <v>21.869641138799999</v>
      </c>
      <c r="M36" s="18">
        <f t="shared" si="10"/>
        <v>1574.6141619936</v>
      </c>
      <c r="N36" s="18">
        <f t="shared" si="11"/>
        <v>16.256129492977863</v>
      </c>
      <c r="O36" s="115"/>
    </row>
    <row r="37" spans="1:15" x14ac:dyDescent="0.25">
      <c r="A37" s="24" t="s">
        <v>84</v>
      </c>
      <c r="B37" s="24" t="s">
        <v>70</v>
      </c>
      <c r="C37" s="24">
        <v>7348</v>
      </c>
      <c r="D37" s="24" t="s">
        <v>41</v>
      </c>
      <c r="E37" s="26" t="s">
        <v>85</v>
      </c>
      <c r="F37" s="24" t="s">
        <v>83</v>
      </c>
      <c r="G37" s="24">
        <v>18</v>
      </c>
      <c r="H37" s="32">
        <v>19.440000000000001</v>
      </c>
      <c r="I37" s="18">
        <f t="shared" si="6"/>
        <v>2.9782080000000004</v>
      </c>
      <c r="J37" s="18">
        <f t="shared" si="7"/>
        <v>22.418208</v>
      </c>
      <c r="K37" s="18">
        <f t="shared" si="8"/>
        <v>6.725462399999999E-3</v>
      </c>
      <c r="L37" s="18">
        <f t="shared" si="9"/>
        <v>22.411482537600001</v>
      </c>
      <c r="M37" s="18">
        <f t="shared" si="10"/>
        <v>403.40668567680001</v>
      </c>
      <c r="N37" s="18">
        <f t="shared" si="11"/>
        <v>0.25619399051133368</v>
      </c>
      <c r="O37" s="115"/>
    </row>
    <row r="38" spans="1:15" s="28" customFormat="1" ht="16.5" customHeight="1" x14ac:dyDescent="0.2">
      <c r="A38" s="24" t="s">
        <v>86</v>
      </c>
      <c r="B38" s="24" t="s">
        <v>70</v>
      </c>
      <c r="C38" s="24">
        <v>367</v>
      </c>
      <c r="D38" s="24" t="s">
        <v>41</v>
      </c>
      <c r="E38" s="33" t="s">
        <v>87</v>
      </c>
      <c r="F38" s="24" t="s">
        <v>88</v>
      </c>
      <c r="G38" s="24">
        <v>5</v>
      </c>
      <c r="H38" s="34">
        <v>60.78</v>
      </c>
      <c r="I38" s="18">
        <f t="shared" si="6"/>
        <v>9.311496</v>
      </c>
      <c r="J38" s="18">
        <f t="shared" si="7"/>
        <v>70.091496000000006</v>
      </c>
      <c r="K38" s="18">
        <f t="shared" si="8"/>
        <v>2.1027448800000001E-2</v>
      </c>
      <c r="L38" s="18">
        <f t="shared" si="9"/>
        <v>70.070468551200008</v>
      </c>
      <c r="M38" s="18">
        <f t="shared" si="10"/>
        <v>350.35234275600004</v>
      </c>
      <c r="N38" s="18">
        <f t="shared" si="11"/>
        <v>0.86848422496570654</v>
      </c>
      <c r="O38" s="115"/>
    </row>
    <row r="39" spans="1:15" s="28" customFormat="1" ht="16.5" customHeight="1" x14ac:dyDescent="0.2">
      <c r="A39" s="24" t="s">
        <v>89</v>
      </c>
      <c r="B39" s="24" t="s">
        <v>70</v>
      </c>
      <c r="C39" s="24">
        <v>1379</v>
      </c>
      <c r="D39" s="24" t="s">
        <v>41</v>
      </c>
      <c r="E39" s="26" t="s">
        <v>90</v>
      </c>
      <c r="F39" s="24" t="s">
        <v>26</v>
      </c>
      <c r="G39" s="24">
        <f>50*50</f>
        <v>2500</v>
      </c>
      <c r="H39" s="32">
        <v>0.57999999999999996</v>
      </c>
      <c r="I39" s="18">
        <f t="shared" si="6"/>
        <v>8.8855999999999991E-2</v>
      </c>
      <c r="J39" s="18">
        <f t="shared" si="7"/>
        <v>0.6688559999999999</v>
      </c>
      <c r="K39" s="18">
        <f t="shared" si="8"/>
        <v>2.0065679999999996E-4</v>
      </c>
      <c r="L39" s="18">
        <f t="shared" si="9"/>
        <v>0.66865534319999986</v>
      </c>
      <c r="M39" s="18">
        <f t="shared" si="10"/>
        <v>1671.6383579999997</v>
      </c>
      <c r="N39" s="18">
        <f t="shared" si="11"/>
        <v>4.7713063507732789</v>
      </c>
      <c r="O39" s="115"/>
    </row>
    <row r="40" spans="1:15" s="28" customFormat="1" ht="16.5" customHeight="1" x14ac:dyDescent="0.2">
      <c r="A40" s="24" t="s">
        <v>91</v>
      </c>
      <c r="B40" s="24" t="s">
        <v>70</v>
      </c>
      <c r="C40" s="24">
        <v>11762</v>
      </c>
      <c r="D40" s="24" t="s">
        <v>41</v>
      </c>
      <c r="E40" s="35" t="s">
        <v>92</v>
      </c>
      <c r="F40" s="24" t="s">
        <v>26</v>
      </c>
      <c r="G40" s="24">
        <v>10</v>
      </c>
      <c r="H40" s="32">
        <v>56.5</v>
      </c>
      <c r="I40" s="18">
        <f t="shared" si="6"/>
        <v>8.6557999999999993</v>
      </c>
      <c r="J40" s="18">
        <f t="shared" si="7"/>
        <v>65.155799999999999</v>
      </c>
      <c r="K40" s="18">
        <f t="shared" si="8"/>
        <v>1.9546739999999996E-2</v>
      </c>
      <c r="L40" s="18">
        <f t="shared" si="9"/>
        <v>65.136253260000004</v>
      </c>
      <c r="M40" s="18">
        <f t="shared" si="10"/>
        <v>651.36253260000001</v>
      </c>
      <c r="N40" s="18">
        <f t="shared" si="11"/>
        <v>0.38965517241379316</v>
      </c>
      <c r="O40" s="115"/>
    </row>
    <row r="41" spans="1:15" s="28" customFormat="1" ht="16.5" customHeight="1" x14ac:dyDescent="0.2">
      <c r="A41" s="24" t="s">
        <v>93</v>
      </c>
      <c r="B41" s="24" t="s">
        <v>70</v>
      </c>
      <c r="C41" s="25">
        <v>142</v>
      </c>
      <c r="D41" s="24" t="s">
        <v>41</v>
      </c>
      <c r="E41" s="30" t="s">
        <v>94</v>
      </c>
      <c r="F41" s="24" t="s">
        <v>26</v>
      </c>
      <c r="G41" s="24">
        <v>120</v>
      </c>
      <c r="H41" s="17">
        <v>34.53</v>
      </c>
      <c r="I41" s="18">
        <f t="shared" si="6"/>
        <v>5.2899960000000004</v>
      </c>
      <c r="J41" s="18">
        <f t="shared" si="7"/>
        <v>39.819996000000003</v>
      </c>
      <c r="K41" s="18">
        <f t="shared" si="8"/>
        <v>1.19459988E-2</v>
      </c>
      <c r="L41" s="18">
        <f t="shared" si="9"/>
        <v>39.808050001200002</v>
      </c>
      <c r="M41" s="18">
        <f t="shared" si="10"/>
        <v>4776.9660001440006</v>
      </c>
      <c r="N41" s="18">
        <f t="shared" si="11"/>
        <v>7.3338053097345144</v>
      </c>
      <c r="O41" s="115"/>
    </row>
    <row r="42" spans="1:15" s="28" customFormat="1" ht="16.5" customHeight="1" x14ac:dyDescent="0.2">
      <c r="A42" s="24" t="s">
        <v>95</v>
      </c>
      <c r="B42" s="24" t="s">
        <v>70</v>
      </c>
      <c r="C42" s="25">
        <v>140</v>
      </c>
      <c r="D42" s="24" t="s">
        <v>41</v>
      </c>
      <c r="E42" s="30" t="s">
        <v>96</v>
      </c>
      <c r="F42" s="24" t="s">
        <v>80</v>
      </c>
      <c r="G42" s="24">
        <v>18</v>
      </c>
      <c r="H42" s="34">
        <v>18.93</v>
      </c>
      <c r="I42" s="18">
        <f t="shared" si="6"/>
        <v>2.9000759999999999</v>
      </c>
      <c r="J42" s="18">
        <f t="shared" si="7"/>
        <v>21.830075999999998</v>
      </c>
      <c r="K42" s="18">
        <f t="shared" si="8"/>
        <v>6.5490227999999992E-3</v>
      </c>
      <c r="L42" s="18">
        <f t="shared" si="9"/>
        <v>21.823526977199997</v>
      </c>
      <c r="M42" s="18">
        <f t="shared" si="10"/>
        <v>392.82348558959995</v>
      </c>
      <c r="N42" s="18">
        <f t="shared" si="11"/>
        <v>8.223284100781926E-2</v>
      </c>
      <c r="O42" s="115"/>
    </row>
    <row r="43" spans="1:15" s="28" customFormat="1" ht="16.5" customHeight="1" x14ac:dyDescent="0.2">
      <c r="A43" s="24" t="s">
        <v>97</v>
      </c>
      <c r="B43" s="24" t="s">
        <v>70</v>
      </c>
      <c r="C43" s="24">
        <v>20168</v>
      </c>
      <c r="D43" s="24" t="s">
        <v>41</v>
      </c>
      <c r="E43" s="35" t="s">
        <v>98</v>
      </c>
      <c r="F43" s="24" t="s">
        <v>26</v>
      </c>
      <c r="G43" s="24">
        <v>5</v>
      </c>
      <c r="H43" s="34">
        <v>11.05</v>
      </c>
      <c r="I43" s="18">
        <f t="shared" si="6"/>
        <v>1.69286</v>
      </c>
      <c r="J43" s="18">
        <f t="shared" si="7"/>
        <v>12.74286</v>
      </c>
      <c r="K43" s="18">
        <f t="shared" si="8"/>
        <v>3.8228579999999997E-3</v>
      </c>
      <c r="L43" s="18">
        <f t="shared" si="9"/>
        <v>12.739037142000001</v>
      </c>
      <c r="M43" s="18">
        <f t="shared" si="10"/>
        <v>63.695185710000004</v>
      </c>
      <c r="N43" s="18">
        <f t="shared" si="11"/>
        <v>0.16214709162411226</v>
      </c>
      <c r="O43" s="115"/>
    </row>
    <row r="44" spans="1:15" s="28" customFormat="1" ht="16.5" customHeight="1" x14ac:dyDescent="0.2">
      <c r="A44" s="24" t="s">
        <v>99</v>
      </c>
      <c r="B44" s="24" t="s">
        <v>70</v>
      </c>
      <c r="C44" s="13">
        <v>4791</v>
      </c>
      <c r="D44" s="24" t="s">
        <v>41</v>
      </c>
      <c r="E44" s="36" t="s">
        <v>100</v>
      </c>
      <c r="F44" s="24" t="s">
        <v>80</v>
      </c>
      <c r="G44" s="24">
        <f>2.8*4</f>
        <v>11.2</v>
      </c>
      <c r="H44" s="32">
        <v>47.3</v>
      </c>
      <c r="I44" s="18">
        <f t="shared" si="6"/>
        <v>7.2463600000000001</v>
      </c>
      <c r="J44" s="18">
        <f t="shared" si="7"/>
        <v>54.54636</v>
      </c>
      <c r="K44" s="18">
        <f t="shared" si="8"/>
        <v>1.6363908E-2</v>
      </c>
      <c r="L44" s="18">
        <f t="shared" si="9"/>
        <v>54.529996091999998</v>
      </c>
      <c r="M44" s="18">
        <f t="shared" si="10"/>
        <v>610.73595623039989</v>
      </c>
      <c r="N44" s="18">
        <f t="shared" si="11"/>
        <v>9.5884162895927574</v>
      </c>
      <c r="O44" s="115"/>
    </row>
    <row r="45" spans="1:15" s="37" customFormat="1" ht="16.5" customHeight="1" x14ac:dyDescent="0.2">
      <c r="A45" s="24" t="s">
        <v>101</v>
      </c>
      <c r="B45" s="24" t="s">
        <v>70</v>
      </c>
      <c r="C45" s="25">
        <v>3315</v>
      </c>
      <c r="D45" s="24" t="s">
        <v>41</v>
      </c>
      <c r="E45" s="30" t="s">
        <v>102</v>
      </c>
      <c r="F45" s="24" t="s">
        <v>80</v>
      </c>
      <c r="G45" s="24">
        <v>5</v>
      </c>
      <c r="H45" s="34">
        <v>0.74</v>
      </c>
      <c r="I45" s="18">
        <f t="shared" si="6"/>
        <v>0.113368</v>
      </c>
      <c r="J45" s="18">
        <f t="shared" si="7"/>
        <v>0.85336800000000002</v>
      </c>
      <c r="K45" s="18">
        <f t="shared" si="8"/>
        <v>2.5601039999999996E-4</v>
      </c>
      <c r="L45" s="18">
        <f t="shared" si="9"/>
        <v>0.85311198960000001</v>
      </c>
      <c r="M45" s="18">
        <f t="shared" si="10"/>
        <v>4.2655599479999999</v>
      </c>
      <c r="N45" s="18">
        <f t="shared" si="11"/>
        <v>6.9842947749924507E-3</v>
      </c>
      <c r="O45" s="115"/>
    </row>
    <row r="46" spans="1:15" x14ac:dyDescent="0.25">
      <c r="A46" s="24" t="s">
        <v>103</v>
      </c>
      <c r="B46" s="24" t="s">
        <v>70</v>
      </c>
      <c r="C46" s="24">
        <v>43649</v>
      </c>
      <c r="D46" s="24" t="s">
        <v>41</v>
      </c>
      <c r="E46" s="36" t="s">
        <v>104</v>
      </c>
      <c r="F46" s="24" t="s">
        <v>83</v>
      </c>
      <c r="G46" s="24">
        <v>7.2</v>
      </c>
      <c r="H46" s="32">
        <v>42.98</v>
      </c>
      <c r="I46" s="18">
        <f t="shared" si="6"/>
        <v>6.5845359999999999</v>
      </c>
      <c r="J46" s="18">
        <f t="shared" si="7"/>
        <v>49.564535999999997</v>
      </c>
      <c r="K46" s="18">
        <f t="shared" si="8"/>
        <v>1.4869360799999998E-2</v>
      </c>
      <c r="L46" s="18">
        <f t="shared" si="9"/>
        <v>49.549666639199998</v>
      </c>
      <c r="M46" s="18">
        <f t="shared" si="10"/>
        <v>356.75759980224001</v>
      </c>
      <c r="N46" s="18">
        <f t="shared" si="11"/>
        <v>83.636756756756753</v>
      </c>
      <c r="O46" s="115"/>
    </row>
    <row r="47" spans="1:15" s="28" customFormat="1" ht="16.5" customHeight="1" x14ac:dyDescent="0.2">
      <c r="A47" s="24" t="s">
        <v>105</v>
      </c>
      <c r="B47" s="24" t="s">
        <v>70</v>
      </c>
      <c r="C47" s="24">
        <v>43132</v>
      </c>
      <c r="D47" s="24" t="s">
        <v>41</v>
      </c>
      <c r="E47" s="26" t="s">
        <v>106</v>
      </c>
      <c r="F47" s="24" t="s">
        <v>107</v>
      </c>
      <c r="G47" s="24">
        <v>6</v>
      </c>
      <c r="H47" s="32">
        <v>23.18</v>
      </c>
      <c r="I47" s="18">
        <f t="shared" si="6"/>
        <v>3.5511759999999999</v>
      </c>
      <c r="J47" s="18">
        <f t="shared" si="7"/>
        <v>26.731175999999998</v>
      </c>
      <c r="K47" s="18">
        <f t="shared" si="8"/>
        <v>8.019352799999999E-3</v>
      </c>
      <c r="L47" s="18">
        <f t="shared" si="9"/>
        <v>26.723156647199996</v>
      </c>
      <c r="M47" s="18">
        <f t="shared" si="10"/>
        <v>160.33893988319997</v>
      </c>
      <c r="N47" s="18">
        <f t="shared" si="11"/>
        <v>0.44943384519931739</v>
      </c>
      <c r="O47" s="115"/>
    </row>
    <row r="48" spans="1:15" s="28" customFormat="1" ht="16.5" customHeight="1" x14ac:dyDescent="0.2">
      <c r="A48" s="24" t="s">
        <v>108</v>
      </c>
      <c r="B48" s="24" t="s">
        <v>70</v>
      </c>
      <c r="C48" s="24">
        <v>11621</v>
      </c>
      <c r="D48" s="24" t="s">
        <v>41</v>
      </c>
      <c r="E48" s="38" t="s">
        <v>109</v>
      </c>
      <c r="F48" s="24" t="s">
        <v>110</v>
      </c>
      <c r="G48" s="24">
        <v>15</v>
      </c>
      <c r="H48" s="32">
        <v>57.96</v>
      </c>
      <c r="I48" s="18">
        <f t="shared" si="6"/>
        <v>8.8794719999999998</v>
      </c>
      <c r="J48" s="18">
        <f t="shared" si="7"/>
        <v>66.839472000000001</v>
      </c>
      <c r="K48" s="18">
        <f t="shared" si="8"/>
        <v>2.0051841599999998E-2</v>
      </c>
      <c r="L48" s="18">
        <f t="shared" si="9"/>
        <v>66.819420158400007</v>
      </c>
      <c r="M48" s="18">
        <f t="shared" si="10"/>
        <v>1002.2913023760001</v>
      </c>
      <c r="N48" s="18">
        <f t="shared" si="11"/>
        <v>6.2510785159620381</v>
      </c>
      <c r="O48" s="115"/>
    </row>
    <row r="49" spans="1:15" s="28" customFormat="1" ht="16.5" customHeight="1" x14ac:dyDescent="0.2">
      <c r="A49" s="24" t="s">
        <v>111</v>
      </c>
      <c r="B49" s="24" t="s">
        <v>70</v>
      </c>
      <c r="C49" s="24">
        <v>1748</v>
      </c>
      <c r="D49" s="24" t="s">
        <v>41</v>
      </c>
      <c r="E49" s="26" t="s">
        <v>112</v>
      </c>
      <c r="F49" s="24" t="s">
        <v>26</v>
      </c>
      <c r="G49" s="24">
        <v>2</v>
      </c>
      <c r="H49" s="32">
        <v>307.26</v>
      </c>
      <c r="I49" s="18">
        <f t="shared" si="6"/>
        <v>47.072232</v>
      </c>
      <c r="J49" s="18">
        <f t="shared" si="7"/>
        <v>354.33223199999998</v>
      </c>
      <c r="K49" s="18">
        <f t="shared" si="8"/>
        <v>0.10629966959999998</v>
      </c>
      <c r="L49" s="18">
        <f t="shared" si="9"/>
        <v>354.22593233039998</v>
      </c>
      <c r="M49" s="18">
        <f t="shared" si="10"/>
        <v>708.45186466079997</v>
      </c>
      <c r="N49" s="18">
        <f t="shared" si="11"/>
        <v>0.70683229813664583</v>
      </c>
      <c r="O49" s="115"/>
    </row>
    <row r="50" spans="1:15" s="28" customFormat="1" ht="16.5" customHeight="1" x14ac:dyDescent="0.2">
      <c r="A50" s="24" t="s">
        <v>113</v>
      </c>
      <c r="B50" s="24" t="s">
        <v>70</v>
      </c>
      <c r="C50" s="24">
        <v>2180</v>
      </c>
      <c r="D50" s="24" t="s">
        <v>114</v>
      </c>
      <c r="E50" s="26" t="s">
        <v>115</v>
      </c>
      <c r="F50" s="24" t="s">
        <v>116</v>
      </c>
      <c r="G50" s="24">
        <v>150</v>
      </c>
      <c r="H50" s="32">
        <v>2.1800000000000002</v>
      </c>
      <c r="I50" s="18">
        <f t="shared" si="6"/>
        <v>0.33397600000000005</v>
      </c>
      <c r="J50" s="18">
        <f t="shared" si="7"/>
        <v>2.5139760000000004</v>
      </c>
      <c r="K50" s="18">
        <f t="shared" si="8"/>
        <v>7.5419280000000005E-4</v>
      </c>
      <c r="L50" s="18">
        <f t="shared" si="9"/>
        <v>2.5132218072000003</v>
      </c>
      <c r="M50" s="18">
        <f t="shared" si="10"/>
        <v>376.98327108000007</v>
      </c>
      <c r="N50" s="18">
        <f t="shared" si="11"/>
        <v>0.53212263229837931</v>
      </c>
      <c r="O50" s="115"/>
    </row>
    <row r="51" spans="1:15" s="28" customFormat="1" ht="16.5" customHeight="1" x14ac:dyDescent="0.2">
      <c r="A51" s="24" t="s">
        <v>117</v>
      </c>
      <c r="B51" s="24" t="s">
        <v>70</v>
      </c>
      <c r="C51" s="13">
        <v>122</v>
      </c>
      <c r="D51" s="13" t="s">
        <v>41</v>
      </c>
      <c r="E51" s="30" t="s">
        <v>118</v>
      </c>
      <c r="F51" s="39" t="s">
        <v>26</v>
      </c>
      <c r="G51" s="40">
        <v>3</v>
      </c>
      <c r="H51" s="17">
        <v>58.32</v>
      </c>
      <c r="I51" s="18">
        <f t="shared" si="6"/>
        <v>8.9346239999999995</v>
      </c>
      <c r="J51" s="18">
        <f t="shared" si="7"/>
        <v>67.254624000000007</v>
      </c>
      <c r="K51" s="18">
        <f t="shared" si="8"/>
        <v>2.01763872E-2</v>
      </c>
      <c r="L51" s="18">
        <f t="shared" si="9"/>
        <v>67.234447612800011</v>
      </c>
      <c r="M51" s="18">
        <f t="shared" si="10"/>
        <v>201.70334283840003</v>
      </c>
      <c r="N51" s="18">
        <f t="shared" si="11"/>
        <v>0.53504587155963301</v>
      </c>
      <c r="O51" s="115"/>
    </row>
    <row r="52" spans="1:15" s="28" customFormat="1" ht="16.5" customHeight="1" x14ac:dyDescent="0.2">
      <c r="A52" s="24" t="s">
        <v>119</v>
      </c>
      <c r="B52" s="24" t="s">
        <v>70</v>
      </c>
      <c r="C52" s="25">
        <v>44945</v>
      </c>
      <c r="D52" s="24" t="s">
        <v>41</v>
      </c>
      <c r="E52" s="30" t="s">
        <v>120</v>
      </c>
      <c r="F52" s="24" t="s">
        <v>26</v>
      </c>
      <c r="G52" s="24">
        <v>20</v>
      </c>
      <c r="H52" s="34">
        <v>10.8</v>
      </c>
      <c r="I52" s="18">
        <f t="shared" si="6"/>
        <v>1.65456</v>
      </c>
      <c r="J52" s="18">
        <f t="shared" si="7"/>
        <v>12.454560000000001</v>
      </c>
      <c r="K52" s="18">
        <f t="shared" si="8"/>
        <v>3.7363679999999999E-3</v>
      </c>
      <c r="L52" s="18">
        <f t="shared" si="9"/>
        <v>12.450823632000001</v>
      </c>
      <c r="M52" s="18">
        <f t="shared" si="10"/>
        <v>249.01647264000002</v>
      </c>
      <c r="N52" s="18">
        <f t="shared" si="11"/>
        <v>1.2345679012345678</v>
      </c>
      <c r="O52" s="115"/>
    </row>
    <row r="53" spans="1:15" s="28" customFormat="1" ht="16.5" customHeight="1" x14ac:dyDescent="0.2">
      <c r="A53" s="24" t="s">
        <v>121</v>
      </c>
      <c r="B53" s="24" t="s">
        <v>70</v>
      </c>
      <c r="C53" s="24">
        <v>4375</v>
      </c>
      <c r="D53" s="24" t="s">
        <v>41</v>
      </c>
      <c r="E53" s="41" t="s">
        <v>122</v>
      </c>
      <c r="F53" s="24" t="s">
        <v>26</v>
      </c>
      <c r="G53" s="24">
        <v>100</v>
      </c>
      <c r="H53" s="32">
        <v>0.09</v>
      </c>
      <c r="I53" s="18">
        <f t="shared" si="6"/>
        <v>1.3788E-2</v>
      </c>
      <c r="J53" s="18">
        <f t="shared" si="7"/>
        <v>0.10378799999999999</v>
      </c>
      <c r="K53" s="18">
        <f t="shared" si="8"/>
        <v>3.1136399999999996E-5</v>
      </c>
      <c r="L53" s="18">
        <f t="shared" si="9"/>
        <v>0.10375686359999998</v>
      </c>
      <c r="M53" s="18">
        <f t="shared" si="10"/>
        <v>10.375686359999998</v>
      </c>
      <c r="N53" s="18">
        <f t="shared" si="11"/>
        <v>4.1666666666666657E-2</v>
      </c>
      <c r="O53" s="115"/>
    </row>
    <row r="54" spans="1:15" s="28" customFormat="1" ht="16.5" customHeight="1" x14ac:dyDescent="0.2">
      <c r="A54" s="24" t="s">
        <v>123</v>
      </c>
      <c r="B54" s="24" t="s">
        <v>70</v>
      </c>
      <c r="C54" s="24">
        <v>4376</v>
      </c>
      <c r="D54" s="24" t="s">
        <v>41</v>
      </c>
      <c r="E54" s="42" t="s">
        <v>124</v>
      </c>
      <c r="F54" s="24" t="s">
        <v>26</v>
      </c>
      <c r="G54" s="24">
        <v>100</v>
      </c>
      <c r="H54" s="32">
        <v>0.17</v>
      </c>
      <c r="I54" s="18">
        <f t="shared" si="6"/>
        <v>2.6044000000000001E-2</v>
      </c>
      <c r="J54" s="18">
        <f t="shared" si="7"/>
        <v>0.19604400000000002</v>
      </c>
      <c r="K54" s="18">
        <f t="shared" si="8"/>
        <v>5.8813200000000001E-5</v>
      </c>
      <c r="L54" s="18">
        <f t="shared" si="9"/>
        <v>0.19598518680000002</v>
      </c>
      <c r="M54" s="18">
        <f t="shared" si="10"/>
        <v>19.598518680000002</v>
      </c>
      <c r="N54" s="18">
        <f t="shared" si="11"/>
        <v>1.8888888888888895</v>
      </c>
      <c r="O54" s="115"/>
    </row>
    <row r="55" spans="1:15" s="28" customFormat="1" ht="16.5" customHeight="1" x14ac:dyDescent="0.2">
      <c r="A55" s="24" t="s">
        <v>125</v>
      </c>
      <c r="B55" s="24" t="s">
        <v>70</v>
      </c>
      <c r="C55" s="24">
        <v>3526</v>
      </c>
      <c r="D55" s="24" t="s">
        <v>41</v>
      </c>
      <c r="E55" s="26" t="s">
        <v>126</v>
      </c>
      <c r="F55" s="24" t="s">
        <v>26</v>
      </c>
      <c r="G55" s="24">
        <v>5</v>
      </c>
      <c r="H55" s="32">
        <v>3.34</v>
      </c>
      <c r="I55" s="18">
        <f t="shared" si="6"/>
        <v>0.51168800000000003</v>
      </c>
      <c r="J55" s="18">
        <f t="shared" si="7"/>
        <v>3.8516879999999998</v>
      </c>
      <c r="K55" s="18">
        <f t="shared" si="8"/>
        <v>1.1555063999999999E-3</v>
      </c>
      <c r="L55" s="18">
        <f t="shared" si="9"/>
        <v>3.8505324935999998</v>
      </c>
      <c r="M55" s="18">
        <f t="shared" si="10"/>
        <v>19.252662468</v>
      </c>
      <c r="N55" s="18">
        <f t="shared" si="11"/>
        <v>0.98235294117647054</v>
      </c>
      <c r="O55" s="115"/>
    </row>
    <row r="56" spans="1:15" s="28" customFormat="1" ht="16.5" customHeight="1" x14ac:dyDescent="0.2">
      <c r="A56" s="24" t="s">
        <v>127</v>
      </c>
      <c r="B56" s="24" t="s">
        <v>70</v>
      </c>
      <c r="C56" s="24">
        <v>11058</v>
      </c>
      <c r="D56" s="24" t="s">
        <v>41</v>
      </c>
      <c r="E56" s="26" t="s">
        <v>128</v>
      </c>
      <c r="F56" s="24" t="s">
        <v>26</v>
      </c>
      <c r="G56" s="24">
        <v>100</v>
      </c>
      <c r="H56" s="32">
        <v>0.52</v>
      </c>
      <c r="I56" s="18">
        <f t="shared" si="6"/>
        <v>7.9663999999999999E-2</v>
      </c>
      <c r="J56" s="18">
        <f t="shared" si="7"/>
        <v>0.59966399999999997</v>
      </c>
      <c r="K56" s="18">
        <f t="shared" si="8"/>
        <v>1.7989919999999998E-4</v>
      </c>
      <c r="L56" s="18">
        <f t="shared" si="9"/>
        <v>0.59948410079999992</v>
      </c>
      <c r="M56" s="18">
        <f t="shared" si="10"/>
        <v>59.948410079999995</v>
      </c>
      <c r="N56" s="18">
        <f t="shared" si="11"/>
        <v>3.11377245508982</v>
      </c>
      <c r="O56" s="115"/>
    </row>
    <row r="57" spans="1:15" s="46" customFormat="1" ht="16.5" customHeight="1" x14ac:dyDescent="0.2">
      <c r="A57" s="24" t="s">
        <v>129</v>
      </c>
      <c r="B57" s="24" t="s">
        <v>70</v>
      </c>
      <c r="C57" s="43">
        <v>11057</v>
      </c>
      <c r="D57" s="24" t="s">
        <v>41</v>
      </c>
      <c r="E57" s="44" t="s">
        <v>130</v>
      </c>
      <c r="F57" s="24" t="s">
        <v>26</v>
      </c>
      <c r="G57" s="43">
        <v>100</v>
      </c>
      <c r="H57" s="45">
        <v>0.2</v>
      </c>
      <c r="I57" s="18">
        <f t="shared" si="6"/>
        <v>3.0640000000000001E-2</v>
      </c>
      <c r="J57" s="18">
        <f t="shared" si="7"/>
        <v>0.23064000000000001</v>
      </c>
      <c r="K57" s="18">
        <f t="shared" si="8"/>
        <v>6.9191999999999998E-5</v>
      </c>
      <c r="L57" s="18">
        <f t="shared" si="9"/>
        <v>0.23057080800000002</v>
      </c>
      <c r="M57" s="18">
        <f t="shared" si="10"/>
        <v>23.057080800000001</v>
      </c>
      <c r="N57" s="18">
        <f t="shared" si="11"/>
        <v>0.38461538461538469</v>
      </c>
      <c r="O57" s="115"/>
    </row>
    <row r="58" spans="1:15" s="28" customFormat="1" ht="16.5" customHeight="1" x14ac:dyDescent="0.2">
      <c r="A58" s="24" t="s">
        <v>131</v>
      </c>
      <c r="B58" s="24" t="s">
        <v>70</v>
      </c>
      <c r="C58" s="24">
        <v>65</v>
      </c>
      <c r="D58" s="24" t="s">
        <v>41</v>
      </c>
      <c r="E58" s="42" t="s">
        <v>132</v>
      </c>
      <c r="F58" s="24" t="s">
        <v>26</v>
      </c>
      <c r="G58" s="24">
        <v>10</v>
      </c>
      <c r="H58" s="32">
        <v>0.93</v>
      </c>
      <c r="I58" s="18">
        <f t="shared" si="6"/>
        <v>0.14247600000000002</v>
      </c>
      <c r="J58" s="18">
        <f t="shared" si="7"/>
        <v>1.072476</v>
      </c>
      <c r="K58" s="18">
        <f t="shared" si="8"/>
        <v>3.2174279999999997E-4</v>
      </c>
      <c r="L58" s="18">
        <f t="shared" si="9"/>
        <v>1.0721542572</v>
      </c>
      <c r="M58" s="18">
        <f t="shared" si="10"/>
        <v>10.721542572000001</v>
      </c>
      <c r="N58" s="18">
        <f t="shared" si="11"/>
        <v>0.46500000000000002</v>
      </c>
      <c r="O58" s="115"/>
    </row>
    <row r="59" spans="1:15" s="28" customFormat="1" ht="16.5" customHeight="1" x14ac:dyDescent="0.2">
      <c r="A59" s="24" t="s">
        <v>133</v>
      </c>
      <c r="B59" s="24" t="s">
        <v>70</v>
      </c>
      <c r="C59" s="25">
        <v>112</v>
      </c>
      <c r="D59" s="24" t="s">
        <v>41</v>
      </c>
      <c r="E59" s="30" t="s">
        <v>134</v>
      </c>
      <c r="F59" s="24" t="s">
        <v>26</v>
      </c>
      <c r="G59" s="24">
        <v>10</v>
      </c>
      <c r="H59" s="32">
        <v>4.68</v>
      </c>
      <c r="I59" s="18">
        <f t="shared" si="6"/>
        <v>0.71697599999999995</v>
      </c>
      <c r="J59" s="18">
        <f t="shared" si="7"/>
        <v>5.3969759999999996</v>
      </c>
      <c r="K59" s="18">
        <f t="shared" si="8"/>
        <v>1.6190927999999998E-3</v>
      </c>
      <c r="L59" s="18">
        <f t="shared" si="9"/>
        <v>5.3953569071999992</v>
      </c>
      <c r="M59" s="18">
        <f t="shared" si="10"/>
        <v>53.953569071999993</v>
      </c>
      <c r="N59" s="18">
        <f t="shared" si="11"/>
        <v>5.0322580645161281</v>
      </c>
      <c r="O59" s="115"/>
    </row>
    <row r="60" spans="1:15" s="28" customFormat="1" ht="16.5" customHeight="1" x14ac:dyDescent="0.2">
      <c r="A60" s="24" t="s">
        <v>135</v>
      </c>
      <c r="B60" s="24" t="s">
        <v>70</v>
      </c>
      <c r="C60" s="24">
        <v>3529</v>
      </c>
      <c r="D60" s="24" t="s">
        <v>41</v>
      </c>
      <c r="E60" s="33" t="s">
        <v>136</v>
      </c>
      <c r="F60" s="24" t="s">
        <v>26</v>
      </c>
      <c r="G60" s="24">
        <v>15</v>
      </c>
      <c r="H60" s="32">
        <v>0.76</v>
      </c>
      <c r="I60" s="18">
        <f t="shared" si="6"/>
        <v>0.11643200000000001</v>
      </c>
      <c r="J60" s="18">
        <f t="shared" si="7"/>
        <v>0.87643199999999999</v>
      </c>
      <c r="K60" s="18">
        <f t="shared" si="8"/>
        <v>2.6292959999999995E-4</v>
      </c>
      <c r="L60" s="18">
        <f t="shared" si="9"/>
        <v>0.87616907040000003</v>
      </c>
      <c r="M60" s="18">
        <f t="shared" si="10"/>
        <v>13.142536056000001</v>
      </c>
      <c r="N60" s="18">
        <f t="shared" si="11"/>
        <v>0.24358974358974364</v>
      </c>
      <c r="O60" s="115"/>
    </row>
    <row r="61" spans="1:15" s="28" customFormat="1" ht="16.5" customHeight="1" x14ac:dyDescent="0.2">
      <c r="A61" s="24" t="s">
        <v>137</v>
      </c>
      <c r="B61" s="24" t="s">
        <v>70</v>
      </c>
      <c r="C61" s="24">
        <v>3540</v>
      </c>
      <c r="D61" s="24" t="s">
        <v>41</v>
      </c>
      <c r="E61" s="42" t="s">
        <v>138</v>
      </c>
      <c r="F61" s="24" t="s">
        <v>26</v>
      </c>
      <c r="G61" s="24">
        <v>10</v>
      </c>
      <c r="H61" s="32">
        <v>5.24</v>
      </c>
      <c r="I61" s="18">
        <f t="shared" si="6"/>
        <v>0.80276800000000004</v>
      </c>
      <c r="J61" s="18">
        <f t="shared" si="7"/>
        <v>6.0427680000000006</v>
      </c>
      <c r="K61" s="18">
        <f t="shared" si="8"/>
        <v>1.8128304E-3</v>
      </c>
      <c r="L61" s="18">
        <f t="shared" si="9"/>
        <v>6.040955169600001</v>
      </c>
      <c r="M61" s="18">
        <f t="shared" si="10"/>
        <v>60.409551696000008</v>
      </c>
      <c r="N61" s="18">
        <f t="shared" si="11"/>
        <v>4.5964912280701755</v>
      </c>
      <c r="O61" s="115"/>
    </row>
    <row r="62" spans="1:15" s="28" customFormat="1" ht="16.5" customHeight="1" x14ac:dyDescent="0.2">
      <c r="A62" s="24" t="s">
        <v>139</v>
      </c>
      <c r="B62" s="24" t="s">
        <v>70</v>
      </c>
      <c r="C62" s="24">
        <v>3874</v>
      </c>
      <c r="D62" s="24" t="s">
        <v>41</v>
      </c>
      <c r="E62" s="47" t="s">
        <v>140</v>
      </c>
      <c r="F62" s="24" t="s">
        <v>26</v>
      </c>
      <c r="G62" s="24">
        <v>10</v>
      </c>
      <c r="H62" s="32">
        <v>6.28</v>
      </c>
      <c r="I62" s="18">
        <f t="shared" si="6"/>
        <v>0.96209600000000006</v>
      </c>
      <c r="J62" s="18">
        <f t="shared" si="7"/>
        <v>7.2420960000000001</v>
      </c>
      <c r="K62" s="18">
        <f t="shared" si="8"/>
        <v>2.1726287999999996E-3</v>
      </c>
      <c r="L62" s="18">
        <f t="shared" si="9"/>
        <v>7.2399233711999997</v>
      </c>
      <c r="M62" s="18">
        <f t="shared" si="10"/>
        <v>72.399233711999997</v>
      </c>
      <c r="N62" s="18">
        <f t="shared" si="11"/>
        <v>1.198473282442748</v>
      </c>
      <c r="O62" s="115"/>
    </row>
    <row r="63" spans="1:15" s="28" customFormat="1" ht="16.5" customHeight="1" x14ac:dyDescent="0.2">
      <c r="A63" s="24" t="s">
        <v>141</v>
      </c>
      <c r="B63" s="24" t="s">
        <v>70</v>
      </c>
      <c r="C63" s="24">
        <v>3847</v>
      </c>
      <c r="D63" s="24" t="s">
        <v>41</v>
      </c>
      <c r="E63" s="42" t="s">
        <v>142</v>
      </c>
      <c r="F63" s="24" t="s">
        <v>26</v>
      </c>
      <c r="G63" s="24">
        <v>10</v>
      </c>
      <c r="H63" s="32">
        <v>29.98</v>
      </c>
      <c r="I63" s="18">
        <f t="shared" si="6"/>
        <v>4.5929359999999999</v>
      </c>
      <c r="J63" s="18">
        <f t="shared" si="7"/>
        <v>34.572935999999999</v>
      </c>
      <c r="K63" s="18">
        <f t="shared" si="8"/>
        <v>1.0371880799999999E-2</v>
      </c>
      <c r="L63" s="18">
        <f t="shared" si="9"/>
        <v>34.562564119199997</v>
      </c>
      <c r="M63" s="18">
        <f t="shared" si="10"/>
        <v>345.62564119199999</v>
      </c>
      <c r="N63" s="18">
        <f t="shared" si="11"/>
        <v>4.7738853503184711</v>
      </c>
      <c r="O63" s="115"/>
    </row>
    <row r="64" spans="1:15" s="28" customFormat="1" ht="16.5" customHeight="1" x14ac:dyDescent="0.2">
      <c r="A64" s="24"/>
      <c r="B64" s="24"/>
      <c r="C64" s="24"/>
      <c r="D64" s="24"/>
      <c r="E64" s="42"/>
      <c r="F64" s="24"/>
      <c r="G64" s="24"/>
      <c r="H64" s="48"/>
      <c r="I64" s="18"/>
      <c r="J64" s="18"/>
      <c r="K64" s="18"/>
      <c r="L64" s="18"/>
      <c r="M64" s="18"/>
      <c r="N64" s="18"/>
      <c r="O64" s="115"/>
    </row>
    <row r="65" spans="1:16" s="28" customFormat="1" ht="16.5" customHeight="1" x14ac:dyDescent="0.2">
      <c r="A65" s="24"/>
      <c r="B65" s="24"/>
      <c r="C65" s="24"/>
      <c r="D65" s="24"/>
      <c r="E65" s="42"/>
      <c r="F65" s="24"/>
      <c r="G65" s="24"/>
      <c r="H65" s="48"/>
      <c r="I65" s="18"/>
      <c r="J65" s="18"/>
      <c r="K65" s="18"/>
      <c r="L65" s="18"/>
      <c r="M65" s="18"/>
      <c r="N65" s="18"/>
      <c r="O65" s="115"/>
    </row>
    <row r="66" spans="1:16" s="28" customFormat="1" ht="16.5" customHeight="1" x14ac:dyDescent="0.2">
      <c r="A66" s="24"/>
      <c r="B66" s="24"/>
      <c r="C66" s="25"/>
      <c r="D66" s="24"/>
      <c r="E66" s="30"/>
      <c r="F66" s="24"/>
      <c r="G66" s="24"/>
      <c r="H66" s="49"/>
      <c r="I66" s="18"/>
      <c r="J66" s="18"/>
      <c r="K66" s="18"/>
      <c r="L66" s="18"/>
      <c r="M66" s="18"/>
      <c r="N66" s="18"/>
      <c r="O66" s="115"/>
    </row>
    <row r="67" spans="1:16" s="50" customFormat="1" ht="16.5" customHeight="1" x14ac:dyDescent="0.25">
      <c r="A67" s="120" t="s">
        <v>21</v>
      </c>
      <c r="B67" s="112" t="s">
        <v>22</v>
      </c>
      <c r="C67" s="112" t="s">
        <v>23</v>
      </c>
      <c r="D67" s="112" t="s">
        <v>24</v>
      </c>
      <c r="E67" s="112" t="s">
        <v>25</v>
      </c>
      <c r="F67" s="112" t="s">
        <v>26</v>
      </c>
      <c r="G67" s="112" t="s">
        <v>27</v>
      </c>
      <c r="H67" s="114" t="s">
        <v>28</v>
      </c>
      <c r="I67" s="114"/>
      <c r="J67" s="114"/>
      <c r="K67" s="114"/>
      <c r="L67" s="114"/>
      <c r="M67" s="112" t="s">
        <v>29</v>
      </c>
      <c r="N67" s="112" t="s">
        <v>30</v>
      </c>
      <c r="O67" s="115"/>
    </row>
    <row r="68" spans="1:16" s="50" customFormat="1" ht="16.5" customHeight="1" x14ac:dyDescent="0.25">
      <c r="A68" s="120"/>
      <c r="B68" s="112"/>
      <c r="C68" s="112"/>
      <c r="D68" s="112"/>
      <c r="E68" s="112"/>
      <c r="F68" s="112"/>
      <c r="G68" s="112"/>
      <c r="H68" s="1" t="s">
        <v>32</v>
      </c>
      <c r="I68" s="1" t="s">
        <v>33</v>
      </c>
      <c r="J68" s="1" t="s">
        <v>34</v>
      </c>
      <c r="K68" s="1" t="s">
        <v>143</v>
      </c>
      <c r="L68" s="1" t="s">
        <v>36</v>
      </c>
      <c r="M68" s="112"/>
      <c r="N68" s="112"/>
      <c r="O68" s="115"/>
    </row>
    <row r="69" spans="1:16" s="46" customFormat="1" ht="16.5" customHeight="1" x14ac:dyDescent="0.2">
      <c r="A69" s="51">
        <v>3</v>
      </c>
      <c r="B69" s="113" t="s">
        <v>144</v>
      </c>
      <c r="C69" s="113"/>
      <c r="D69" s="113"/>
      <c r="E69" s="113"/>
      <c r="F69" s="113"/>
      <c r="G69" s="52"/>
      <c r="H69" s="52"/>
      <c r="I69" s="52"/>
      <c r="J69" s="52"/>
      <c r="K69" s="52"/>
      <c r="L69" s="52"/>
      <c r="M69" s="53">
        <f>SUM(M70:M115)</f>
        <v>101859.21493359953</v>
      </c>
      <c r="N69" s="52"/>
      <c r="O69" s="115"/>
    </row>
    <row r="70" spans="1:16" s="46" customFormat="1" ht="26.25" customHeight="1" x14ac:dyDescent="0.2">
      <c r="A70" s="54" t="s">
        <v>145</v>
      </c>
      <c r="B70" s="54" t="s">
        <v>39</v>
      </c>
      <c r="C70" s="54" t="s">
        <v>53</v>
      </c>
      <c r="D70" s="54" t="s">
        <v>41</v>
      </c>
      <c r="E70" s="55" t="s">
        <v>54</v>
      </c>
      <c r="F70" s="56" t="s">
        <v>43</v>
      </c>
      <c r="G70" s="57">
        <v>176</v>
      </c>
      <c r="H70" s="58">
        <v>31.59</v>
      </c>
      <c r="I70" s="59">
        <f>H70*0.2232</f>
        <v>7.0508880000000005</v>
      </c>
      <c r="J70" s="59">
        <f>H70+I70</f>
        <v>38.640888000000004</v>
      </c>
      <c r="K70" s="59">
        <f>J70*(0.03%)</f>
        <v>1.1592266400000001E-2</v>
      </c>
      <c r="L70" s="59">
        <f>J70-K70</f>
        <v>38.629295733600003</v>
      </c>
      <c r="M70" s="59">
        <f>L70*G70</f>
        <v>6798.756049113601</v>
      </c>
      <c r="N70" s="59">
        <f>M70/M$16</f>
        <v>9.5834723781209233E-2</v>
      </c>
      <c r="O70" s="115"/>
    </row>
    <row r="71" spans="1:16" s="46" customFormat="1" ht="23.25" customHeight="1" x14ac:dyDescent="0.2">
      <c r="A71" s="54" t="s">
        <v>146</v>
      </c>
      <c r="B71" s="54" t="s">
        <v>39</v>
      </c>
      <c r="C71" s="54" t="s">
        <v>59</v>
      </c>
      <c r="D71" s="54" t="s">
        <v>41</v>
      </c>
      <c r="E71" s="55" t="s">
        <v>60</v>
      </c>
      <c r="F71" s="56" t="s">
        <v>43</v>
      </c>
      <c r="G71" s="57">
        <v>0</v>
      </c>
      <c r="H71" s="58">
        <v>27.2</v>
      </c>
      <c r="I71" s="59">
        <f>H71*0.2232</f>
        <v>6.07104</v>
      </c>
      <c r="J71" s="59">
        <f>H71+I71</f>
        <v>33.271039999999999</v>
      </c>
      <c r="K71" s="59">
        <f>J71*(0.03%)</f>
        <v>9.9813119999999991E-3</v>
      </c>
      <c r="L71" s="59">
        <f>J71-K71</f>
        <v>33.261058687999999</v>
      </c>
      <c r="M71" s="59">
        <f>L71*G71</f>
        <v>0</v>
      </c>
      <c r="N71" s="59">
        <f>M71/M$16</f>
        <v>0</v>
      </c>
      <c r="O71" s="115"/>
      <c r="P71" s="60" t="s">
        <v>147</v>
      </c>
    </row>
    <row r="72" spans="1:16" s="50" customFormat="1" ht="26.25" customHeight="1" x14ac:dyDescent="0.25">
      <c r="A72" s="13" t="s">
        <v>148</v>
      </c>
      <c r="B72" s="13" t="s">
        <v>39</v>
      </c>
      <c r="C72" s="13">
        <v>88310</v>
      </c>
      <c r="D72" s="13" t="s">
        <v>41</v>
      </c>
      <c r="E72" s="14" t="s">
        <v>149</v>
      </c>
      <c r="F72" s="15" t="s">
        <v>43</v>
      </c>
      <c r="G72" s="16">
        <v>176</v>
      </c>
      <c r="H72" s="17">
        <v>36.42</v>
      </c>
      <c r="I72" s="18">
        <f>H72*0.2232</f>
        <v>8.1289440000000006</v>
      </c>
      <c r="J72" s="18">
        <f>H72+I72</f>
        <v>44.548944000000006</v>
      </c>
      <c r="K72" s="18">
        <f>J72*(0.03%)</f>
        <v>1.3364683200000001E-2</v>
      </c>
      <c r="L72" s="18">
        <f>J72-K72</f>
        <v>44.535579316800003</v>
      </c>
      <c r="M72" s="18">
        <f>L72*G72</f>
        <v>7838.2619597568009</v>
      </c>
      <c r="N72" s="18">
        <f>M72/M$16</f>
        <v>0.11048751630616145</v>
      </c>
      <c r="O72" s="115"/>
    </row>
    <row r="73" spans="1:16" s="50" customFormat="1" ht="26.25" customHeight="1" x14ac:dyDescent="0.25">
      <c r="A73" s="13" t="s">
        <v>150</v>
      </c>
      <c r="B73" s="12" t="s">
        <v>39</v>
      </c>
      <c r="C73" s="61">
        <v>93588</v>
      </c>
      <c r="D73" s="61" t="s">
        <v>41</v>
      </c>
      <c r="E73" s="62" t="s">
        <v>151</v>
      </c>
      <c r="F73" s="63" t="s">
        <v>152</v>
      </c>
      <c r="G73" s="61">
        <f>5*34</f>
        <v>170</v>
      </c>
      <c r="H73" s="64">
        <v>3.01</v>
      </c>
      <c r="I73" s="18">
        <f>H73*0.2232</f>
        <v>0.67183199999999998</v>
      </c>
      <c r="J73" s="18">
        <f>H73+I73</f>
        <v>3.681832</v>
      </c>
      <c r="K73" s="18">
        <f>J73*(0.03%)</f>
        <v>1.1045495999999998E-3</v>
      </c>
      <c r="L73" s="18">
        <f>J73-K73</f>
        <v>3.6807274504</v>
      </c>
      <c r="M73" s="18">
        <f>L73*G73</f>
        <v>625.723666568</v>
      </c>
      <c r="N73" s="18">
        <f>M73/M72</f>
        <v>7.9829389446358132E-2</v>
      </c>
      <c r="O73" s="115"/>
    </row>
    <row r="74" spans="1:16" s="46" customFormat="1" ht="23.25" customHeight="1" x14ac:dyDescent="0.2">
      <c r="A74" s="106" t="s">
        <v>153</v>
      </c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15"/>
    </row>
    <row r="75" spans="1:16" s="46" customFormat="1" ht="23.25" customHeight="1" x14ac:dyDescent="0.2">
      <c r="A75" s="66" t="s">
        <v>154</v>
      </c>
      <c r="B75" s="54" t="s">
        <v>39</v>
      </c>
      <c r="C75" s="67">
        <v>12631</v>
      </c>
      <c r="D75" s="67" t="s">
        <v>114</v>
      </c>
      <c r="E75" s="68" t="s">
        <v>155</v>
      </c>
      <c r="F75" s="67" t="s">
        <v>116</v>
      </c>
      <c r="G75" s="75">
        <v>50</v>
      </c>
      <c r="H75" s="69">
        <v>26.21</v>
      </c>
      <c r="I75" s="59">
        <f>H75*0.2232</f>
        <v>5.8500720000000008</v>
      </c>
      <c r="J75" s="59">
        <f>H75+I75</f>
        <v>32.060072000000005</v>
      </c>
      <c r="K75" s="59">
        <f>J75*(0.03%)</f>
        <v>9.6180216000000002E-3</v>
      </c>
      <c r="L75" s="59">
        <f>J75-K75</f>
        <v>32.050453978400007</v>
      </c>
      <c r="M75" s="59">
        <f>L75*G75</f>
        <v>1602.5226989200003</v>
      </c>
      <c r="N75" s="59">
        <f>M75/M$16</f>
        <v>2.2589032331015765E-2</v>
      </c>
      <c r="O75" s="115"/>
    </row>
    <row r="76" spans="1:16" s="46" customFormat="1" ht="23.25" customHeight="1" x14ac:dyDescent="0.2">
      <c r="A76" s="66" t="s">
        <v>156</v>
      </c>
      <c r="B76" s="54" t="s">
        <v>39</v>
      </c>
      <c r="C76" s="70">
        <v>96368</v>
      </c>
      <c r="D76" s="70" t="s">
        <v>41</v>
      </c>
      <c r="E76" s="71" t="s">
        <v>157</v>
      </c>
      <c r="F76" s="70" t="s">
        <v>116</v>
      </c>
      <c r="G76" s="75">
        <v>50</v>
      </c>
      <c r="H76" s="69">
        <v>165.43</v>
      </c>
      <c r="I76" s="59">
        <f>H76*0.2232</f>
        <v>36.923976000000003</v>
      </c>
      <c r="J76" s="59">
        <f>H76+I76</f>
        <v>202.35397600000002</v>
      </c>
      <c r="K76" s="59">
        <f>J76*(0.03%)</f>
        <v>6.0706192800000003E-2</v>
      </c>
      <c r="L76" s="59">
        <f>J76-K76</f>
        <v>202.29326980720001</v>
      </c>
      <c r="M76" s="59">
        <f>L76*G76</f>
        <v>10114.663490360001</v>
      </c>
      <c r="N76" s="59">
        <f>M76/M$16</f>
        <v>0.14257549097748715</v>
      </c>
      <c r="O76" s="115"/>
    </row>
    <row r="77" spans="1:16" s="46" customFormat="1" ht="23.25" customHeight="1" x14ac:dyDescent="0.2">
      <c r="A77" s="66" t="s">
        <v>158</v>
      </c>
      <c r="B77" s="54" t="s">
        <v>39</v>
      </c>
      <c r="C77" s="70" t="s">
        <v>159</v>
      </c>
      <c r="D77" s="70" t="s">
        <v>41</v>
      </c>
      <c r="E77" s="71" t="s">
        <v>160</v>
      </c>
      <c r="F77" s="70" t="s">
        <v>116</v>
      </c>
      <c r="G77" s="75">
        <v>100</v>
      </c>
      <c r="H77" s="69">
        <v>14.03</v>
      </c>
      <c r="I77" s="59">
        <f>H77*0.2232</f>
        <v>3.1314959999999998</v>
      </c>
      <c r="J77" s="59">
        <f>H77+I77</f>
        <v>17.161496</v>
      </c>
      <c r="K77" s="59">
        <f>J77*(0.03%)</f>
        <v>5.1484487999999993E-3</v>
      </c>
      <c r="L77" s="59">
        <f>J77-K77</f>
        <v>17.1563475512</v>
      </c>
      <c r="M77" s="59">
        <f>L77*G77</f>
        <v>1715.6347551199999</v>
      </c>
      <c r="N77" s="59">
        <f>M77/M$16</f>
        <v>2.418345086639841E-2</v>
      </c>
      <c r="O77" s="115"/>
    </row>
    <row r="78" spans="1:16" s="46" customFormat="1" ht="23.25" customHeight="1" x14ac:dyDescent="0.2">
      <c r="A78" s="66" t="s">
        <v>161</v>
      </c>
      <c r="B78" s="54" t="s">
        <v>39</v>
      </c>
      <c r="C78" s="70">
        <v>88485</v>
      </c>
      <c r="D78" s="70" t="s">
        <v>41</v>
      </c>
      <c r="E78" s="71" t="s">
        <v>162</v>
      </c>
      <c r="F78" s="70" t="s">
        <v>116</v>
      </c>
      <c r="G78" s="75">
        <v>100</v>
      </c>
      <c r="H78" s="69">
        <v>4.84</v>
      </c>
      <c r="I78" s="59">
        <f>H78*0.2232</f>
        <v>1.0802879999999999</v>
      </c>
      <c r="J78" s="59">
        <f>H78+I78</f>
        <v>5.9202879999999993</v>
      </c>
      <c r="K78" s="59">
        <f>J78*(0.03%)</f>
        <v>1.7760863999999996E-3</v>
      </c>
      <c r="L78" s="59">
        <f>J78-K78</f>
        <v>5.9185119135999997</v>
      </c>
      <c r="M78" s="59">
        <f>L78*G78</f>
        <v>591.85119136000003</v>
      </c>
      <c r="N78" s="59">
        <f>M78/M$16</f>
        <v>8.3426872554075767E-3</v>
      </c>
      <c r="O78" s="115"/>
    </row>
    <row r="79" spans="1:16" s="46" customFormat="1" ht="23.25" customHeight="1" x14ac:dyDescent="0.2">
      <c r="A79" s="66" t="s">
        <v>163</v>
      </c>
      <c r="B79" s="54" t="s">
        <v>39</v>
      </c>
      <c r="C79" s="70">
        <v>96135</v>
      </c>
      <c r="D79" s="70" t="s">
        <v>41</v>
      </c>
      <c r="E79" s="71" t="s">
        <v>164</v>
      </c>
      <c r="F79" s="70" t="s">
        <v>116</v>
      </c>
      <c r="G79" s="75">
        <v>100</v>
      </c>
      <c r="H79" s="72">
        <v>35.380000000000003</v>
      </c>
      <c r="I79" s="59">
        <f>H79*0.2232</f>
        <v>7.8968160000000012</v>
      </c>
      <c r="J79" s="59">
        <f>H79+I79</f>
        <v>43.276816000000004</v>
      </c>
      <c r="K79" s="59">
        <f>J79*(0.03%)</f>
        <v>1.2983044799999999E-2</v>
      </c>
      <c r="L79" s="59">
        <f>J79-K79</f>
        <v>43.263832955200002</v>
      </c>
      <c r="M79" s="59">
        <f>L79*G79</f>
        <v>4326.3832955200005</v>
      </c>
      <c r="N79" s="59">
        <f>M79/M$16</f>
        <v>6.0984354358743824E-2</v>
      </c>
      <c r="O79" s="115"/>
    </row>
    <row r="80" spans="1:16" s="46" customFormat="1" ht="23.25" customHeight="1" x14ac:dyDescent="0.2">
      <c r="A80" s="106" t="s">
        <v>165</v>
      </c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15"/>
    </row>
    <row r="81" spans="1:16" s="46" customFormat="1" ht="23.25" customHeight="1" x14ac:dyDescent="0.2">
      <c r="A81" s="59" t="s">
        <v>166</v>
      </c>
      <c r="B81" s="54" t="s">
        <v>39</v>
      </c>
      <c r="C81" s="70" t="s">
        <v>167</v>
      </c>
      <c r="D81" s="70" t="s">
        <v>168</v>
      </c>
      <c r="E81" s="71" t="s">
        <v>169</v>
      </c>
      <c r="F81" s="70" t="s">
        <v>116</v>
      </c>
      <c r="G81" s="91">
        <v>4.7549999999999999</v>
      </c>
      <c r="H81" s="69">
        <v>155.66</v>
      </c>
      <c r="I81" s="59">
        <f>H81*0.2232</f>
        <v>34.743312000000003</v>
      </c>
      <c r="J81" s="59">
        <f>H81+I81</f>
        <v>190.403312</v>
      </c>
      <c r="K81" s="59">
        <f>J81*(0.03%)</f>
        <v>5.7120993599999996E-2</v>
      </c>
      <c r="L81" s="59">
        <f>J81-K81</f>
        <v>190.34619100640001</v>
      </c>
      <c r="M81" s="59">
        <f>L81*G81</f>
        <v>905.09613823543202</v>
      </c>
      <c r="N81" s="59">
        <f>M81/M$16</f>
        <v>1.2758163078162015E-2</v>
      </c>
      <c r="O81" s="115"/>
    </row>
    <row r="82" spans="1:16" s="46" customFormat="1" ht="23.25" customHeight="1" x14ac:dyDescent="0.2">
      <c r="A82" s="106" t="s">
        <v>170</v>
      </c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15"/>
    </row>
    <row r="83" spans="1:16" s="46" customFormat="1" ht="23.25" customHeight="1" x14ac:dyDescent="0.2">
      <c r="A83" s="109" t="s">
        <v>171</v>
      </c>
      <c r="B83" s="109"/>
      <c r="C83" s="109"/>
      <c r="D83" s="109"/>
      <c r="E83" s="109"/>
      <c r="F83" s="109"/>
      <c r="G83" s="109"/>
      <c r="H83" s="109"/>
      <c r="I83" s="109"/>
      <c r="J83" s="109"/>
      <c r="K83" s="109"/>
      <c r="L83" s="109"/>
      <c r="M83" s="109"/>
      <c r="N83" s="65"/>
      <c r="O83" s="115"/>
    </row>
    <row r="84" spans="1:16" s="46" customFormat="1" ht="23.25" customHeight="1" x14ac:dyDescent="0.2">
      <c r="A84" s="59" t="s">
        <v>150</v>
      </c>
      <c r="B84" s="54" t="s">
        <v>39</v>
      </c>
      <c r="C84" s="67">
        <v>88488</v>
      </c>
      <c r="D84" s="67" t="s">
        <v>41</v>
      </c>
      <c r="E84" s="68" t="s">
        <v>172</v>
      </c>
      <c r="F84" s="67" t="s">
        <v>116</v>
      </c>
      <c r="G84" s="67">
        <v>341</v>
      </c>
      <c r="H84" s="69">
        <v>16.93</v>
      </c>
      <c r="I84" s="59">
        <f t="shared" ref="I84:I89" si="12">H84*0.2232</f>
        <v>3.7787760000000001</v>
      </c>
      <c r="J84" s="59">
        <f t="shared" ref="J84:J89" si="13">H84+I84</f>
        <v>20.708776</v>
      </c>
      <c r="K84" s="59">
        <f t="shared" ref="K84:K89" si="14">J84*(0.03%)</f>
        <v>6.2126327999999995E-3</v>
      </c>
      <c r="L84" s="59">
        <f t="shared" ref="L84:L89" si="15">J84-K84</f>
        <v>20.7025633672</v>
      </c>
      <c r="M84" s="59">
        <f t="shared" ref="M84:M89" si="16">L84*G84</f>
        <v>7059.5741082151999</v>
      </c>
      <c r="N84" s="59">
        <f t="shared" ref="N84:N89" si="17">M84/M$16</f>
        <v>9.9511194369444514E-2</v>
      </c>
      <c r="O84" s="115"/>
    </row>
    <row r="85" spans="1:16" s="46" customFormat="1" ht="23.25" customHeight="1" x14ac:dyDescent="0.2">
      <c r="A85" s="59" t="s">
        <v>173</v>
      </c>
      <c r="B85" s="54" t="s">
        <v>39</v>
      </c>
      <c r="C85" s="67" t="s">
        <v>159</v>
      </c>
      <c r="D85" s="67" t="s">
        <v>41</v>
      </c>
      <c r="E85" s="68" t="s">
        <v>160</v>
      </c>
      <c r="F85" s="67" t="s">
        <v>116</v>
      </c>
      <c r="G85" s="67">
        <v>782</v>
      </c>
      <c r="H85" s="69">
        <v>14.03</v>
      </c>
      <c r="I85" s="59">
        <f t="shared" si="12"/>
        <v>3.1314959999999998</v>
      </c>
      <c r="J85" s="59">
        <f t="shared" si="13"/>
        <v>17.161496</v>
      </c>
      <c r="K85" s="59">
        <f t="shared" si="14"/>
        <v>5.1484487999999993E-3</v>
      </c>
      <c r="L85" s="59">
        <f t="shared" si="15"/>
        <v>17.1563475512</v>
      </c>
      <c r="M85" s="59">
        <f t="shared" si="16"/>
        <v>13416.2637850384</v>
      </c>
      <c r="N85" s="59">
        <f t="shared" si="17"/>
        <v>0.18911458577523557</v>
      </c>
      <c r="O85" s="115"/>
    </row>
    <row r="86" spans="1:16" s="46" customFormat="1" ht="23.25" customHeight="1" x14ac:dyDescent="0.2">
      <c r="A86" s="59" t="s">
        <v>174</v>
      </c>
      <c r="B86" s="54" t="s">
        <v>39</v>
      </c>
      <c r="C86" s="67">
        <v>88485</v>
      </c>
      <c r="D86" s="67" t="s">
        <v>41</v>
      </c>
      <c r="E86" s="68" t="s">
        <v>162</v>
      </c>
      <c r="F86" s="67" t="s">
        <v>116</v>
      </c>
      <c r="G86" s="67">
        <v>32</v>
      </c>
      <c r="H86" s="69">
        <v>4.84</v>
      </c>
      <c r="I86" s="59">
        <f t="shared" si="12"/>
        <v>1.0802879999999999</v>
      </c>
      <c r="J86" s="59">
        <f t="shared" si="13"/>
        <v>5.9202879999999993</v>
      </c>
      <c r="K86" s="59">
        <f t="shared" si="14"/>
        <v>1.7760863999999996E-3</v>
      </c>
      <c r="L86" s="59">
        <f t="shared" si="15"/>
        <v>5.9185119135999997</v>
      </c>
      <c r="M86" s="59">
        <f t="shared" si="16"/>
        <v>189.39238123519999</v>
      </c>
      <c r="N86" s="59">
        <f t="shared" si="17"/>
        <v>2.6696599217304246E-3</v>
      </c>
      <c r="O86" s="115"/>
    </row>
    <row r="87" spans="1:16" s="46" customFormat="1" ht="23.25" customHeight="1" x14ac:dyDescent="0.2">
      <c r="A87" s="59" t="s">
        <v>175</v>
      </c>
      <c r="B87" s="54" t="s">
        <v>39</v>
      </c>
      <c r="C87" s="67">
        <v>96135</v>
      </c>
      <c r="D87" s="67" t="s">
        <v>41</v>
      </c>
      <c r="E87" s="68" t="s">
        <v>164</v>
      </c>
      <c r="F87" s="67" t="s">
        <v>116</v>
      </c>
      <c r="G87" s="67">
        <v>42</v>
      </c>
      <c r="H87" s="72">
        <v>35.380000000000003</v>
      </c>
      <c r="I87" s="59">
        <f t="shared" si="12"/>
        <v>7.8968160000000012</v>
      </c>
      <c r="J87" s="59">
        <f t="shared" si="13"/>
        <v>43.276816000000004</v>
      </c>
      <c r="K87" s="59">
        <f t="shared" si="14"/>
        <v>1.2983044799999999E-2</v>
      </c>
      <c r="L87" s="59">
        <f t="shared" si="15"/>
        <v>43.263832955200002</v>
      </c>
      <c r="M87" s="59">
        <f t="shared" si="16"/>
        <v>1817.0809841184</v>
      </c>
      <c r="N87" s="59">
        <f t="shared" si="17"/>
        <v>2.5613428830672403E-2</v>
      </c>
      <c r="O87" s="115"/>
    </row>
    <row r="88" spans="1:16" s="46" customFormat="1" ht="23.25" customHeight="1" x14ac:dyDescent="0.2">
      <c r="A88" s="59" t="s">
        <v>176</v>
      </c>
      <c r="B88" s="54" t="s">
        <v>39</v>
      </c>
      <c r="C88" s="67">
        <v>98554</v>
      </c>
      <c r="D88" s="67" t="s">
        <v>41</v>
      </c>
      <c r="E88" s="68" t="s">
        <v>177</v>
      </c>
      <c r="F88" s="67" t="s">
        <v>116</v>
      </c>
      <c r="G88" s="75">
        <v>280</v>
      </c>
      <c r="H88" s="72">
        <v>49.46</v>
      </c>
      <c r="I88" s="59">
        <f t="shared" si="12"/>
        <v>11.039472</v>
      </c>
      <c r="J88" s="59">
        <f t="shared" si="13"/>
        <v>60.499471999999997</v>
      </c>
      <c r="K88" s="59">
        <f t="shared" si="14"/>
        <v>1.8149841599999997E-2</v>
      </c>
      <c r="L88" s="59">
        <f t="shared" si="15"/>
        <v>60.481322158399998</v>
      </c>
      <c r="M88" s="59">
        <f t="shared" si="16"/>
        <v>16934.770204352</v>
      </c>
      <c r="N88" s="59">
        <f t="shared" si="17"/>
        <v>0.23871117203034803</v>
      </c>
      <c r="O88" s="115"/>
    </row>
    <row r="89" spans="1:16" s="46" customFormat="1" ht="23.25" customHeight="1" x14ac:dyDescent="0.2">
      <c r="A89" s="59" t="s">
        <v>178</v>
      </c>
      <c r="B89" s="54" t="s">
        <v>39</v>
      </c>
      <c r="C89" s="67">
        <v>99814</v>
      </c>
      <c r="D89" s="67" t="s">
        <v>41</v>
      </c>
      <c r="E89" s="68" t="s">
        <v>179</v>
      </c>
      <c r="F89" s="67" t="s">
        <v>116</v>
      </c>
      <c r="G89" s="75">
        <v>280</v>
      </c>
      <c r="H89" s="72">
        <v>2.4300000000000002</v>
      </c>
      <c r="I89" s="59">
        <f t="shared" si="12"/>
        <v>0.54237600000000008</v>
      </c>
      <c r="J89" s="59">
        <f t="shared" si="13"/>
        <v>2.9723760000000001</v>
      </c>
      <c r="K89" s="59">
        <f t="shared" si="14"/>
        <v>8.9171279999999996E-4</v>
      </c>
      <c r="L89" s="59">
        <f t="shared" si="15"/>
        <v>2.9714842872</v>
      </c>
      <c r="M89" s="59">
        <f t="shared" si="16"/>
        <v>832.01560041599998</v>
      </c>
      <c r="N89" s="59">
        <f t="shared" si="17"/>
        <v>1.1728025637560568E-2</v>
      </c>
      <c r="O89" s="115"/>
    </row>
    <row r="90" spans="1:16" s="46" customFormat="1" ht="23.25" customHeight="1" x14ac:dyDescent="0.2">
      <c r="A90" s="110" t="s">
        <v>180</v>
      </c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65"/>
      <c r="O90" s="115"/>
    </row>
    <row r="91" spans="1:16" s="46" customFormat="1" ht="23.25" customHeight="1" x14ac:dyDescent="0.2">
      <c r="A91" s="59" t="s">
        <v>181</v>
      </c>
      <c r="B91" s="54" t="s">
        <v>39</v>
      </c>
      <c r="C91" s="67">
        <v>22710</v>
      </c>
      <c r="D91" s="67" t="s">
        <v>182</v>
      </c>
      <c r="E91" s="73" t="s">
        <v>183</v>
      </c>
      <c r="F91" s="67" t="s">
        <v>116</v>
      </c>
      <c r="G91" s="67">
        <v>62</v>
      </c>
      <c r="H91" s="74">
        <v>32.119999999999997</v>
      </c>
      <c r="I91" s="59">
        <f>H91*0.2232</f>
        <v>7.1691839999999996</v>
      </c>
      <c r="J91" s="59">
        <f>H91+I91</f>
        <v>39.289183999999999</v>
      </c>
      <c r="K91" s="59">
        <f>J91*(0.03%)</f>
        <v>1.1786755199999999E-2</v>
      </c>
      <c r="L91" s="59">
        <f>J91-K91</f>
        <v>39.277397244799999</v>
      </c>
      <c r="M91" s="59">
        <f>L91*G91</f>
        <v>2435.1986291776002</v>
      </c>
      <c r="N91" s="59">
        <f>M91/M$16</f>
        <v>3.4326365925431541E-2</v>
      </c>
      <c r="O91" s="115"/>
    </row>
    <row r="92" spans="1:16" s="46" customFormat="1" ht="23.25" customHeight="1" x14ac:dyDescent="0.2">
      <c r="A92" s="59" t="s">
        <v>184</v>
      </c>
      <c r="B92" s="54" t="s">
        <v>39</v>
      </c>
      <c r="C92" s="67" t="s">
        <v>185</v>
      </c>
      <c r="D92" s="67" t="s">
        <v>74</v>
      </c>
      <c r="E92" s="73" t="s">
        <v>186</v>
      </c>
      <c r="F92" s="67" t="s">
        <v>187</v>
      </c>
      <c r="G92" s="67">
        <v>25</v>
      </c>
      <c r="H92" s="72">
        <v>30.74</v>
      </c>
      <c r="I92" s="59">
        <f>H92*0.2232</f>
        <v>6.8611680000000002</v>
      </c>
      <c r="J92" s="59">
        <f>H92+I92</f>
        <v>37.601168000000001</v>
      </c>
      <c r="K92" s="59">
        <f>J92*(0.03%)</f>
        <v>1.12803504E-2</v>
      </c>
      <c r="L92" s="59">
        <f>J92-K92</f>
        <v>37.589887649600001</v>
      </c>
      <c r="M92" s="59">
        <f>L92*G92</f>
        <v>939.74719124000001</v>
      </c>
      <c r="N92" s="59">
        <f>M92/M$16</f>
        <v>1.324660156153042E-2</v>
      </c>
      <c r="O92" s="115"/>
    </row>
    <row r="93" spans="1:16" s="46" customFormat="1" ht="23.25" customHeight="1" x14ac:dyDescent="0.2">
      <c r="A93" s="59" t="s">
        <v>188</v>
      </c>
      <c r="B93" s="57" t="s">
        <v>39</v>
      </c>
      <c r="C93" s="75">
        <v>85413</v>
      </c>
      <c r="D93" s="75" t="s">
        <v>41</v>
      </c>
      <c r="E93" s="76" t="s">
        <v>189</v>
      </c>
      <c r="F93" s="75" t="s">
        <v>187</v>
      </c>
      <c r="G93" s="75">
        <v>25</v>
      </c>
      <c r="H93" s="74">
        <v>0</v>
      </c>
      <c r="I93" s="77">
        <f>H93*0.2232</f>
        <v>0</v>
      </c>
      <c r="J93" s="77">
        <f>H93+I93</f>
        <v>0</v>
      </c>
      <c r="K93" s="77">
        <f>J93*(0.03%)</f>
        <v>0</v>
      </c>
      <c r="L93" s="77">
        <f>J93-K93</f>
        <v>0</v>
      </c>
      <c r="M93" s="77">
        <f>L93*G93</f>
        <v>0</v>
      </c>
      <c r="N93" s="77">
        <f>M93/M$16</f>
        <v>0</v>
      </c>
      <c r="O93" s="115"/>
      <c r="P93" s="60" t="s">
        <v>190</v>
      </c>
    </row>
    <row r="94" spans="1:16" s="46" customFormat="1" ht="23.25" customHeight="1" x14ac:dyDescent="0.2">
      <c r="A94" s="59" t="s">
        <v>191</v>
      </c>
      <c r="B94" s="54" t="s">
        <v>39</v>
      </c>
      <c r="C94" s="67">
        <v>2225</v>
      </c>
      <c r="D94" s="67" t="s">
        <v>114</v>
      </c>
      <c r="E94" s="73" t="s">
        <v>192</v>
      </c>
      <c r="F94" s="67" t="s">
        <v>116</v>
      </c>
      <c r="G94" s="67">
        <v>50</v>
      </c>
      <c r="H94" s="72">
        <v>124.35</v>
      </c>
      <c r="I94" s="59">
        <f>H94*0.2232</f>
        <v>27.754919999999998</v>
      </c>
      <c r="J94" s="59">
        <f>H94+I94</f>
        <v>152.10491999999999</v>
      </c>
      <c r="K94" s="59">
        <f>J94*(0.03%)</f>
        <v>4.5631475999999997E-2</v>
      </c>
      <c r="L94" s="59">
        <f>J94-K94</f>
        <v>152.05928852399998</v>
      </c>
      <c r="M94" s="59">
        <f>L94*G94</f>
        <v>7602.9644261999993</v>
      </c>
      <c r="N94" s="59">
        <f>M94/M$16</f>
        <v>0.10717078101342274</v>
      </c>
      <c r="O94" s="115"/>
    </row>
    <row r="95" spans="1:16" s="46" customFormat="1" ht="23.25" customHeight="1" x14ac:dyDescent="0.2">
      <c r="A95" s="111" t="s">
        <v>193</v>
      </c>
      <c r="B95" s="111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65"/>
      <c r="O95" s="115"/>
    </row>
    <row r="96" spans="1:16" s="46" customFormat="1" ht="23.25" customHeight="1" x14ac:dyDescent="0.2">
      <c r="A96" s="59" t="s">
        <v>194</v>
      </c>
      <c r="B96" s="54" t="s">
        <v>39</v>
      </c>
      <c r="C96" s="67">
        <v>88325</v>
      </c>
      <c r="D96" s="67" t="s">
        <v>41</v>
      </c>
      <c r="E96" s="73" t="s">
        <v>195</v>
      </c>
      <c r="F96" s="67" t="s">
        <v>43</v>
      </c>
      <c r="G96" s="75">
        <v>120</v>
      </c>
      <c r="H96" s="74">
        <v>27.2</v>
      </c>
      <c r="I96" s="59">
        <f>H96*0.2232</f>
        <v>6.07104</v>
      </c>
      <c r="J96" s="59">
        <f>H96+I96</f>
        <v>33.271039999999999</v>
      </c>
      <c r="K96" s="59">
        <f>J96*(0.03%)</f>
        <v>9.9813119999999991E-3</v>
      </c>
      <c r="L96" s="59">
        <f>J96-K96</f>
        <v>33.261058687999999</v>
      </c>
      <c r="M96" s="59">
        <f>L96*G96</f>
        <v>3991.3270425599999</v>
      </c>
      <c r="N96" s="59">
        <f>M96/M$16</f>
        <v>5.6261428102583326E-2</v>
      </c>
      <c r="O96" s="115"/>
    </row>
    <row r="97" spans="1:17" s="46" customFormat="1" ht="23.25" customHeight="1" x14ac:dyDescent="0.2">
      <c r="A97" s="106" t="s">
        <v>196</v>
      </c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15"/>
    </row>
    <row r="98" spans="1:17" s="46" customFormat="1" ht="23.25" customHeight="1" x14ac:dyDescent="0.2">
      <c r="A98" s="59" t="s">
        <v>197</v>
      </c>
      <c r="B98" s="54" t="s">
        <v>39</v>
      </c>
      <c r="C98" s="67">
        <v>88488</v>
      </c>
      <c r="D98" s="67" t="s">
        <v>41</v>
      </c>
      <c r="E98" s="78" t="s">
        <v>172</v>
      </c>
      <c r="F98" s="67" t="s">
        <v>116</v>
      </c>
      <c r="G98" s="67">
        <v>67</v>
      </c>
      <c r="H98" s="79">
        <v>16.93</v>
      </c>
      <c r="I98" s="59">
        <f>H98*0.2232</f>
        <v>3.7787760000000001</v>
      </c>
      <c r="J98" s="59">
        <f>H98+I98</f>
        <v>20.708776</v>
      </c>
      <c r="K98" s="59">
        <f>J98*(0.03%)</f>
        <v>6.2126327999999995E-3</v>
      </c>
      <c r="L98" s="59">
        <f>J98-K98</f>
        <v>20.7025633672</v>
      </c>
      <c r="M98" s="59">
        <f>L98*G98</f>
        <v>1387.0717456023999</v>
      </c>
      <c r="N98" s="59">
        <f>M98/M$16</f>
        <v>1.9552052852647453E-2</v>
      </c>
      <c r="O98" s="115"/>
    </row>
    <row r="99" spans="1:17" s="46" customFormat="1" ht="23.25" customHeight="1" x14ac:dyDescent="0.2">
      <c r="A99" s="59" t="s">
        <v>198</v>
      </c>
      <c r="B99" s="54" t="s">
        <v>39</v>
      </c>
      <c r="C99" s="67" t="s">
        <v>159</v>
      </c>
      <c r="D99" s="67" t="s">
        <v>41</v>
      </c>
      <c r="E99" s="78" t="s">
        <v>160</v>
      </c>
      <c r="F99" s="67" t="s">
        <v>116</v>
      </c>
      <c r="G99" s="67">
        <f>21+21+25+9</f>
        <v>76</v>
      </c>
      <c r="H99" s="79">
        <v>14.03</v>
      </c>
      <c r="I99" s="59">
        <f>H99*0.2232</f>
        <v>3.1314959999999998</v>
      </c>
      <c r="J99" s="59">
        <f>H99+I99</f>
        <v>17.161496</v>
      </c>
      <c r="K99" s="59">
        <f>J99*(0.03%)</f>
        <v>5.1484487999999993E-3</v>
      </c>
      <c r="L99" s="59">
        <f>J99-K99</f>
        <v>17.1563475512</v>
      </c>
      <c r="M99" s="59">
        <f>L99*G99</f>
        <v>1303.8824138912</v>
      </c>
      <c r="N99" s="59">
        <f>M99/M$16</f>
        <v>1.8379422658462791E-2</v>
      </c>
      <c r="O99" s="115"/>
    </row>
    <row r="100" spans="1:17" s="46" customFormat="1" ht="23.25" customHeight="1" x14ac:dyDescent="0.2">
      <c r="A100" s="59" t="s">
        <v>199</v>
      </c>
      <c r="B100" s="54" t="s">
        <v>39</v>
      </c>
      <c r="C100" s="67">
        <v>100746</v>
      </c>
      <c r="D100" s="67" t="s">
        <v>41</v>
      </c>
      <c r="E100" s="78" t="s">
        <v>200</v>
      </c>
      <c r="F100" s="67" t="s">
        <v>116</v>
      </c>
      <c r="G100" s="67">
        <f>2.1*1.6*2</f>
        <v>6.7200000000000006</v>
      </c>
      <c r="H100" s="69">
        <v>30.1</v>
      </c>
      <c r="I100" s="59">
        <f>H100*0.2232</f>
        <v>6.7183200000000003</v>
      </c>
      <c r="J100" s="59">
        <f>H100+I100</f>
        <v>36.81832</v>
      </c>
      <c r="K100" s="59">
        <f>J100*(0.03%)</f>
        <v>1.1045495999999998E-2</v>
      </c>
      <c r="L100" s="59">
        <f>J100-K100</f>
        <v>36.807274503999999</v>
      </c>
      <c r="M100" s="59">
        <f>L100*G100</f>
        <v>247.34488466688001</v>
      </c>
      <c r="N100" s="59">
        <f>M100/M$16</f>
        <v>3.4865537944747962E-3</v>
      </c>
      <c r="O100" s="115"/>
    </row>
    <row r="101" spans="1:17" s="46" customFormat="1" ht="23.25" customHeight="1" x14ac:dyDescent="0.2">
      <c r="A101" s="59" t="s">
        <v>201</v>
      </c>
      <c r="B101" s="54" t="s">
        <v>39</v>
      </c>
      <c r="C101" s="80">
        <v>96135</v>
      </c>
      <c r="D101" s="80" t="s">
        <v>41</v>
      </c>
      <c r="E101" s="81" t="s">
        <v>164</v>
      </c>
      <c r="F101" s="80" t="s">
        <v>116</v>
      </c>
      <c r="G101" s="80">
        <v>4</v>
      </c>
      <c r="H101" s="82">
        <v>35.380000000000003</v>
      </c>
      <c r="I101" s="59">
        <f>H101*0.2232</f>
        <v>7.8968160000000012</v>
      </c>
      <c r="J101" s="59">
        <f>H101+I101</f>
        <v>43.276816000000004</v>
      </c>
      <c r="K101" s="59">
        <f>J101*(0.03%)</f>
        <v>1.2983044799999999E-2</v>
      </c>
      <c r="L101" s="59">
        <f>J101-K101</f>
        <v>43.263832955200002</v>
      </c>
      <c r="M101" s="59">
        <f>L101*G101</f>
        <v>173.05533182080001</v>
      </c>
      <c r="N101" s="59">
        <f>M101/M$16</f>
        <v>2.4393741743497527E-3</v>
      </c>
      <c r="O101" s="115"/>
    </row>
    <row r="102" spans="1:17" s="46" customFormat="1" ht="23.25" customHeight="1" x14ac:dyDescent="0.2">
      <c r="A102" s="106" t="s">
        <v>202</v>
      </c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15"/>
    </row>
    <row r="103" spans="1:17" s="46" customFormat="1" ht="23.25" customHeight="1" x14ac:dyDescent="0.2">
      <c r="A103" s="59" t="s">
        <v>203</v>
      </c>
      <c r="B103" s="54" t="s">
        <v>39</v>
      </c>
      <c r="C103" s="67">
        <v>12631</v>
      </c>
      <c r="D103" s="67" t="s">
        <v>114</v>
      </c>
      <c r="E103" s="68" t="s">
        <v>155</v>
      </c>
      <c r="F103" s="67" t="s">
        <v>116</v>
      </c>
      <c r="G103" s="67">
        <f>5*2.9</f>
        <v>14.5</v>
      </c>
      <c r="H103" s="69">
        <v>26.21</v>
      </c>
      <c r="I103" s="59">
        <f>H103*0.2232</f>
        <v>5.8500720000000008</v>
      </c>
      <c r="J103" s="59">
        <f>H103+I103</f>
        <v>32.060072000000005</v>
      </c>
      <c r="K103" s="59">
        <f>J103*(0.03%)</f>
        <v>9.6180216000000002E-3</v>
      </c>
      <c r="L103" s="59">
        <f>J103-K103</f>
        <v>32.050453978400007</v>
      </c>
      <c r="M103" s="59">
        <f>L103*G103</f>
        <v>464.7315826868001</v>
      </c>
      <c r="N103" s="59">
        <f>M103/M$16</f>
        <v>6.5508193759945725E-3</v>
      </c>
      <c r="O103" s="115"/>
    </row>
    <row r="104" spans="1:17" s="46" customFormat="1" ht="23.25" customHeight="1" x14ac:dyDescent="0.2">
      <c r="A104" s="59" t="s">
        <v>204</v>
      </c>
      <c r="B104" s="54" t="s">
        <v>39</v>
      </c>
      <c r="C104" s="67">
        <v>47016</v>
      </c>
      <c r="D104" s="67" t="s">
        <v>205</v>
      </c>
      <c r="E104" s="78" t="s">
        <v>206</v>
      </c>
      <c r="F104" s="67" t="s">
        <v>116</v>
      </c>
      <c r="G104" s="67">
        <v>14.5</v>
      </c>
      <c r="H104" s="69">
        <v>42.08</v>
      </c>
      <c r="I104" s="59">
        <f>H104*0.2232</f>
        <v>9.3922559999999997</v>
      </c>
      <c r="J104" s="59">
        <f>H104+I104</f>
        <v>51.472256000000002</v>
      </c>
      <c r="K104" s="59">
        <f>J104*(0.03%)</f>
        <v>1.54416768E-2</v>
      </c>
      <c r="L104" s="59">
        <f>J104-K104</f>
        <v>51.4568143232</v>
      </c>
      <c r="M104" s="59">
        <f>L104*G104</f>
        <v>746.12380768640003</v>
      </c>
      <c r="N104" s="59">
        <f>M104/M$16</f>
        <v>1.0517301768098114E-2</v>
      </c>
      <c r="O104" s="115"/>
    </row>
    <row r="105" spans="1:17" s="46" customFormat="1" ht="23.25" customHeight="1" x14ac:dyDescent="0.2">
      <c r="A105" s="59" t="s">
        <v>204</v>
      </c>
      <c r="B105" s="54" t="s">
        <v>39</v>
      </c>
      <c r="C105" s="67">
        <v>97638</v>
      </c>
      <c r="D105" s="67" t="s">
        <v>41</v>
      </c>
      <c r="E105" s="78" t="s">
        <v>207</v>
      </c>
      <c r="F105" s="67" t="s">
        <v>116</v>
      </c>
      <c r="G105" s="67">
        <f>2.1*0.9</f>
        <v>1.8900000000000001</v>
      </c>
      <c r="H105" s="69">
        <v>9.34</v>
      </c>
      <c r="I105" s="59">
        <f>H105*0.2232</f>
        <v>2.0846879999999999</v>
      </c>
      <c r="J105" s="59">
        <f>H105+I105</f>
        <v>11.424688</v>
      </c>
      <c r="K105" s="59">
        <f>J105*(0.03%)</f>
        <v>3.4274063999999997E-3</v>
      </c>
      <c r="L105" s="59">
        <f>J105-K105</f>
        <v>11.4212605936</v>
      </c>
      <c r="M105" s="59">
        <f>L105*G105</f>
        <v>21.586182521904</v>
      </c>
      <c r="N105" s="59">
        <f>M105/M$16</f>
        <v>3.0427710959671033E-4</v>
      </c>
      <c r="O105" s="115"/>
    </row>
    <row r="106" spans="1:17" s="46" customFormat="1" ht="23.25" customHeight="1" x14ac:dyDescent="0.2">
      <c r="A106" s="106" t="s">
        <v>208</v>
      </c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15"/>
    </row>
    <row r="107" spans="1:17" s="46" customFormat="1" ht="23.25" customHeight="1" x14ac:dyDescent="0.2">
      <c r="A107" s="59" t="s">
        <v>209</v>
      </c>
      <c r="B107" s="54" t="s">
        <v>39</v>
      </c>
      <c r="C107" s="70">
        <v>99861</v>
      </c>
      <c r="D107" s="70" t="s">
        <v>41</v>
      </c>
      <c r="E107" s="71" t="s">
        <v>210</v>
      </c>
      <c r="F107" s="70" t="s">
        <v>116</v>
      </c>
      <c r="G107" s="70">
        <f>54.72-54.72</f>
        <v>0</v>
      </c>
      <c r="H107" s="69">
        <v>688.72</v>
      </c>
      <c r="I107" s="59">
        <f>H107*0.2232</f>
        <v>153.72230400000001</v>
      </c>
      <c r="J107" s="59">
        <f>H107+I107</f>
        <v>842.44230400000004</v>
      </c>
      <c r="K107" s="59">
        <f>J107*(0.03%)</f>
        <v>0.25273269119999997</v>
      </c>
      <c r="L107" s="59">
        <f>J107-K107</f>
        <v>842.18957130880005</v>
      </c>
      <c r="M107" s="59">
        <f>L107*G107</f>
        <v>0</v>
      </c>
      <c r="N107" s="59">
        <f>M107/M$16</f>
        <v>0</v>
      </c>
      <c r="O107" s="115"/>
      <c r="P107" s="60" t="s">
        <v>211</v>
      </c>
      <c r="Q107" s="83"/>
    </row>
    <row r="108" spans="1:17" s="46" customFormat="1" ht="23.25" customHeight="1" x14ac:dyDescent="0.2">
      <c r="A108" s="59" t="s">
        <v>212</v>
      </c>
      <c r="B108" s="54" t="s">
        <v>39</v>
      </c>
      <c r="C108" s="70">
        <v>7695</v>
      </c>
      <c r="D108" s="70" t="s">
        <v>114</v>
      </c>
      <c r="E108" s="71" t="s">
        <v>213</v>
      </c>
      <c r="F108" s="70" t="s">
        <v>116</v>
      </c>
      <c r="G108" s="70">
        <f>54.72-54.72</f>
        <v>0</v>
      </c>
      <c r="H108" s="69">
        <v>26.85</v>
      </c>
      <c r="I108" s="59">
        <f>H108*0.2232</f>
        <v>5.9929200000000007</v>
      </c>
      <c r="J108" s="59">
        <f>H108+I108</f>
        <v>32.842919999999999</v>
      </c>
      <c r="K108" s="59">
        <f>J108*(0.03%)</f>
        <v>9.8528759999999983E-3</v>
      </c>
      <c r="L108" s="59">
        <f>J108-K108</f>
        <v>32.833067124000003</v>
      </c>
      <c r="M108" s="59">
        <f>L108*G108</f>
        <v>0</v>
      </c>
      <c r="N108" s="59">
        <f>M108/M$16</f>
        <v>0</v>
      </c>
      <c r="O108" s="115"/>
    </row>
    <row r="109" spans="1:17" s="46" customFormat="1" ht="23.25" customHeight="1" x14ac:dyDescent="0.2">
      <c r="A109" s="106" t="s">
        <v>214</v>
      </c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15"/>
    </row>
    <row r="110" spans="1:17" s="46" customFormat="1" ht="23.25" customHeight="1" x14ac:dyDescent="0.2">
      <c r="A110" s="59" t="s">
        <v>215</v>
      </c>
      <c r="B110" s="54" t="s">
        <v>39</v>
      </c>
      <c r="C110" s="84" t="s">
        <v>216</v>
      </c>
      <c r="D110" s="84" t="s">
        <v>217</v>
      </c>
      <c r="E110" s="73" t="s">
        <v>218</v>
      </c>
      <c r="F110" s="84" t="s">
        <v>116</v>
      </c>
      <c r="G110" s="84">
        <v>11.48</v>
      </c>
      <c r="H110" s="72">
        <v>147.05000000000001</v>
      </c>
      <c r="I110" s="59">
        <f>H110*0.2232</f>
        <v>32.821560000000005</v>
      </c>
      <c r="J110" s="59">
        <f>H110+I110</f>
        <v>179.87156000000002</v>
      </c>
      <c r="K110" s="59">
        <f>J110*(0.03%)</f>
        <v>5.3961467999999999E-2</v>
      </c>
      <c r="L110" s="59">
        <f>J110-K110</f>
        <v>179.81759853200001</v>
      </c>
      <c r="M110" s="59">
        <f>L110*G110</f>
        <v>2064.30603114736</v>
      </c>
      <c r="N110" s="59">
        <f>M110/M$16</f>
        <v>2.9098293403347551E-2</v>
      </c>
      <c r="O110" s="115"/>
    </row>
    <row r="111" spans="1:17" s="46" customFormat="1" ht="23.25" customHeight="1" x14ac:dyDescent="0.2">
      <c r="A111" s="106" t="s">
        <v>219</v>
      </c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15"/>
    </row>
    <row r="112" spans="1:17" s="46" customFormat="1" ht="23.25" customHeight="1" x14ac:dyDescent="0.2">
      <c r="A112" s="59" t="s">
        <v>220</v>
      </c>
      <c r="B112" s="54" t="s">
        <v>39</v>
      </c>
      <c r="C112" s="70">
        <v>102162</v>
      </c>
      <c r="D112" s="70" t="s">
        <v>41</v>
      </c>
      <c r="E112" s="85" t="s">
        <v>221</v>
      </c>
      <c r="F112" s="70" t="s">
        <v>116</v>
      </c>
      <c r="G112" s="70">
        <v>1.1599999999999999</v>
      </c>
      <c r="H112" s="86">
        <v>302.54000000000002</v>
      </c>
      <c r="I112" s="59">
        <f>H112*0.2232</f>
        <v>67.526928000000012</v>
      </c>
      <c r="J112" s="59">
        <f>H112+I112</f>
        <v>370.06692800000002</v>
      </c>
      <c r="K112" s="59">
        <f>J112*(0.03%)</f>
        <v>0.1110200784</v>
      </c>
      <c r="L112" s="59">
        <f>J112-K112</f>
        <v>369.95590792160004</v>
      </c>
      <c r="M112" s="59">
        <f>L112*G112</f>
        <v>429.14885318905601</v>
      </c>
      <c r="N112" s="59">
        <f>M112/M$16</f>
        <v>6.0492480549817554E-3</v>
      </c>
      <c r="O112" s="115"/>
    </row>
    <row r="113" spans="1:15" s="46" customFormat="1" ht="23.25" customHeight="1" x14ac:dyDescent="0.2">
      <c r="A113" s="59" t="s">
        <v>222</v>
      </c>
      <c r="B113" s="54" t="s">
        <v>39</v>
      </c>
      <c r="C113" s="70">
        <v>102161</v>
      </c>
      <c r="D113" s="70" t="s">
        <v>41</v>
      </c>
      <c r="E113" s="85" t="s">
        <v>223</v>
      </c>
      <c r="F113" s="70" t="s">
        <v>116</v>
      </c>
      <c r="G113" s="70">
        <v>10.91</v>
      </c>
      <c r="H113" s="86">
        <v>283.79000000000002</v>
      </c>
      <c r="I113" s="59">
        <f>H113*0.2232</f>
        <v>63.34192800000001</v>
      </c>
      <c r="J113" s="59">
        <f>H113+I113</f>
        <v>347.13192800000002</v>
      </c>
      <c r="K113" s="59">
        <f>J113*(0.03%)</f>
        <v>0.1041395784</v>
      </c>
      <c r="L113" s="59">
        <f>J113-K113</f>
        <v>347.02778842160001</v>
      </c>
      <c r="M113" s="59">
        <f>L113*G113</f>
        <v>3786.0731716796563</v>
      </c>
      <c r="N113" s="59">
        <f>M113/M$16</f>
        <v>5.3368185886103696E-2</v>
      </c>
      <c r="O113" s="115"/>
    </row>
    <row r="114" spans="1:15" s="46" customFormat="1" ht="23.25" customHeight="1" x14ac:dyDescent="0.2">
      <c r="A114" s="59" t="s">
        <v>224</v>
      </c>
      <c r="B114" s="54" t="s">
        <v>39</v>
      </c>
      <c r="C114" s="70">
        <v>1883</v>
      </c>
      <c r="D114" s="70" t="s">
        <v>114</v>
      </c>
      <c r="E114" s="85" t="s">
        <v>225</v>
      </c>
      <c r="F114" s="70" t="s">
        <v>116</v>
      </c>
      <c r="G114" s="70">
        <f>0.16*2</f>
        <v>0.32</v>
      </c>
      <c r="H114" s="86">
        <v>145.83000000000001</v>
      </c>
      <c r="I114" s="59">
        <f>H114*0.2232</f>
        <v>32.549256000000007</v>
      </c>
      <c r="J114" s="59">
        <f>H114+I114</f>
        <v>178.37925600000003</v>
      </c>
      <c r="K114" s="59">
        <f>J114*(0.03%)</f>
        <v>5.3513776800000003E-2</v>
      </c>
      <c r="L114" s="59">
        <f>J114-K114</f>
        <v>178.32574222320002</v>
      </c>
      <c r="M114" s="59">
        <f>L114*G114</f>
        <v>57.064237511424011</v>
      </c>
      <c r="N114" s="59">
        <f>M114/M$16</f>
        <v>8.0437294707840477E-4</v>
      </c>
      <c r="O114" s="115"/>
    </row>
    <row r="115" spans="1:15" s="46" customFormat="1" ht="23.25" customHeight="1" x14ac:dyDescent="0.2">
      <c r="A115" s="59" t="s">
        <v>226</v>
      </c>
      <c r="B115" s="54" t="s">
        <v>39</v>
      </c>
      <c r="C115" s="70">
        <v>18889</v>
      </c>
      <c r="D115" s="70" t="s">
        <v>114</v>
      </c>
      <c r="E115" s="85" t="s">
        <v>227</v>
      </c>
      <c r="F115" s="70" t="s">
        <v>116</v>
      </c>
      <c r="G115" s="70">
        <v>2.35</v>
      </c>
      <c r="H115" s="86">
        <v>501.66</v>
      </c>
      <c r="I115" s="59">
        <f>H115*0.2232</f>
        <v>111.97051200000001</v>
      </c>
      <c r="J115" s="59">
        <f>H115+I115</f>
        <v>613.63051200000007</v>
      </c>
      <c r="K115" s="59">
        <f>J115*(0.03%)</f>
        <v>0.1840891536</v>
      </c>
      <c r="L115" s="59">
        <f>J115-K115</f>
        <v>613.44642284640008</v>
      </c>
      <c r="M115" s="59">
        <f>L115*G115</f>
        <v>1441.5990936890403</v>
      </c>
      <c r="N115" s="59">
        <f>M115/M$16</f>
        <v>2.0320666008444732E-2</v>
      </c>
      <c r="O115" s="115"/>
    </row>
    <row r="116" spans="1:15" s="37" customFormat="1" ht="16.5" customHeight="1" x14ac:dyDescent="0.2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115"/>
    </row>
    <row r="117" spans="1:15" s="37" customFormat="1" ht="16.5" customHeight="1" x14ac:dyDescent="0.2">
      <c r="A117" s="107"/>
      <c r="B117" s="107"/>
      <c r="C117" s="107"/>
      <c r="D117" s="107"/>
      <c r="E117" s="107"/>
      <c r="F117" s="107"/>
      <c r="G117" s="107"/>
      <c r="H117" s="88" t="s">
        <v>228</v>
      </c>
      <c r="I117" s="89"/>
      <c r="J117" s="108">
        <f>M16+M31+M69</f>
        <v>193283.03905894858</v>
      </c>
      <c r="K117" s="108"/>
      <c r="L117" s="108"/>
      <c r="M117" s="108"/>
      <c r="N117" s="108"/>
      <c r="O117" s="115"/>
    </row>
    <row r="118" spans="1:15" ht="16.5" customHeight="1" x14ac:dyDescent="0.25">
      <c r="A118" s="94" t="s">
        <v>229</v>
      </c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115"/>
    </row>
    <row r="119" spans="1:15" ht="16.5" customHeight="1" x14ac:dyDescent="0.25">
      <c r="A119" s="94"/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O119" s="115"/>
    </row>
    <row r="120" spans="1:15" ht="16.5" customHeight="1" x14ac:dyDescent="0.25">
      <c r="A120" s="94"/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115"/>
    </row>
    <row r="121" spans="1:15" ht="16.5" customHeight="1" x14ac:dyDescent="0.25">
      <c r="A121" s="94"/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O121" s="115"/>
    </row>
    <row r="122" spans="1:15" ht="16.5" customHeight="1" x14ac:dyDescent="0.25">
      <c r="A122" s="94"/>
      <c r="B122" s="94"/>
      <c r="C122" s="94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O122" s="115"/>
    </row>
    <row r="123" spans="1:15" ht="16.5" customHeight="1" x14ac:dyDescent="0.25">
      <c r="A123" s="94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115"/>
    </row>
    <row r="124" spans="1:15" ht="16.5" customHeight="1" x14ac:dyDescent="0.25">
      <c r="A124" s="94"/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115"/>
    </row>
    <row r="125" spans="1:15" ht="16.5" customHeight="1" x14ac:dyDescent="0.25">
      <c r="A125" s="99"/>
      <c r="B125" s="99"/>
      <c r="C125" s="99"/>
      <c r="D125" s="99"/>
      <c r="E125" s="99"/>
      <c r="F125" s="99"/>
      <c r="G125" s="99"/>
      <c r="H125" s="99"/>
      <c r="I125" s="99"/>
      <c r="J125" s="99"/>
      <c r="K125" s="99"/>
      <c r="L125" s="99"/>
      <c r="M125" s="99"/>
      <c r="N125" s="99"/>
      <c r="O125" s="99"/>
    </row>
    <row r="126" spans="1:15" ht="16.5" customHeight="1" x14ac:dyDescent="0.25">
      <c r="A126" s="100" t="s">
        <v>230</v>
      </c>
      <c r="B126" s="100"/>
      <c r="C126" s="100"/>
      <c r="D126" s="100"/>
      <c r="E126" s="100"/>
      <c r="F126" s="100"/>
      <c r="G126" s="101" t="s">
        <v>231</v>
      </c>
      <c r="H126" s="101"/>
      <c r="I126" s="101"/>
      <c r="J126" s="101"/>
      <c r="K126" s="102"/>
      <c r="L126" s="102"/>
      <c r="M126" s="102"/>
      <c r="N126" s="102"/>
      <c r="O126" s="103" t="s">
        <v>232</v>
      </c>
    </row>
    <row r="127" spans="1:15" ht="16.5" customHeight="1" x14ac:dyDescent="0.25">
      <c r="A127" s="104" t="s">
        <v>233</v>
      </c>
      <c r="B127" s="104"/>
      <c r="C127" s="104"/>
      <c r="D127" s="104"/>
      <c r="E127" s="104"/>
      <c r="F127" s="104"/>
      <c r="G127" s="105" t="s">
        <v>234</v>
      </c>
      <c r="H127" s="105"/>
      <c r="I127" s="105"/>
      <c r="J127" s="105"/>
      <c r="K127" s="102"/>
      <c r="L127" s="102"/>
      <c r="M127" s="102"/>
      <c r="N127" s="102"/>
      <c r="O127" s="103"/>
    </row>
    <row r="128" spans="1:15" ht="16.5" customHeight="1" x14ac:dyDescent="0.25">
      <c r="A128" s="104"/>
      <c r="B128" s="104"/>
      <c r="C128" s="104"/>
      <c r="D128" s="104"/>
      <c r="E128" s="104"/>
      <c r="F128" s="104"/>
      <c r="G128" s="105"/>
      <c r="H128" s="105"/>
      <c r="I128" s="105"/>
      <c r="J128" s="105"/>
      <c r="K128" s="102"/>
      <c r="L128" s="102"/>
      <c r="M128" s="102"/>
      <c r="N128" s="102"/>
      <c r="O128" s="103"/>
    </row>
    <row r="129" spans="1:19" ht="16.5" customHeight="1" x14ac:dyDescent="0.25">
      <c r="A129" s="104"/>
      <c r="B129" s="104"/>
      <c r="C129" s="104"/>
      <c r="D129" s="104"/>
      <c r="E129" s="104"/>
      <c r="F129" s="104"/>
      <c r="G129" s="105"/>
      <c r="H129" s="105"/>
      <c r="I129" s="105"/>
      <c r="J129" s="105"/>
      <c r="K129" s="102"/>
      <c r="L129" s="102"/>
      <c r="M129" s="102"/>
      <c r="N129" s="102"/>
      <c r="O129" s="103"/>
    </row>
    <row r="130" spans="1:19" ht="16.5" customHeight="1" x14ac:dyDescent="0.25">
      <c r="A130" s="104"/>
      <c r="B130" s="104"/>
      <c r="C130" s="104"/>
      <c r="D130" s="104"/>
      <c r="E130" s="104"/>
      <c r="F130" s="104"/>
      <c r="G130" s="105"/>
      <c r="H130" s="105"/>
      <c r="I130" s="105"/>
      <c r="J130" s="105"/>
      <c r="K130" s="102"/>
      <c r="L130" s="102"/>
      <c r="M130" s="102"/>
      <c r="N130" s="102"/>
      <c r="O130" s="103"/>
    </row>
    <row r="131" spans="1:19" ht="16.5" customHeight="1" x14ac:dyDescent="0.25">
      <c r="A131" s="104"/>
      <c r="B131" s="104"/>
      <c r="C131" s="104"/>
      <c r="D131" s="104"/>
      <c r="E131" s="104"/>
      <c r="F131" s="104"/>
      <c r="G131" s="105"/>
      <c r="H131" s="105"/>
      <c r="I131" s="105"/>
      <c r="J131" s="105"/>
      <c r="K131" s="102"/>
      <c r="L131" s="102"/>
      <c r="M131" s="102"/>
      <c r="N131" s="102"/>
      <c r="O131" s="103"/>
    </row>
    <row r="132" spans="1:19" ht="16.5" customHeight="1" x14ac:dyDescent="0.25">
      <c r="A132" s="104"/>
      <c r="B132" s="104"/>
      <c r="C132" s="104"/>
      <c r="D132" s="104"/>
      <c r="E132" s="104"/>
      <c r="F132" s="104"/>
      <c r="G132" s="105"/>
      <c r="H132" s="105"/>
      <c r="I132" s="105"/>
      <c r="J132" s="105"/>
      <c r="K132" s="102"/>
      <c r="L132" s="102"/>
      <c r="M132" s="102"/>
      <c r="N132" s="102"/>
      <c r="O132" s="103"/>
    </row>
    <row r="133" spans="1:19" ht="16.5" customHeight="1" x14ac:dyDescent="0.25">
      <c r="A133" s="104"/>
      <c r="B133" s="104"/>
      <c r="C133" s="104"/>
      <c r="D133" s="104"/>
      <c r="E133" s="104"/>
      <c r="F133" s="104"/>
      <c r="G133" s="105"/>
      <c r="H133" s="105"/>
      <c r="I133" s="105"/>
      <c r="J133" s="105"/>
      <c r="K133" s="102"/>
      <c r="L133" s="102"/>
      <c r="M133" s="102"/>
      <c r="N133" s="102"/>
      <c r="O133" s="103"/>
    </row>
    <row r="134" spans="1:19" ht="16.5" customHeight="1" x14ac:dyDescent="0.25">
      <c r="A134" s="104"/>
      <c r="B134" s="104"/>
      <c r="C134" s="104"/>
      <c r="D134" s="104"/>
      <c r="E134" s="104"/>
      <c r="F134" s="104"/>
      <c r="G134" s="105"/>
      <c r="H134" s="105"/>
      <c r="I134" s="105"/>
      <c r="J134" s="105"/>
      <c r="K134" s="102"/>
      <c r="L134" s="102"/>
      <c r="M134" s="102"/>
      <c r="N134" s="102"/>
      <c r="O134" s="103"/>
    </row>
    <row r="135" spans="1:19" ht="16.5" customHeight="1" x14ac:dyDescent="0.25">
      <c r="A135" s="93"/>
      <c r="B135" s="93"/>
      <c r="C135" s="93"/>
      <c r="D135" s="93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</row>
    <row r="136" spans="1:19" ht="16.5" customHeight="1" x14ac:dyDescent="0.25">
      <c r="A136" s="94" t="s">
        <v>235</v>
      </c>
      <c r="B136" s="94"/>
      <c r="C136" s="94"/>
      <c r="D136" s="94"/>
      <c r="E136" s="95" t="s">
        <v>236</v>
      </c>
      <c r="F136" s="95"/>
      <c r="G136" s="95"/>
      <c r="H136" s="95"/>
      <c r="I136" s="95"/>
      <c r="J136" s="95"/>
      <c r="K136" s="96" t="s">
        <v>237</v>
      </c>
      <c r="L136" s="96"/>
      <c r="M136" s="96"/>
      <c r="N136" s="96"/>
      <c r="O136" s="97" t="s">
        <v>238</v>
      </c>
    </row>
    <row r="137" spans="1:19" ht="16.5" customHeight="1" x14ac:dyDescent="0.25">
      <c r="A137" s="94"/>
      <c r="B137" s="94"/>
      <c r="C137" s="94"/>
      <c r="D137" s="94"/>
      <c r="E137" s="95"/>
      <c r="F137" s="95"/>
      <c r="G137" s="95"/>
      <c r="H137" s="95"/>
      <c r="I137" s="95"/>
      <c r="J137" s="95"/>
      <c r="K137" s="96"/>
      <c r="L137" s="96"/>
      <c r="M137" s="96"/>
      <c r="N137" s="96"/>
      <c r="O137" s="97"/>
    </row>
    <row r="138" spans="1:19" ht="16.5" customHeight="1" x14ac:dyDescent="0.25">
      <c r="A138" s="98" t="s">
        <v>239</v>
      </c>
      <c r="B138" s="98"/>
      <c r="C138" s="98"/>
      <c r="D138" s="98"/>
      <c r="E138" s="98"/>
      <c r="F138" s="98"/>
      <c r="G138" s="98"/>
      <c r="H138" s="98"/>
      <c r="I138" s="98"/>
      <c r="J138" s="98"/>
      <c r="K138" s="96"/>
      <c r="L138" s="96"/>
      <c r="M138" s="96"/>
      <c r="N138" s="96"/>
      <c r="O138" s="97"/>
    </row>
    <row r="139" spans="1:19" ht="16.5" customHeight="1" x14ac:dyDescent="0.25">
      <c r="A139" s="98"/>
      <c r="B139" s="98"/>
      <c r="C139" s="98"/>
      <c r="D139" s="98"/>
      <c r="E139" s="98"/>
      <c r="F139" s="98"/>
      <c r="G139" s="98"/>
      <c r="H139" s="98"/>
      <c r="I139" s="98"/>
      <c r="J139" s="98"/>
      <c r="K139" s="96"/>
      <c r="L139" s="96"/>
      <c r="M139" s="96"/>
      <c r="N139" s="96"/>
      <c r="O139" s="97"/>
    </row>
    <row r="140" spans="1:19" ht="16.5" customHeight="1" x14ac:dyDescent="0.25">
      <c r="A140" s="98"/>
      <c r="B140" s="98"/>
      <c r="C140" s="98"/>
      <c r="D140" s="98"/>
      <c r="E140" s="98"/>
      <c r="F140" s="98"/>
      <c r="G140" s="98"/>
      <c r="H140" s="98"/>
      <c r="I140" s="98"/>
      <c r="J140" s="98"/>
      <c r="K140" s="96"/>
      <c r="L140" s="96"/>
      <c r="M140" s="96"/>
      <c r="N140" s="96"/>
      <c r="O140" s="97"/>
    </row>
    <row r="141" spans="1:19" ht="16.5" customHeight="1" x14ac:dyDescent="0.25">
      <c r="A141" s="98"/>
      <c r="B141" s="98"/>
      <c r="C141" s="98"/>
      <c r="D141" s="98"/>
      <c r="E141" s="98"/>
      <c r="F141" s="98"/>
      <c r="G141" s="98"/>
      <c r="H141" s="98"/>
      <c r="I141" s="98"/>
      <c r="J141" s="98"/>
      <c r="K141" s="96"/>
      <c r="L141" s="96"/>
      <c r="M141" s="96"/>
      <c r="N141" s="96"/>
      <c r="O141" s="97"/>
    </row>
    <row r="142" spans="1:19" ht="16.5" customHeight="1" x14ac:dyDescent="0.25">
      <c r="A142" s="98"/>
      <c r="B142" s="98"/>
      <c r="C142" s="98"/>
      <c r="D142" s="98"/>
      <c r="E142" s="98"/>
      <c r="F142" s="98"/>
      <c r="G142" s="98"/>
      <c r="H142" s="98"/>
      <c r="I142" s="98"/>
      <c r="J142" s="98"/>
      <c r="K142" s="96"/>
      <c r="L142" s="96"/>
      <c r="M142" s="96"/>
      <c r="N142" s="96"/>
      <c r="O142" s="97"/>
    </row>
    <row r="143" spans="1:19" ht="13.5" customHeight="1" x14ac:dyDescent="0.25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</row>
    <row r="144" spans="1:19" ht="13.5" customHeight="1" x14ac:dyDescent="0.25"/>
    <row r="145" ht="13.5" customHeight="1" x14ac:dyDescent="0.25"/>
    <row r="146" ht="13.5" customHeight="1" x14ac:dyDescent="0.25"/>
  </sheetData>
  <mergeCells count="83">
    <mergeCell ref="A1:I6"/>
    <mergeCell ref="J1:O1"/>
    <mergeCell ref="J2:O2"/>
    <mergeCell ref="J3:L3"/>
    <mergeCell ref="M3:N3"/>
    <mergeCell ref="J4:L4"/>
    <mergeCell ref="M4:N4"/>
    <mergeCell ref="J5:L5"/>
    <mergeCell ref="M5:N5"/>
    <mergeCell ref="J6:L6"/>
    <mergeCell ref="M6:N6"/>
    <mergeCell ref="A7:I7"/>
    <mergeCell ref="J7:N7"/>
    <mergeCell ref="O7:O13"/>
    <mergeCell ref="A8:I13"/>
    <mergeCell ref="J8:N8"/>
    <mergeCell ref="J9:N9"/>
    <mergeCell ref="J10:N10"/>
    <mergeCell ref="J11:N11"/>
    <mergeCell ref="J12:N12"/>
    <mergeCell ref="J13:N13"/>
    <mergeCell ref="A14:A15"/>
    <mergeCell ref="B14:B15"/>
    <mergeCell ref="C14:C15"/>
    <mergeCell ref="D14:D15"/>
    <mergeCell ref="E14:E15"/>
    <mergeCell ref="F14:F15"/>
    <mergeCell ref="G14:G15"/>
    <mergeCell ref="H14:L14"/>
    <mergeCell ref="M14:M15"/>
    <mergeCell ref="N14:N15"/>
    <mergeCell ref="H29:L29"/>
    <mergeCell ref="M29:M30"/>
    <mergeCell ref="N29:N30"/>
    <mergeCell ref="B31:F31"/>
    <mergeCell ref="A67:A68"/>
    <mergeCell ref="B67:B68"/>
    <mergeCell ref="C67:C68"/>
    <mergeCell ref="D67:D68"/>
    <mergeCell ref="N67:N68"/>
    <mergeCell ref="B69:F69"/>
    <mergeCell ref="A74:N74"/>
    <mergeCell ref="A80:N80"/>
    <mergeCell ref="A82:N82"/>
    <mergeCell ref="E67:E68"/>
    <mergeCell ref="F67:F68"/>
    <mergeCell ref="G67:G68"/>
    <mergeCell ref="H67:L67"/>
    <mergeCell ref="M67:M68"/>
    <mergeCell ref="A83:M83"/>
    <mergeCell ref="A90:M90"/>
    <mergeCell ref="A95:M95"/>
    <mergeCell ref="A97:N97"/>
    <mergeCell ref="A102:N102"/>
    <mergeCell ref="A106:N106"/>
    <mergeCell ref="A109:N109"/>
    <mergeCell ref="A111:N111"/>
    <mergeCell ref="A117:G117"/>
    <mergeCell ref="J117:N117"/>
    <mergeCell ref="A118:N124"/>
    <mergeCell ref="A125:O125"/>
    <mergeCell ref="A126:F126"/>
    <mergeCell ref="G126:J126"/>
    <mergeCell ref="K126:N134"/>
    <mergeCell ref="O126:O134"/>
    <mergeCell ref="A127:F134"/>
    <mergeCell ref="G127:J134"/>
    <mergeCell ref="O14:O124"/>
    <mergeCell ref="A29:A30"/>
    <mergeCell ref="B29:B30"/>
    <mergeCell ref="C29:C30"/>
    <mergeCell ref="D29:D30"/>
    <mergeCell ref="E29:E30"/>
    <mergeCell ref="F29:F30"/>
    <mergeCell ref="G29:G30"/>
    <mergeCell ref="A143:J143"/>
    <mergeCell ref="K143:S143"/>
    <mergeCell ref="A135:O135"/>
    <mergeCell ref="A136:D137"/>
    <mergeCell ref="E136:J137"/>
    <mergeCell ref="K136:N142"/>
    <mergeCell ref="O136:O142"/>
    <mergeCell ref="A138:J142"/>
  </mergeCells>
  <hyperlinks>
    <hyperlink ref="E35" r:id="rId1" xr:uid="{00000000-0004-0000-0000-000000000000}"/>
  </hyperlinks>
  <pageMargins left="0.25" right="0.25" top="0.75" bottom="0.75" header="0.511811023622047" footer="0.511811023622047"/>
  <pageSetup paperSize="9" scale="53" orientation="landscape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B24"/>
  <sheetViews>
    <sheetView zoomScale="110" zoomScaleNormal="110" workbookViewId="0">
      <selection activeCell="B8" sqref="B8"/>
    </sheetView>
  </sheetViews>
  <sheetFormatPr defaultColWidth="8.7109375" defaultRowHeight="15" x14ac:dyDescent="0.25"/>
  <cols>
    <col min="2" max="2" width="46.28515625" customWidth="1"/>
  </cols>
  <sheetData>
    <row r="3" spans="2:2" x14ac:dyDescent="0.25">
      <c r="B3" t="s">
        <v>240</v>
      </c>
    </row>
    <row r="4" spans="2:2" x14ac:dyDescent="0.25">
      <c r="B4" t="s">
        <v>241</v>
      </c>
    </row>
    <row r="5" spans="2:2" x14ac:dyDescent="0.25">
      <c r="B5" t="s">
        <v>242</v>
      </c>
    </row>
    <row r="6" spans="2:2" x14ac:dyDescent="0.25">
      <c r="B6" t="s">
        <v>243</v>
      </c>
    </row>
    <row r="7" spans="2:2" x14ac:dyDescent="0.25">
      <c r="B7">
        <v>1</v>
      </c>
    </row>
    <row r="8" spans="2:2" x14ac:dyDescent="0.25">
      <c r="B8" t="s">
        <v>244</v>
      </c>
    </row>
    <row r="9" spans="2:2" x14ac:dyDescent="0.25">
      <c r="B9" s="90">
        <v>20</v>
      </c>
    </row>
    <row r="10" spans="2:2" x14ac:dyDescent="0.25">
      <c r="B10" s="90">
        <v>40</v>
      </c>
    </row>
    <row r="11" spans="2:2" x14ac:dyDescent="0.25">
      <c r="B11">
        <v>7</v>
      </c>
    </row>
    <row r="12" spans="2:2" x14ac:dyDescent="0.25">
      <c r="B12" t="s">
        <v>245</v>
      </c>
    </row>
    <row r="13" spans="2:2" x14ac:dyDescent="0.25">
      <c r="B13" s="90">
        <v>45</v>
      </c>
    </row>
    <row r="14" spans="2:2" x14ac:dyDescent="0.25">
      <c r="B14" s="90">
        <v>315</v>
      </c>
    </row>
    <row r="15" spans="2:2" x14ac:dyDescent="0.25">
      <c r="B15">
        <v>7</v>
      </c>
    </row>
    <row r="16" spans="2:2" x14ac:dyDescent="0.25">
      <c r="B16" t="s">
        <v>246</v>
      </c>
    </row>
    <row r="17" spans="2:2" x14ac:dyDescent="0.25">
      <c r="B17" s="90">
        <v>45</v>
      </c>
    </row>
    <row r="18" spans="2:2" x14ac:dyDescent="0.25">
      <c r="B18" s="90">
        <v>315</v>
      </c>
    </row>
    <row r="19" spans="2:2" x14ac:dyDescent="0.25">
      <c r="B19">
        <v>7</v>
      </c>
    </row>
    <row r="20" spans="2:2" x14ac:dyDescent="0.25">
      <c r="B20" t="s">
        <v>247</v>
      </c>
    </row>
    <row r="21" spans="2:2" x14ac:dyDescent="0.25">
      <c r="B21" s="90">
        <v>690</v>
      </c>
    </row>
    <row r="22" spans="2:2" x14ac:dyDescent="0.25">
      <c r="B22" s="90">
        <v>4830</v>
      </c>
    </row>
    <row r="23" spans="2:2" x14ac:dyDescent="0.25">
      <c r="B23">
        <v>7</v>
      </c>
    </row>
    <row r="24" spans="2:2" x14ac:dyDescent="0.25">
      <c r="B24" t="s">
        <v>248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8C476279ECFF49B7018EB20C51517F" ma:contentTypeVersion="12" ma:contentTypeDescription="Crie um novo documento." ma:contentTypeScope="" ma:versionID="34a0628b53b29352da2689cb67653714">
  <xsd:schema xmlns:xsd="http://www.w3.org/2001/XMLSchema" xmlns:xs="http://www.w3.org/2001/XMLSchema" xmlns:p="http://schemas.microsoft.com/office/2006/metadata/properties" xmlns:ns1="http://schemas.microsoft.com/sharepoint/v3" xmlns:ns2="0e7c8a86-84e5-4d34-8d3b-2e08d231c207" xmlns:ns3="1d1dcbf2-98b8-40e7-8092-e982a632e348" targetNamespace="http://schemas.microsoft.com/office/2006/metadata/properties" ma:root="true" ma:fieldsID="226731e1c54f699cb1f59e9a6e85886a" ns1:_="" ns2:_="" ns3:_="">
    <xsd:import namespace="http://schemas.microsoft.com/sharepoint/v3"/>
    <xsd:import namespace="0e7c8a86-84e5-4d34-8d3b-2e08d231c207"/>
    <xsd:import namespace="1d1dcbf2-98b8-40e7-8092-e982a632e3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7c8a86-84e5-4d34-8d3b-2e08d231c2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91ea95-0c2d-4cc1-8ba1-2cbd03c807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dcbf2-98b8-40e7-8092-e982a632e34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2901c6-92c3-4448-8229-dbefe5f23788}" ma:internalName="TaxCatchAll" ma:showField="CatchAllData" ma:web="1d1dcbf2-98b8-40e7-8092-e982a632e3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7c8a86-84e5-4d34-8d3b-2e08d231c207">
      <Terms xmlns="http://schemas.microsoft.com/office/infopath/2007/PartnerControls"/>
    </lcf76f155ced4ddcb4097134ff3c332f>
    <TaxCatchAll xmlns="1d1dcbf2-98b8-40e7-8092-e982a632e34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F5557E3-63DC-4F1B-BA9C-AF73F9BAE8B1}"/>
</file>

<file path=customXml/itemProps2.xml><?xml version="1.0" encoding="utf-8"?>
<ds:datastoreItem xmlns:ds="http://schemas.openxmlformats.org/officeDocument/2006/customXml" ds:itemID="{20D70D0F-A512-4687-AAF7-15E656C89FAB}"/>
</file>

<file path=customXml/itemProps3.xml><?xml version="1.0" encoding="utf-8"?>
<ds:datastoreItem xmlns:ds="http://schemas.openxmlformats.org/officeDocument/2006/customXml" ds:itemID="{41B97DD7-73F7-460C-980A-473993890BA8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São Carlos</vt:lpstr>
      <vt:lpstr>Planilha1</vt:lpstr>
      <vt:lpstr>'São Carlos'!Area_de_impressao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Anivaldo Junior</dc:creator>
  <dc:description/>
  <cp:lastModifiedBy>Ivan</cp:lastModifiedBy>
  <cp:revision>2</cp:revision>
  <cp:lastPrinted>2024-03-18T19:45:39Z</cp:lastPrinted>
  <dcterms:created xsi:type="dcterms:W3CDTF">2022-01-02T19:12:46Z</dcterms:created>
  <dcterms:modified xsi:type="dcterms:W3CDTF">2024-03-18T19:45:52Z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0x0101006F8C476279ECFF49B7018EB20C51517F</vt:lpwstr>
  </property>
</Properties>
</file>