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26-Julho-24\"/>
    </mc:Choice>
  </mc:AlternateContent>
  <xr:revisionPtr revIDLastSave="0" documentId="13_ncr:1_{9260367A-E212-4FD4-987C-C79F0B53CC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ão Carlos" sheetId="1" r:id="rId1"/>
  </sheets>
  <definedNames>
    <definedName name="_xlnm.Print_Area" localSheetId="0">'São Carlos'!$A$1:$O$114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0" i="1" l="1"/>
  <c r="G18" i="1"/>
  <c r="I76" i="1"/>
  <c r="J76" i="1" s="1"/>
  <c r="G75" i="1"/>
  <c r="I75" i="1"/>
  <c r="J75" i="1" s="1"/>
  <c r="I73" i="1"/>
  <c r="J73" i="1" s="1"/>
  <c r="I81" i="1"/>
  <c r="J81" i="1" s="1"/>
  <c r="K76" i="1" l="1"/>
  <c r="L76" i="1" s="1"/>
  <c r="M76" i="1" s="1"/>
  <c r="K75" i="1"/>
  <c r="L75" i="1" s="1"/>
  <c r="M75" i="1" s="1"/>
  <c r="K73" i="1"/>
  <c r="L73" i="1" s="1"/>
  <c r="M73" i="1" s="1"/>
  <c r="K81" i="1"/>
  <c r="L81" i="1" s="1"/>
  <c r="M81" i="1" s="1"/>
  <c r="G83" i="1" l="1"/>
  <c r="I79" i="1"/>
  <c r="J79" i="1" s="1"/>
  <c r="I78" i="1"/>
  <c r="J78" i="1" s="1"/>
  <c r="K79" i="1" l="1"/>
  <c r="L79" i="1" s="1"/>
  <c r="M79" i="1" s="1"/>
  <c r="K78" i="1"/>
  <c r="L78" i="1" s="1"/>
  <c r="M78" i="1" s="1"/>
  <c r="M85" i="1" l="1"/>
  <c r="I61" i="1"/>
  <c r="J61" i="1" s="1"/>
  <c r="K61" i="1" l="1"/>
  <c r="L61" i="1" s="1"/>
  <c r="M61" i="1" s="1"/>
  <c r="I60" i="1" l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G54" i="1"/>
  <c r="I53" i="1"/>
  <c r="J53" i="1" s="1"/>
  <c r="I52" i="1"/>
  <c r="J52" i="1" s="1"/>
  <c r="I51" i="1"/>
  <c r="J51" i="1" s="1"/>
  <c r="K51" i="1" s="1"/>
  <c r="I50" i="1"/>
  <c r="J50" i="1" s="1"/>
  <c r="I49" i="1"/>
  <c r="J49" i="1" s="1"/>
  <c r="I48" i="1"/>
  <c r="J48" i="1" s="1"/>
  <c r="I47" i="1"/>
  <c r="J47" i="1" s="1"/>
  <c r="I46" i="1"/>
  <c r="J46" i="1" s="1"/>
  <c r="K46" i="1" s="1"/>
  <c r="L46" i="1" s="1"/>
  <c r="M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K49" i="1" l="1"/>
  <c r="L49" i="1" s="1"/>
  <c r="M49" i="1" s="1"/>
  <c r="L51" i="1"/>
  <c r="M51" i="1" s="1"/>
  <c r="K60" i="1"/>
  <c r="L60" i="1" s="1"/>
  <c r="M60" i="1" s="1"/>
  <c r="K59" i="1"/>
  <c r="L59" i="1" s="1"/>
  <c r="M59" i="1" s="1"/>
  <c r="K58" i="1"/>
  <c r="L58" i="1" s="1"/>
  <c r="M58" i="1" s="1"/>
  <c r="K57" i="1"/>
  <c r="L57" i="1" s="1"/>
  <c r="M57" i="1" s="1"/>
  <c r="K56" i="1"/>
  <c r="L56" i="1" s="1"/>
  <c r="M56" i="1" s="1"/>
  <c r="K55" i="1"/>
  <c r="L55" i="1" s="1"/>
  <c r="M55" i="1" s="1"/>
  <c r="K54" i="1"/>
  <c r="L54" i="1" s="1"/>
  <c r="M54" i="1" s="1"/>
  <c r="K53" i="1"/>
  <c r="L53" i="1" s="1"/>
  <c r="M53" i="1" s="1"/>
  <c r="K52" i="1"/>
  <c r="L52" i="1" s="1"/>
  <c r="M52" i="1" s="1"/>
  <c r="N52" i="1" s="1"/>
  <c r="K50" i="1"/>
  <c r="L50" i="1" s="1"/>
  <c r="M50" i="1" s="1"/>
  <c r="K48" i="1"/>
  <c r="L48" i="1" s="1"/>
  <c r="M48" i="1" s="1"/>
  <c r="K47" i="1"/>
  <c r="L47" i="1" s="1"/>
  <c r="M47" i="1" s="1"/>
  <c r="N47" i="1" s="1"/>
  <c r="K45" i="1"/>
  <c r="L45" i="1" s="1"/>
  <c r="M45" i="1" s="1"/>
  <c r="K44" i="1"/>
  <c r="L44" i="1" s="1"/>
  <c r="M44" i="1" s="1"/>
  <c r="K43" i="1"/>
  <c r="L43" i="1" s="1"/>
  <c r="M43" i="1" s="1"/>
  <c r="K42" i="1"/>
  <c r="L42" i="1" s="1"/>
  <c r="M42" i="1" s="1"/>
  <c r="K41" i="1"/>
  <c r="L41" i="1" s="1"/>
  <c r="M41" i="1" s="1"/>
  <c r="K40" i="1"/>
  <c r="L40" i="1" s="1"/>
  <c r="M40" i="1" s="1"/>
  <c r="K39" i="1"/>
  <c r="L39" i="1" s="1"/>
  <c r="M39" i="1" s="1"/>
  <c r="K38" i="1"/>
  <c r="L38" i="1" s="1"/>
  <c r="M38" i="1" s="1"/>
  <c r="K37" i="1"/>
  <c r="L37" i="1" s="1"/>
  <c r="M37" i="1" s="1"/>
  <c r="K36" i="1"/>
  <c r="L36" i="1" s="1"/>
  <c r="M36" i="1" s="1"/>
  <c r="K35" i="1"/>
  <c r="L35" i="1" s="1"/>
  <c r="M35" i="1" s="1"/>
  <c r="K34" i="1"/>
  <c r="L34" i="1" s="1"/>
  <c r="M34" i="1" s="1"/>
  <c r="N34" i="1" s="1"/>
  <c r="K33" i="1"/>
  <c r="L33" i="1" s="1"/>
  <c r="N45" i="1" l="1"/>
  <c r="N37" i="1"/>
  <c r="N51" i="1"/>
  <c r="N41" i="1"/>
  <c r="N56" i="1"/>
  <c r="N42" i="1"/>
  <c r="N53" i="1"/>
  <c r="N39" i="1"/>
  <c r="N48" i="1"/>
  <c r="N49" i="1"/>
  <c r="N60" i="1"/>
  <c r="N61" i="1"/>
  <c r="N38" i="1"/>
  <c r="N57" i="1"/>
  <c r="N35" i="1"/>
  <c r="N43" i="1"/>
  <c r="N54" i="1"/>
  <c r="N58" i="1"/>
  <c r="N36" i="1"/>
  <c r="N40" i="1"/>
  <c r="N44" i="1"/>
  <c r="N50" i="1"/>
  <c r="N55" i="1"/>
  <c r="N59" i="1"/>
  <c r="N46" i="1"/>
  <c r="I32" i="1"/>
  <c r="J32" i="1" s="1"/>
  <c r="K32" i="1" l="1"/>
  <c r="L32" i="1" s="1"/>
  <c r="M32" i="1" s="1"/>
  <c r="N33" i="1" l="1"/>
  <c r="I83" i="1"/>
  <c r="J83" i="1" s="1"/>
  <c r="I82" i="1"/>
  <c r="J82" i="1" s="1"/>
  <c r="K83" i="1" l="1"/>
  <c r="L83" i="1" s="1"/>
  <c r="M83" i="1" s="1"/>
  <c r="K82" i="1"/>
  <c r="L82" i="1" s="1"/>
  <c r="M82" i="1" s="1"/>
  <c r="I71" i="1" l="1"/>
  <c r="J71" i="1" s="1"/>
  <c r="I69" i="1"/>
  <c r="J69" i="1" s="1"/>
  <c r="I70" i="1"/>
  <c r="J70" i="1" s="1"/>
  <c r="K70" i="1" s="1"/>
  <c r="K71" i="1" l="1"/>
  <c r="L71" i="1" s="1"/>
  <c r="M71" i="1" s="1"/>
  <c r="K69" i="1"/>
  <c r="L69" i="1" s="1"/>
  <c r="M69" i="1" s="1"/>
  <c r="L70" i="1"/>
  <c r="M70" i="1" s="1"/>
  <c r="M68" i="1" l="1"/>
  <c r="M31" i="1"/>
  <c r="N32" i="1" s="1"/>
  <c r="N82" i="1" l="1"/>
  <c r="N76" i="1"/>
  <c r="N81" i="1"/>
  <c r="N75" i="1"/>
  <c r="N86" i="1"/>
  <c r="N79" i="1"/>
  <c r="N73" i="1"/>
  <c r="N85" i="1"/>
  <c r="N78" i="1"/>
  <c r="N83" i="1"/>
  <c r="I18" i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K23" i="1" l="1"/>
  <c r="L23" i="1" s="1"/>
  <c r="M23" i="1" s="1"/>
  <c r="K25" i="1"/>
  <c r="L25" i="1" s="1"/>
  <c r="M25" i="1" s="1"/>
  <c r="K27" i="1"/>
  <c r="L27" i="1" s="1"/>
  <c r="M27" i="1" s="1"/>
  <c r="K19" i="1"/>
  <c r="L19" i="1" s="1"/>
  <c r="M19" i="1" s="1"/>
  <c r="K21" i="1"/>
  <c r="L21" i="1" s="1"/>
  <c r="M21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s="1"/>
  <c r="N69" i="1" l="1"/>
  <c r="N71" i="1"/>
  <c r="N70" i="1"/>
  <c r="N19" i="1"/>
  <c r="N18" i="1"/>
  <c r="N23" i="1"/>
  <c r="N21" i="1"/>
  <c r="N26" i="1"/>
  <c r="N20" i="1"/>
  <c r="N27" i="1"/>
  <c r="N25" i="1"/>
  <c r="N24" i="1"/>
  <c r="N28" i="1"/>
  <c r="N22" i="1"/>
  <c r="N17" i="1"/>
  <c r="J89" i="1"/>
  <c r="N16" i="1" l="1"/>
</calcChain>
</file>

<file path=xl/sharedStrings.xml><?xml version="1.0" encoding="utf-8"?>
<sst xmlns="http://schemas.openxmlformats.org/spreadsheetml/2006/main" count="379" uniqueCount="180">
  <si>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</si>
  <si>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</si>
  <si>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</si>
  <si>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</si>
  <si>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</si>
  <si>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</si>
  <si>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</si>
  <si>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</si>
  <si>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</si>
  <si>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</si>
  <si>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</si>
  <si>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</si>
  <si>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</si>
  <si>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</si>
  <si>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</si>
  <si>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</si>
  <si>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</si>
  <si>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</si>
  <si>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</si>
  <si>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</si>
  <si>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</si>
  <si>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</si>
  <si>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</si>
  <si>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</si>
  <si>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</si>
  <si>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</si>
  <si>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</si>
  <si>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</si>
  <si>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</si>
  <si>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</si>
  <si>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</si>
  <si>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</si>
  <si>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</si>
  <si>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</si>
  <si>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</si>
  <si>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</si>
  <si>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</si>
  <si>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</si>
  <si>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</si>
  <si>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</si>
  <si>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</si>
  <si>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</si>
  <si>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</si>
  <si>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</si>
  <si>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</si>
  <si>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</si>
  <si>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</si>
  <si>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</si>
  <si>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</si>
  <si>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</si>
  <si>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</si>
  <si>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</si>
  <si>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</si>
  <si>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</si>
  <si>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</si>
  <si>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</si>
  <si>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</si>
  <si>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</si>
  <si>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</si>
  <si>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</si>
  <si>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</si>
  <si>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</si>
  <si>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</si>
  <si>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</si>
  <si>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</si>
  <si>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</si>
  <si>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</si>
  <si>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</si>
  <si>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</si>
  <si>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</si>
  <si>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</si>
  <si>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</si>
  <si>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</si>
  <si>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</si>
  <si>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</si>
  <si>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</si>
  <si>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3.1</t>
  </si>
  <si>
    <t>3.3</t>
  </si>
  <si>
    <t>3.2</t>
  </si>
  <si>
    <t>PINTOR COM ENCARGOS COMPLEMENTARES</t>
  </si>
  <si>
    <t>m²</t>
  </si>
  <si>
    <t>FDE</t>
  </si>
  <si>
    <t>PINTURA COM TINTA ALQUÍDICA DE ACABAMENTO (ESMALTE SINTÉTICO BRILHANTE) APLICADA A ROLO OU PINCEL SOBRE SUPERFÍCIES METÁLICAS (EXCETO PERFIL) EXECUTADO EM OBRA (POR DEMÃO). AF_01/2020</t>
  </si>
  <si>
    <t xml:space="preserve"> 88489 </t>
  </si>
  <si>
    <t>APLICAÇÃO MANUAL DE PINTURA COM TINTA LÁTEX ACRÍLICA EM PAREDES, DUAS DEMÃOS. AF_06/2014</t>
  </si>
  <si>
    <t>3.4</t>
  </si>
  <si>
    <t>3.5</t>
  </si>
  <si>
    <t>3.6</t>
  </si>
  <si>
    <t>3.7</t>
  </si>
  <si>
    <t>3.8</t>
  </si>
  <si>
    <t>3.9</t>
  </si>
  <si>
    <t>CORREDOR DEMA</t>
  </si>
  <si>
    <t>2.21</t>
  </si>
  <si>
    <t>Insumos</t>
  </si>
  <si>
    <t>2.5</t>
  </si>
  <si>
    <t>CIMENTO PORTLAND COMPOSTO CP II-32</t>
  </si>
  <si>
    <t>KG</t>
  </si>
  <si>
    <t>2.24</t>
  </si>
  <si>
    <t>2.2</t>
  </si>
  <si>
    <t>2.11</t>
  </si>
  <si>
    <t>2.26</t>
  </si>
  <si>
    <t>2.15</t>
  </si>
  <si>
    <t>2.20</t>
  </si>
  <si>
    <t>TORNEIRA METALICA CROMADA DE MESA PARA LAVATORIO, BICA ALTA, COM AREJADOR (REF 1195)</t>
  </si>
  <si>
    <t>2.27</t>
  </si>
  <si>
    <t>SIFAO / TUBO SINFONADO EXTENSIVEL/SANFONADO, UNIVERSAL/ SIMPLES, ENTRE *50 A 70* CM, DE PLASTICO BRANCO</t>
  </si>
  <si>
    <t>2.10</t>
  </si>
  <si>
    <t>2.8</t>
  </si>
  <si>
    <t>JOELHO PVC, SOLDAVEL, 90 GRAUS, 25 MM, PARA AGUA FRIA PREDIAL</t>
  </si>
  <si>
    <t>M</t>
  </si>
  <si>
    <t>2.1</t>
  </si>
  <si>
    <t>2.3</t>
  </si>
  <si>
    <t>2.4</t>
  </si>
  <si>
    <t>2.6</t>
  </si>
  <si>
    <t>2.7</t>
  </si>
  <si>
    <t>2.9</t>
  </si>
  <si>
    <t>2.12</t>
  </si>
  <si>
    <t>2.13</t>
  </si>
  <si>
    <t>2.14</t>
  </si>
  <si>
    <t>2.16</t>
  </si>
  <si>
    <t>2.17</t>
  </si>
  <si>
    <t>2.18</t>
  </si>
  <si>
    <t>2.19</t>
  </si>
  <si>
    <t>2.22</t>
  </si>
  <si>
    <t>2.23</t>
  </si>
  <si>
    <t>2.25</t>
  </si>
  <si>
    <t>2.28</t>
  </si>
  <si>
    <t>2.29</t>
  </si>
  <si>
    <t>2.30</t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</si>
  <si>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05/2024)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</si>
  <si>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r>
      <t xml:space="preserve">Mês de referência: </t>
    </r>
    <r>
      <rPr>
        <sz val="8"/>
        <color rgb="FFFF0000"/>
        <rFont val="Arial"/>
        <family val="2"/>
      </rPr>
      <t>Maio/2024 (data da proposta)</t>
    </r>
  </si>
  <si>
    <r>
      <t xml:space="preserve">Data Orçamento: </t>
    </r>
    <r>
      <rPr>
        <sz val="8"/>
        <color rgb="FFFF0000"/>
        <rFont val="Arial"/>
        <family val="2"/>
      </rPr>
      <t>Jun/22</t>
    </r>
  </si>
  <si>
    <t>3.10</t>
  </si>
  <si>
    <t>3.11</t>
  </si>
  <si>
    <r>
      <t xml:space="preserve">Descrição serviço: </t>
    </r>
    <r>
      <rPr>
        <b/>
        <sz val="8"/>
        <color theme="1"/>
        <rFont val="Arial"/>
        <family val="2"/>
      </rPr>
      <t xml:space="preserve">ROTINAS DE MANUTENÇÃO PREDIAL NO CAMPUS SÃO CARLOS, REFERENTE AO PERIDO DE </t>
    </r>
    <r>
      <rPr>
        <b/>
        <sz val="8"/>
        <color rgb="FFFF0000"/>
        <rFont val="Arial"/>
        <family val="2"/>
      </rPr>
      <t>JULHO/2024</t>
    </r>
  </si>
  <si>
    <t>CAL VIRGEM COMUM PARA ARGAMASSAS (NBR 6453)</t>
  </si>
  <si>
    <t>ARGAMASSA COLANTE AC I PARA CERAMICAS</t>
  </si>
  <si>
    <t>VALVULA DE DESCARGA METALICA, BASE 1 1/2 " E ACABAMENTO METALICO CROMADO</t>
  </si>
  <si>
    <t>TORNEIRA METALICA CROMADA PARA JARDIM / TANQUE, COM BICO PLASTICO, CANO LONGO, DE PAREDE, PADRAO POPULAR / USO GERAL , 1/2 " OU 3/4 " (REF 1153 / 1130)</t>
  </si>
  <si>
    <t>TORNEIRA METALICA CROMADA CANO CURTO, SEM BICO, SEM AREJADOR, DE PAREDE, PARA TANQUE E USO GERAL, 1/2" OU 3/4" (REF 1143)</t>
  </si>
  <si>
    <t>ENGATE / RABICHO FLEXIVEL INOX 1/2 " X 40 CM</t>
  </si>
  <si>
    <t>ANEL DE VEDACAO, PVC FLEXIVEL, 100 MM, PARA SAIDA DE BACIA / VASO SANITARIO</t>
  </si>
  <si>
    <t>BUCHA DE NYLON SEM ABA S6</t>
  </si>
  <si>
    <t>BUCHA DE NYLON SEM ABA S8</t>
  </si>
  <si>
    <t>LIXA D'AGUA EM FOLHA, GRAO 100</t>
  </si>
  <si>
    <t>REGISTRO DE ESFERA, PVC, COM VOLANTE, VS, SOLDAVEL, DN 32 MM, COM CORPO DIVIDIDO</t>
  </si>
  <si>
    <t>REGISTRO DE ESFERA, PVC, COM VOLANTE, VS, SOLDAVEL, DN 50 MM, COM CORPO DIVIDIDO</t>
  </si>
  <si>
    <t>JOELHO PVC, ROSCAVEL, 45 GRAUS, 3/4", PARA AGUA FRIA PREDIAL</t>
  </si>
  <si>
    <t>JOELHO PVC, SOLDAVEL, 90 GRAUS, 60 MM, COR MARROM, PARA AGUA FRIA PREDIAL</t>
  </si>
  <si>
    <t>LUVA PVC SOLDAVEL, 25 MM, PARA AGUA FRIA PREDIAL</t>
  </si>
  <si>
    <t>LUVA DE CORRER PVC PBA, JE, DN 75 / DE 85 MM, PARA REDE DE AGUA</t>
  </si>
  <si>
    <t>TE PVC, SOLDAVEL, COM BUCHA DE LATAO NA BOLSA CENTRAL, 90 GRAUS, 25 MM X 3/4", PARA AGUA FRIA PREDIAL</t>
  </si>
  <si>
    <t>TE SOLDAVEL, PVC, 90 GRAUS,50 MM, PARA AGUA FRIA PREDIAL</t>
  </si>
  <si>
    <t>TINTA ESMALTE SINTETICO PREMIUM BRILHANTE</t>
  </si>
  <si>
    <t>L</t>
  </si>
  <si>
    <t>TINTA ACRILICA PREMIUM PARA PISO</t>
  </si>
  <si>
    <t>TINTA LATEX ACRILICA STANDARD, COR BRANCA</t>
  </si>
  <si>
    <t>FITA CREPE ROLO DE 25 MM X 50 M</t>
  </si>
  <si>
    <t>FUNDO PREPARADOR ACRILICO BASE AGUA</t>
  </si>
  <si>
    <t>MASSA ACRILICA PARA SUPERFICIES INTERNAS E EXTERNAS</t>
  </si>
  <si>
    <t>TUBO DE DESCARGA, TIPO BENGALA, PARA LIGACAO CAIXA DE DESCARGA - EMBUTIR, PVC, 40 MM X 150 CM</t>
  </si>
  <si>
    <t>8.01.02</t>
  </si>
  <si>
    <t>ALUGUEL CAÇAMBA 4M3</t>
  </si>
  <si>
    <t xml:space="preserve"> 88310 </t>
  </si>
  <si>
    <t>5,85</t>
  </si>
  <si>
    <t xml:space="preserve"> 88316 </t>
  </si>
  <si>
    <t>SERVENTE COM ENCARGOS COMPLEMENTARES</t>
  </si>
  <si>
    <t>1,53</t>
  </si>
  <si>
    <t>Desconto Item 3.11 pago na medição 25</t>
  </si>
  <si>
    <t>Pintura AT03</t>
  </si>
  <si>
    <t>Calha AT03</t>
  </si>
  <si>
    <t>CALHA EM CHAPA DE AÇO GALVANIZADO NÚMERO 24, DESENVOLVIMENTO DE 50 CM, INCLUSO TRANSPORTE VERTICAL. AF_07/2019</t>
  </si>
  <si>
    <t>REMOÇÃO CALHAS E RUFOS, DE FORMA MANUAL, SEM REAPROVEITAMENTO. 
AF_09/2023</t>
  </si>
  <si>
    <r>
      <rPr>
        <sz val="8"/>
        <rFont val="Arial"/>
        <family val="2"/>
      </rPr>
      <t xml:space="preserve">PINTURA DE PISO COM TINTA ACRÍLICA, APLICAÇÃO MANUAL, 2 DEMÃOS, INCLUSO FUNDO PREPARADOR. AF_05/2021 </t>
    </r>
    <r>
      <rPr>
        <b/>
        <sz val="8"/>
        <rFont val="Arial"/>
        <family val="2"/>
      </rPr>
      <t xml:space="preserve">
</t>
    </r>
  </si>
  <si>
    <t>PAREDE COM SISTEMA EM CHAPAS DE GESSO PARA DRYWALL, USO INTERNO, COM DUAS FACES DUPLAS E ESTRUTURA METÁLICA COM GUIAS SIMPLES, SEM VÃOS. AF_07/2023_PS</t>
  </si>
  <si>
    <t>Pintura BCO - Sala Computação e Corredores</t>
  </si>
  <si>
    <t>Fechamento Corredor BCO DryWall</t>
  </si>
  <si>
    <t>3.12</t>
  </si>
  <si>
    <t>3.13</t>
  </si>
  <si>
    <t>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</si>
</sst>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 &quot;* #,##0.00_-;&quot;-R$ &quot;* #,##0.00_-;_-&quot;R$ &quot;* \-??_-;_-@_-"/>
  </numFmts>
  <fonts count="3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000000"/>
      <name val="Arial"/>
      <family val="1"/>
    </font>
    <font>
      <sz val="8"/>
      <name val="Arial"/>
      <family val="1"/>
    </font>
    <font>
      <sz val="8"/>
      <color rgb="FF333333"/>
      <name val="Arial"/>
      <family val="2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name val="Arial"/>
      <family val="1"/>
    </font>
    <font>
      <b/>
      <sz val="8"/>
      <color theme="4"/>
      <name val="Arial"/>
      <family val="2"/>
    </font>
    <font>
      <b/>
      <sz val="8"/>
      <color theme="4"/>
      <name val="Calibri"/>
      <family val="2"/>
      <scheme val="minor"/>
    </font>
    <font>
      <b/>
      <sz val="8"/>
      <color theme="4"/>
      <name val="Arial"/>
      <family val="1"/>
    </font>
    <font>
      <sz val="8"/>
      <color theme="4"/>
      <name val="Calibri"/>
      <family val="2"/>
      <scheme val="minor"/>
    </font>
    <font>
      <sz val="11"/>
      <color theme="4"/>
      <name val="Arial"/>
      <family val="1"/>
    </font>
    <font>
      <sz val="8"/>
      <color theme="4"/>
      <name val="Arial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12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4" borderId="1" applyProtection="0"/>
    <xf numFmtId="0" fontId="17" fillId="0" borderId="0" applyBorder="0" applyProtection="0"/>
    <xf numFmtId="0" fontId="24" fillId="0" borderId="0"/>
    <xf numFmtId="164" fontId="24" fillId="0" borderId="0" applyBorder="0" applyProtection="0"/>
    <xf numFmtId="0" fontId="25" fillId="0" borderId="0" applyBorder="0" applyProtection="0"/>
    <xf numFmtId="0" fontId="16" fillId="4" borderId="1" applyProtection="0"/>
    <xf numFmtId="0" fontId="26" fillId="0" borderId="0"/>
  </cellStyleXfs>
  <cellXfs count="174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13" fillId="0" borderId="24" xfId="4" applyFont="1" applyFill="1" applyBorder="1"/>
    <xf numFmtId="0" fontId="8" fillId="3" borderId="24" xfId="0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3" fillId="2" borderId="25" xfId="1" applyFont="1" applyBorder="1" applyAlignment="1">
      <alignment horizontal="center" vertical="center"/>
    </xf>
    <xf numFmtId="0" fontId="18" fillId="2" borderId="27" xfId="1" applyFont="1" applyBorder="1" applyAlignment="1">
      <alignment horizontal="center" vertical="center"/>
    </xf>
    <xf numFmtId="44" fontId="18" fillId="2" borderId="27" xfId="3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2" applyFont="1" applyFill="1" applyBorder="1" applyAlignment="1" applyProtection="1">
      <alignment horizontal="left" vertical="center" wrapText="1"/>
    </xf>
    <xf numFmtId="0" fontId="13" fillId="0" borderId="24" xfId="2" applyFont="1" applyBorder="1" applyAlignment="1" applyProtection="1">
      <alignment horizontal="center" vertical="center"/>
    </xf>
    <xf numFmtId="4" fontId="13" fillId="0" borderId="24" xfId="2" applyNumberFormat="1" applyFont="1" applyBorder="1" applyAlignment="1" applyProtection="1">
      <alignment horizontal="center" vertical="center"/>
    </xf>
    <xf numFmtId="0" fontId="19" fillId="2" borderId="24" xfId="1" applyFont="1" applyBorder="1"/>
    <xf numFmtId="0" fontId="18" fillId="0" borderId="39" xfId="0" applyFont="1" applyBorder="1" applyAlignment="1">
      <alignment vertical="top"/>
    </xf>
    <xf numFmtId="0" fontId="20" fillId="0" borderId="11" xfId="0" applyFont="1" applyBorder="1" applyAlignment="1">
      <alignment vertical="top"/>
    </xf>
    <xf numFmtId="0" fontId="15" fillId="0" borderId="0" xfId="0" applyFont="1"/>
    <xf numFmtId="2" fontId="4" fillId="0" borderId="24" xfId="1" applyNumberFormat="1" applyFont="1" applyFill="1" applyBorder="1" applyAlignment="1">
      <alignment horizontal="center" vertical="center"/>
    </xf>
    <xf numFmtId="0" fontId="15" fillId="0" borderId="24" xfId="0" applyFont="1" applyBorder="1"/>
    <xf numFmtId="0" fontId="21" fillId="0" borderId="24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left" vertical="top" wrapText="1"/>
    </xf>
    <xf numFmtId="4" fontId="22" fillId="0" borderId="24" xfId="2" applyNumberFormat="1" applyFont="1" applyFill="1" applyBorder="1" applyAlignment="1" applyProtection="1">
      <alignment horizontal="center" vertical="center"/>
    </xf>
    <xf numFmtId="4" fontId="22" fillId="0" borderId="24" xfId="2" applyNumberFormat="1" applyFont="1" applyBorder="1" applyAlignment="1" applyProtection="1">
      <alignment horizontal="center" vertical="center"/>
    </xf>
    <xf numFmtId="0" fontId="23" fillId="0" borderId="24" xfId="0" applyFont="1" applyBorder="1"/>
    <xf numFmtId="0" fontId="15" fillId="0" borderId="24" xfId="0" applyFont="1" applyBorder="1" applyAlignment="1">
      <alignment vertical="center"/>
    </xf>
    <xf numFmtId="4" fontId="9" fillId="0" borderId="24" xfId="2" applyNumberFormat="1" applyFont="1" applyFill="1" applyBorder="1" applyAlignment="1" applyProtection="1">
      <alignment horizontal="center" vertical="center"/>
    </xf>
    <xf numFmtId="0" fontId="13" fillId="0" borderId="0" xfId="4" applyFont="1" applyFill="1" applyBorder="1" applyAlignment="1">
      <alignment horizontal="left" vertical="center"/>
    </xf>
    <xf numFmtId="0" fontId="13" fillId="0" borderId="24" xfId="4" applyFont="1" applyFill="1" applyBorder="1" applyAlignment="1">
      <alignment horizontal="left" vertical="center"/>
    </xf>
    <xf numFmtId="0" fontId="9" fillId="0" borderId="24" xfId="0" applyFont="1" applyBorder="1" applyAlignment="1">
      <alignment vertical="center"/>
    </xf>
    <xf numFmtId="0" fontId="9" fillId="0" borderId="24" xfId="4" applyFont="1" applyFill="1" applyBorder="1"/>
    <xf numFmtId="0" fontId="9" fillId="0" borderId="0" xfId="1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 wrapText="1"/>
    </xf>
    <xf numFmtId="0" fontId="21" fillId="0" borderId="24" xfId="11" applyFont="1" applyBorder="1" applyAlignment="1">
      <alignment horizontal="center" vertical="center" wrapText="1"/>
    </xf>
    <xf numFmtId="0" fontId="13" fillId="0" borderId="24" xfId="1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4" fontId="22" fillId="0" borderId="15" xfId="2" applyNumberFormat="1" applyFont="1" applyFill="1" applyBorder="1" applyAlignment="1" applyProtection="1">
      <alignment horizontal="center" vertical="center"/>
    </xf>
    <xf numFmtId="0" fontId="9" fillId="6" borderId="24" xfId="0" applyFont="1" applyFill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4" fontId="27" fillId="0" borderId="24" xfId="2" applyNumberFormat="1" applyFont="1" applyBorder="1" applyAlignment="1" applyProtection="1">
      <alignment horizontal="center" vertical="center"/>
    </xf>
    <xf numFmtId="4" fontId="28" fillId="0" borderId="24" xfId="2" applyNumberFormat="1" applyFont="1" applyBorder="1" applyAlignment="1" applyProtection="1">
      <alignment horizontal="center" vertical="center"/>
    </xf>
    <xf numFmtId="4" fontId="29" fillId="5" borderId="15" xfId="11" applyNumberFormat="1" applyFont="1" applyFill="1" applyBorder="1" applyAlignment="1">
      <alignment horizontal="center" vertical="center" wrapText="1"/>
    </xf>
    <xf numFmtId="0" fontId="30" fillId="0" borderId="24" xfId="0" applyFont="1" applyBorder="1" applyAlignment="1">
      <alignment horizontal="left" vertical="center"/>
    </xf>
    <xf numFmtId="0" fontId="31" fillId="0" borderId="16" xfId="11" applyFont="1" applyBorder="1" applyAlignment="1">
      <alignment horizontal="left"/>
    </xf>
    <xf numFmtId="0" fontId="31" fillId="0" borderId="14" xfId="11" applyFont="1" applyBorder="1" applyAlignment="1">
      <alignment horizontal="left"/>
    </xf>
    <xf numFmtId="0" fontId="31" fillId="0" borderId="24" xfId="11" applyFont="1" applyBorder="1" applyAlignment="1">
      <alignment horizontal="left"/>
    </xf>
    <xf numFmtId="0" fontId="32" fillId="0" borderId="24" xfId="11" applyFont="1" applyBorder="1" applyAlignment="1">
      <alignment horizontal="center" vertical="center" wrapText="1"/>
    </xf>
    <xf numFmtId="4" fontId="32" fillId="0" borderId="24" xfId="2" applyNumberFormat="1" applyFont="1" applyFill="1" applyBorder="1" applyAlignment="1" applyProtection="1">
      <alignment horizontal="center" vertical="center"/>
    </xf>
    <xf numFmtId="4" fontId="32" fillId="0" borderId="24" xfId="2" applyNumberFormat="1" applyFont="1" applyBorder="1" applyAlignment="1" applyProtection="1">
      <alignment horizontal="center" vertical="center"/>
    </xf>
    <xf numFmtId="4" fontId="29" fillId="5" borderId="15" xfId="0" applyNumberFormat="1" applyFont="1" applyFill="1" applyBorder="1" applyAlignment="1">
      <alignment horizontal="center" vertical="center" wrapText="1"/>
    </xf>
    <xf numFmtId="0" fontId="27" fillId="6" borderId="24" xfId="0" applyFont="1" applyFill="1" applyBorder="1" applyAlignment="1">
      <alignment horizontal="center" vertical="center" wrapText="1"/>
    </xf>
    <xf numFmtId="2" fontId="10" fillId="0" borderId="24" xfId="1" applyNumberFormat="1" applyFont="1" applyFill="1" applyBorder="1" applyAlignment="1">
      <alignment horizontal="center" vertical="center"/>
    </xf>
    <xf numFmtId="2" fontId="27" fillId="0" borderId="24" xfId="1" applyNumberFormat="1" applyFont="1" applyFill="1" applyBorder="1" applyAlignment="1">
      <alignment horizontal="center" vertical="center"/>
    </xf>
    <xf numFmtId="0" fontId="27" fillId="0" borderId="24" xfId="1" applyFont="1" applyFill="1" applyBorder="1" applyAlignment="1">
      <alignment horizontal="center" vertical="center"/>
    </xf>
    <xf numFmtId="4" fontId="10" fillId="0" borderId="24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5" fillId="2" borderId="9" xfId="1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" fillId="2" borderId="28" xfId="1" applyFont="1" applyBorder="1" applyAlignment="1">
      <alignment horizontal="center" vertical="center" textRotation="90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8" fillId="2" borderId="26" xfId="1" applyFont="1" applyBorder="1" applyAlignment="1">
      <alignment horizontal="center" vertical="center"/>
    </xf>
    <xf numFmtId="0" fontId="18" fillId="2" borderId="18" xfId="1" applyFont="1" applyBorder="1" applyAlignment="1">
      <alignment horizontal="center" vertical="center"/>
    </xf>
    <xf numFmtId="0" fontId="18" fillId="2" borderId="44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0" xfId="0" applyFont="1" applyAlignment="1">
      <alignment horizontal="center"/>
    </xf>
    <xf numFmtId="43" fontId="20" fillId="0" borderId="11" xfId="0" applyNumberFormat="1" applyFont="1" applyBorder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3" fillId="0" borderId="7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7" fillId="0" borderId="24" xfId="1" applyFont="1" applyFill="1" applyBorder="1" applyAlignment="1">
      <alignment horizontal="center" vertical="center"/>
    </xf>
  </cellXfs>
  <cellStyles count="12">
    <cellStyle name="Excel Built-in Explanatory Text" xfId="6" xr:uid="{00000000-0005-0000-0000-000000000000}"/>
    <cellStyle name="Excel Built-in Output" xfId="5" xr:uid="{00000000-0005-0000-0000-000001000000}"/>
    <cellStyle name="Excel Built-in Output 2" xfId="10" xr:uid="{00000000-0005-0000-0000-000002000000}"/>
    <cellStyle name="Hiperlink" xfId="4" builtinId="8"/>
    <cellStyle name="Hiperlink 2" xfId="9" xr:uid="{00000000-0005-0000-0000-000004000000}"/>
    <cellStyle name="Moeda" xfId="3" builtinId="4"/>
    <cellStyle name="Moeda 2" xfId="8" xr:uid="{00000000-0005-0000-0000-000006000000}"/>
    <cellStyle name="Normal" xfId="0" builtinId="0"/>
    <cellStyle name="Normal 2" xfId="7" xr:uid="{00000000-0005-0000-0000-000008000000}"/>
    <cellStyle name="Normal 3" xfId="11" xr:uid="{00000000-0005-0000-0000-000009000000}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06%20Jun/2022/10%20Outubro/Notas%20Fiscais/NF%20516064%20Jabu%20S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8"/>
  <sheetViews>
    <sheetView tabSelected="1" topLeftCell="F85" zoomScaleNormal="100" workbookViewId="0">
      <selection activeCell="J89" sqref="J89:N89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6.42578125" customWidth="1"/>
    <col min="8" max="8" width="23.7109375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</cols>
  <sheetData>
    <row r="1" spans="1:15" ht="17.100000000000001" customHeight="1" x14ac:dyDescent="0.25">
      <c r="A1" s="97" t="s">
        <v>0</v>
      </c>
      <c r="B1" s="98"/>
      <c r="C1" s="98"/>
      <c r="D1" s="98"/>
      <c r="E1" s="98"/>
      <c r="F1" s="98"/>
      <c r="G1" s="98"/>
      <c r="H1" s="98"/>
      <c r="I1" s="99"/>
      <c r="J1" s="106" t="s">
        <v>1</v>
      </c>
      <c r="K1" s="106"/>
      <c r="L1" s="106"/>
      <c r="M1" s="106"/>
      <c r="N1" s="106"/>
      <c r="O1" s="107"/>
    </row>
    <row r="2" spans="1:15" ht="17.100000000000001" customHeight="1" x14ac:dyDescent="0.25">
      <c r="A2" s="100"/>
      <c r="B2" s="101"/>
      <c r="C2" s="101"/>
      <c r="D2" s="101"/>
      <c r="E2" s="101"/>
      <c r="F2" s="101"/>
      <c r="G2" s="101"/>
      <c r="H2" s="101"/>
      <c r="I2" s="102"/>
      <c r="J2" s="108" t="s">
        <v>2</v>
      </c>
      <c r="K2" s="108"/>
      <c r="L2" s="108"/>
      <c r="M2" s="108"/>
      <c r="N2" s="108"/>
      <c r="O2" s="109"/>
    </row>
    <row r="3" spans="1:15" ht="17.100000000000001" customHeight="1" x14ac:dyDescent="0.25">
      <c r="A3" s="100"/>
      <c r="B3" s="101"/>
      <c r="C3" s="101"/>
      <c r="D3" s="101"/>
      <c r="E3" s="101"/>
      <c r="F3" s="101"/>
      <c r="G3" s="101"/>
      <c r="H3" s="101"/>
      <c r="I3" s="102"/>
      <c r="J3" s="108" t="s">
        <v>3</v>
      </c>
      <c r="K3" s="108"/>
      <c r="L3" s="108"/>
      <c r="M3" s="108" t="s">
        <v>4</v>
      </c>
      <c r="N3" s="108"/>
      <c r="O3" s="1"/>
    </row>
    <row r="4" spans="1:15" ht="17.100000000000001" customHeight="1" x14ac:dyDescent="0.25">
      <c r="A4" s="100"/>
      <c r="B4" s="101"/>
      <c r="C4" s="101"/>
      <c r="D4" s="101"/>
      <c r="E4" s="101"/>
      <c r="F4" s="101"/>
      <c r="G4" s="101"/>
      <c r="H4" s="101"/>
      <c r="I4" s="102"/>
      <c r="J4" s="108" t="s">
        <v>5</v>
      </c>
      <c r="K4" s="108"/>
      <c r="L4" s="108"/>
      <c r="M4" s="108" t="s">
        <v>6</v>
      </c>
      <c r="N4" s="108"/>
      <c r="O4" s="2"/>
    </row>
    <row r="5" spans="1:15" ht="17.100000000000001" customHeight="1" x14ac:dyDescent="0.25">
      <c r="A5" s="100"/>
      <c r="B5" s="101"/>
      <c r="C5" s="101"/>
      <c r="D5" s="101"/>
      <c r="E5" s="101"/>
      <c r="F5" s="101"/>
      <c r="G5" s="101"/>
      <c r="H5" s="101"/>
      <c r="I5" s="102"/>
      <c r="J5" s="108" t="s">
        <v>7</v>
      </c>
      <c r="K5" s="108"/>
      <c r="L5" s="108"/>
      <c r="M5" s="108" t="s">
        <v>8</v>
      </c>
      <c r="N5" s="108"/>
      <c r="O5" s="1"/>
    </row>
    <row r="6" spans="1:15" ht="17.100000000000001" customHeight="1" x14ac:dyDescent="0.25">
      <c r="A6" s="103"/>
      <c r="B6" s="104"/>
      <c r="C6" s="104"/>
      <c r="D6" s="104"/>
      <c r="E6" s="104"/>
      <c r="F6" s="104"/>
      <c r="G6" s="104"/>
      <c r="H6" s="104"/>
      <c r="I6" s="105"/>
      <c r="J6" s="108" t="s">
        <v>9</v>
      </c>
      <c r="K6" s="108"/>
      <c r="L6" s="108"/>
      <c r="M6" s="108" t="s">
        <v>10</v>
      </c>
      <c r="N6" s="108"/>
      <c r="O6" s="1"/>
    </row>
    <row r="7" spans="1:15" ht="17.100000000000001" customHeight="1" x14ac:dyDescent="0.25">
      <c r="A7" s="81" t="s">
        <v>11</v>
      </c>
      <c r="B7" s="82"/>
      <c r="C7" s="82"/>
      <c r="D7" s="82"/>
      <c r="E7" s="82"/>
      <c r="F7" s="82"/>
      <c r="G7" s="82"/>
      <c r="H7" s="82"/>
      <c r="I7" s="83"/>
      <c r="J7" s="84" t="s">
        <v>51</v>
      </c>
      <c r="K7" s="85"/>
      <c r="L7" s="85"/>
      <c r="M7" s="85"/>
      <c r="N7" s="86"/>
      <c r="O7" s="87" t="s">
        <v>12</v>
      </c>
    </row>
    <row r="8" spans="1:15" ht="17.100000000000001" customHeight="1" x14ac:dyDescent="0.25">
      <c r="A8" s="88" t="s">
        <v>134</v>
      </c>
      <c r="B8" s="89"/>
      <c r="C8" s="89"/>
      <c r="D8" s="89"/>
      <c r="E8" s="89"/>
      <c r="F8" s="89"/>
      <c r="G8" s="89"/>
      <c r="H8" s="89"/>
      <c r="I8" s="90"/>
      <c r="J8" s="84" t="s">
        <v>13</v>
      </c>
      <c r="K8" s="85"/>
      <c r="L8" s="85"/>
      <c r="M8" s="85"/>
      <c r="N8" s="86"/>
      <c r="O8" s="87"/>
    </row>
    <row r="9" spans="1:15" ht="17.100000000000001" customHeight="1" x14ac:dyDescent="0.25">
      <c r="A9" s="91"/>
      <c r="B9" s="92"/>
      <c r="C9" s="92"/>
      <c r="D9" s="92"/>
      <c r="E9" s="92"/>
      <c r="F9" s="92"/>
      <c r="G9" s="92"/>
      <c r="H9" s="92"/>
      <c r="I9" s="93"/>
      <c r="J9" s="84" t="s">
        <v>14</v>
      </c>
      <c r="K9" s="85"/>
      <c r="L9" s="85"/>
      <c r="M9" s="85"/>
      <c r="N9" s="86"/>
      <c r="O9" s="87"/>
    </row>
    <row r="10" spans="1:15" ht="17.100000000000001" customHeight="1" x14ac:dyDescent="0.25">
      <c r="A10" s="91"/>
      <c r="B10" s="92"/>
      <c r="C10" s="92"/>
      <c r="D10" s="92"/>
      <c r="E10" s="92"/>
      <c r="F10" s="92"/>
      <c r="G10" s="92"/>
      <c r="H10" s="92"/>
      <c r="I10" s="93"/>
      <c r="J10" s="84" t="s">
        <v>15</v>
      </c>
      <c r="K10" s="85"/>
      <c r="L10" s="85"/>
      <c r="M10" s="85"/>
      <c r="N10" s="86"/>
      <c r="O10" s="87"/>
    </row>
    <row r="11" spans="1:15" ht="17.100000000000001" customHeight="1" x14ac:dyDescent="0.25">
      <c r="A11" s="91"/>
      <c r="B11" s="92"/>
      <c r="C11" s="92"/>
      <c r="D11" s="92"/>
      <c r="E11" s="92"/>
      <c r="F11" s="92"/>
      <c r="G11" s="92"/>
      <c r="H11" s="92"/>
      <c r="I11" s="93"/>
      <c r="J11" s="84" t="s">
        <v>50</v>
      </c>
      <c r="K11" s="85"/>
      <c r="L11" s="85"/>
      <c r="M11" s="85"/>
      <c r="N11" s="86"/>
      <c r="O11" s="87"/>
    </row>
    <row r="12" spans="1:15" ht="17.100000000000001" customHeight="1" x14ac:dyDescent="0.25">
      <c r="A12" s="91"/>
      <c r="B12" s="92"/>
      <c r="C12" s="92"/>
      <c r="D12" s="92"/>
      <c r="E12" s="92"/>
      <c r="F12" s="92"/>
      <c r="G12" s="92"/>
      <c r="H12" s="92"/>
      <c r="I12" s="93"/>
      <c r="J12" s="84" t="s">
        <v>131</v>
      </c>
      <c r="K12" s="85"/>
      <c r="L12" s="85"/>
      <c r="M12" s="85"/>
      <c r="N12" s="86"/>
      <c r="O12" s="87"/>
    </row>
    <row r="13" spans="1:15" ht="17.100000000000001" customHeight="1" x14ac:dyDescent="0.25">
      <c r="A13" s="94"/>
      <c r="B13" s="95"/>
      <c r="C13" s="95"/>
      <c r="D13" s="95"/>
      <c r="E13" s="95"/>
      <c r="F13" s="95"/>
      <c r="G13" s="95"/>
      <c r="H13" s="95"/>
      <c r="I13" s="96"/>
      <c r="J13" s="84" t="s">
        <v>130</v>
      </c>
      <c r="K13" s="85"/>
      <c r="L13" s="85"/>
      <c r="M13" s="85"/>
      <c r="N13" s="86"/>
      <c r="O13" s="87"/>
    </row>
    <row r="14" spans="1:15" ht="17.100000000000001" customHeight="1" x14ac:dyDescent="0.25">
      <c r="A14" s="110" t="s">
        <v>16</v>
      </c>
      <c r="B14" s="112" t="s">
        <v>17</v>
      </c>
      <c r="C14" s="112" t="s">
        <v>18</v>
      </c>
      <c r="D14" s="112" t="s">
        <v>19</v>
      </c>
      <c r="E14" s="112" t="s">
        <v>20</v>
      </c>
      <c r="F14" s="112" t="s">
        <v>21</v>
      </c>
      <c r="G14" s="112" t="s">
        <v>22</v>
      </c>
      <c r="H14" s="114" t="s">
        <v>23</v>
      </c>
      <c r="I14" s="114"/>
      <c r="J14" s="114"/>
      <c r="K14" s="114"/>
      <c r="L14" s="115"/>
      <c r="M14" s="112" t="s">
        <v>24</v>
      </c>
      <c r="N14" s="112" t="s">
        <v>25</v>
      </c>
      <c r="O14" s="87" t="s">
        <v>26</v>
      </c>
    </row>
    <row r="15" spans="1:15" ht="17.100000000000001" customHeight="1" x14ac:dyDescent="0.25">
      <c r="A15" s="111"/>
      <c r="B15" s="113"/>
      <c r="C15" s="113"/>
      <c r="D15" s="113"/>
      <c r="E15" s="113"/>
      <c r="F15" s="113"/>
      <c r="G15" s="113"/>
      <c r="H15" s="3" t="s">
        <v>27</v>
      </c>
      <c r="I15" s="4" t="s">
        <v>28</v>
      </c>
      <c r="J15" s="3" t="s">
        <v>29</v>
      </c>
      <c r="K15" s="4" t="s">
        <v>52</v>
      </c>
      <c r="L15" s="3" t="s">
        <v>30</v>
      </c>
      <c r="M15" s="113"/>
      <c r="N15" s="113"/>
      <c r="O15" s="87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9"/>
      <c r="I16" s="9"/>
      <c r="J16" s="9"/>
      <c r="K16" s="9"/>
      <c r="L16" s="9"/>
      <c r="M16" s="21">
        <f>SUM(M17:M28)</f>
        <v>90884.130898703996</v>
      </c>
      <c r="N16" s="10">
        <f>SUM(N17:N28)</f>
        <v>1.0000000000000002</v>
      </c>
      <c r="O16" s="87"/>
    </row>
    <row r="17" spans="1:15" ht="26.25" customHeight="1" x14ac:dyDescent="0.25">
      <c r="A17" s="17" t="s">
        <v>32</v>
      </c>
      <c r="B17" s="17" t="s">
        <v>33</v>
      </c>
      <c r="C17" s="11">
        <v>90776</v>
      </c>
      <c r="D17" s="11" t="s">
        <v>34</v>
      </c>
      <c r="E17" s="20" t="s">
        <v>62</v>
      </c>
      <c r="F17" s="13" t="s">
        <v>35</v>
      </c>
      <c r="G17" s="17">
        <v>240</v>
      </c>
      <c r="H17" s="65">
        <v>47.89</v>
      </c>
      <c r="I17" s="14">
        <f>H17*0.2232</f>
        <v>10.689048000000001</v>
      </c>
      <c r="J17" s="14">
        <f>H17+I17</f>
        <v>58.579048</v>
      </c>
      <c r="K17" s="14">
        <f>J17*(0.03%)</f>
        <v>1.7573714399999999E-2</v>
      </c>
      <c r="L17" s="14">
        <f>J17-K17</f>
        <v>58.561474285599999</v>
      </c>
      <c r="M17" s="14">
        <f>L17*G17</f>
        <v>14054.753828544</v>
      </c>
      <c r="N17" s="14">
        <f>M17/M$16</f>
        <v>0.15464475139459599</v>
      </c>
      <c r="O17" s="116"/>
    </row>
    <row r="18" spans="1:15" ht="26.25" customHeight="1" x14ac:dyDescent="0.25">
      <c r="A18" s="17" t="s">
        <v>65</v>
      </c>
      <c r="B18" s="17" t="s">
        <v>33</v>
      </c>
      <c r="C18" s="11">
        <v>88267</v>
      </c>
      <c r="D18" s="11" t="s">
        <v>34</v>
      </c>
      <c r="E18" s="20" t="s">
        <v>55</v>
      </c>
      <c r="F18" s="13" t="s">
        <v>35</v>
      </c>
      <c r="G18" s="17">
        <f>180+45</f>
        <v>225</v>
      </c>
      <c r="H18" s="65">
        <v>36.11</v>
      </c>
      <c r="I18" s="14">
        <f t="shared" ref="I18:I28" si="0">H18*0.2232</f>
        <v>8.0597519999999996</v>
      </c>
      <c r="J18" s="14">
        <f t="shared" ref="J18:J28" si="1">H18+I18</f>
        <v>44.169752000000003</v>
      </c>
      <c r="K18" s="14">
        <f t="shared" ref="K18:K28" si="2">J18*(0.03%)</f>
        <v>1.32509256E-2</v>
      </c>
      <c r="L18" s="14">
        <f t="shared" ref="L18:L28" si="3">J18-K18</f>
        <v>44.156501074400005</v>
      </c>
      <c r="M18" s="14">
        <f t="shared" ref="M18:M28" si="4">L18*G18</f>
        <v>9935.2127417400006</v>
      </c>
      <c r="N18" s="14">
        <f t="shared" ref="N18:N28" si="5">M18/M$16</f>
        <v>0.10931735434443898</v>
      </c>
      <c r="O18" s="116"/>
    </row>
    <row r="19" spans="1:15" ht="26.25" customHeight="1" x14ac:dyDescent="0.25">
      <c r="A19" s="17" t="s">
        <v>66</v>
      </c>
      <c r="B19" s="17" t="s">
        <v>33</v>
      </c>
      <c r="C19" s="11" t="s">
        <v>54</v>
      </c>
      <c r="D19" s="11" t="s">
        <v>34</v>
      </c>
      <c r="E19" s="20" t="s">
        <v>55</v>
      </c>
      <c r="F19" s="13" t="s">
        <v>35</v>
      </c>
      <c r="G19" s="17">
        <v>225</v>
      </c>
      <c r="H19" s="65">
        <v>36.11</v>
      </c>
      <c r="I19" s="14">
        <f t="shared" si="0"/>
        <v>8.0597519999999996</v>
      </c>
      <c r="J19" s="14">
        <f t="shared" si="1"/>
        <v>44.169752000000003</v>
      </c>
      <c r="K19" s="14">
        <f t="shared" si="2"/>
        <v>1.32509256E-2</v>
      </c>
      <c r="L19" s="14">
        <f t="shared" si="3"/>
        <v>44.156501074400005</v>
      </c>
      <c r="M19" s="14">
        <f t="shared" si="4"/>
        <v>9935.2127417400006</v>
      </c>
      <c r="N19" s="14">
        <f t="shared" si="5"/>
        <v>0.10931735434443898</v>
      </c>
      <c r="O19" s="116"/>
    </row>
    <row r="20" spans="1:15" ht="26.25" customHeight="1" x14ac:dyDescent="0.25">
      <c r="A20" s="17" t="s">
        <v>67</v>
      </c>
      <c r="B20" s="17" t="s">
        <v>33</v>
      </c>
      <c r="C20" s="11">
        <v>88248</v>
      </c>
      <c r="D20" s="11" t="s">
        <v>34</v>
      </c>
      <c r="E20" s="20" t="s">
        <v>57</v>
      </c>
      <c r="F20" s="13" t="s">
        <v>35</v>
      </c>
      <c r="G20" s="17">
        <v>225</v>
      </c>
      <c r="H20" s="65">
        <v>29.77</v>
      </c>
      <c r="I20" s="14">
        <f t="shared" si="0"/>
        <v>6.6446640000000006</v>
      </c>
      <c r="J20" s="14">
        <f t="shared" si="1"/>
        <v>36.414664000000002</v>
      </c>
      <c r="K20" s="14">
        <f t="shared" si="2"/>
        <v>1.0924399199999999E-2</v>
      </c>
      <c r="L20" s="14">
        <f t="shared" si="3"/>
        <v>36.403739600800002</v>
      </c>
      <c r="M20" s="14">
        <f t="shared" si="4"/>
        <v>8190.8414101799999</v>
      </c>
      <c r="N20" s="14">
        <f t="shared" si="5"/>
        <v>9.012399996770834E-2</v>
      </c>
      <c r="O20" s="116"/>
    </row>
    <row r="21" spans="1:15" ht="26.25" customHeight="1" x14ac:dyDescent="0.25">
      <c r="A21" s="17" t="s">
        <v>68</v>
      </c>
      <c r="B21" s="17" t="s">
        <v>33</v>
      </c>
      <c r="C21" s="11" t="s">
        <v>56</v>
      </c>
      <c r="D21" s="11" t="s">
        <v>34</v>
      </c>
      <c r="E21" s="20" t="s">
        <v>57</v>
      </c>
      <c r="F21" s="13" t="s">
        <v>35</v>
      </c>
      <c r="G21" s="17">
        <v>225</v>
      </c>
      <c r="H21" s="65">
        <v>29.77</v>
      </c>
      <c r="I21" s="14">
        <f t="shared" si="0"/>
        <v>6.6446640000000006</v>
      </c>
      <c r="J21" s="14">
        <f t="shared" si="1"/>
        <v>36.414664000000002</v>
      </c>
      <c r="K21" s="14">
        <f t="shared" si="2"/>
        <v>1.0924399199999999E-2</v>
      </c>
      <c r="L21" s="14">
        <f t="shared" si="3"/>
        <v>36.403739600800002</v>
      </c>
      <c r="M21" s="14">
        <f t="shared" si="4"/>
        <v>8190.8414101799999</v>
      </c>
      <c r="N21" s="14">
        <f t="shared" si="5"/>
        <v>9.012399996770834E-2</v>
      </c>
      <c r="O21" s="116"/>
    </row>
    <row r="22" spans="1:15" ht="26.25" customHeight="1" x14ac:dyDescent="0.25">
      <c r="A22" s="17" t="s">
        <v>69</v>
      </c>
      <c r="B22" s="17" t="s">
        <v>33</v>
      </c>
      <c r="C22" s="11">
        <v>88309</v>
      </c>
      <c r="D22" s="11" t="s">
        <v>34</v>
      </c>
      <c r="E22" s="20" t="s">
        <v>59</v>
      </c>
      <c r="F22" s="13" t="s">
        <v>35</v>
      </c>
      <c r="G22" s="17">
        <v>180</v>
      </c>
      <c r="H22" s="65">
        <v>32.57</v>
      </c>
      <c r="I22" s="14">
        <f t="shared" si="0"/>
        <v>7.2696240000000003</v>
      </c>
      <c r="J22" s="14">
        <f t="shared" si="1"/>
        <v>39.839624000000001</v>
      </c>
      <c r="K22" s="14">
        <f t="shared" si="2"/>
        <v>1.1951887199999999E-2</v>
      </c>
      <c r="L22" s="14">
        <f t="shared" si="3"/>
        <v>39.827672112800002</v>
      </c>
      <c r="M22" s="14">
        <f t="shared" si="4"/>
        <v>7168.9809803040007</v>
      </c>
      <c r="N22" s="14">
        <f t="shared" si="5"/>
        <v>7.888044820821663E-2</v>
      </c>
      <c r="O22" s="116"/>
    </row>
    <row r="23" spans="1:15" ht="26.25" customHeight="1" x14ac:dyDescent="0.25">
      <c r="A23" s="17" t="s">
        <v>70</v>
      </c>
      <c r="B23" s="17" t="s">
        <v>33</v>
      </c>
      <c r="C23" s="11" t="s">
        <v>58</v>
      </c>
      <c r="D23" s="11" t="s">
        <v>34</v>
      </c>
      <c r="E23" s="20" t="s">
        <v>59</v>
      </c>
      <c r="F23" s="13" t="s">
        <v>35</v>
      </c>
      <c r="G23" s="17">
        <v>180</v>
      </c>
      <c r="H23" s="65">
        <v>32.57</v>
      </c>
      <c r="I23" s="14">
        <f t="shared" si="0"/>
        <v>7.2696240000000003</v>
      </c>
      <c r="J23" s="14">
        <f t="shared" si="1"/>
        <v>39.839624000000001</v>
      </c>
      <c r="K23" s="14">
        <f t="shared" si="2"/>
        <v>1.1951887199999999E-2</v>
      </c>
      <c r="L23" s="14">
        <f t="shared" si="3"/>
        <v>39.827672112800002</v>
      </c>
      <c r="M23" s="14">
        <f t="shared" si="4"/>
        <v>7168.9809803040007</v>
      </c>
      <c r="N23" s="14">
        <f t="shared" si="5"/>
        <v>7.888044820821663E-2</v>
      </c>
      <c r="O23" s="116"/>
    </row>
    <row r="24" spans="1:15" ht="26.25" customHeight="1" x14ac:dyDescent="0.25">
      <c r="A24" s="17" t="s">
        <v>71</v>
      </c>
      <c r="B24" s="17" t="s">
        <v>33</v>
      </c>
      <c r="C24" s="11">
        <v>88242</v>
      </c>
      <c r="D24" s="11" t="s">
        <v>34</v>
      </c>
      <c r="E24" s="20" t="s">
        <v>61</v>
      </c>
      <c r="F24" s="13" t="s">
        <v>35</v>
      </c>
      <c r="G24" s="17">
        <v>180</v>
      </c>
      <c r="H24" s="65">
        <v>30.38</v>
      </c>
      <c r="I24" s="14">
        <f t="shared" si="0"/>
        <v>6.7808159999999997</v>
      </c>
      <c r="J24" s="14">
        <f t="shared" si="1"/>
        <v>37.160815999999997</v>
      </c>
      <c r="K24" s="14">
        <f t="shared" si="2"/>
        <v>1.1148244799999998E-2</v>
      </c>
      <c r="L24" s="14">
        <f t="shared" si="3"/>
        <v>37.149667755199999</v>
      </c>
      <c r="M24" s="14">
        <f t="shared" si="4"/>
        <v>6686.9401959360002</v>
      </c>
      <c r="N24" s="14">
        <f t="shared" si="5"/>
        <v>7.3576543339441844E-2</v>
      </c>
      <c r="O24" s="116"/>
    </row>
    <row r="25" spans="1:15" ht="26.25" customHeight="1" x14ac:dyDescent="0.25">
      <c r="A25" s="17" t="s">
        <v>72</v>
      </c>
      <c r="B25" s="17" t="s">
        <v>33</v>
      </c>
      <c r="C25" s="11" t="s">
        <v>60</v>
      </c>
      <c r="D25" s="11" t="s">
        <v>34</v>
      </c>
      <c r="E25" s="20" t="s">
        <v>61</v>
      </c>
      <c r="F25" s="13" t="s">
        <v>35</v>
      </c>
      <c r="G25" s="17">
        <v>180</v>
      </c>
      <c r="H25" s="65">
        <v>30.38</v>
      </c>
      <c r="I25" s="14">
        <f t="shared" si="0"/>
        <v>6.7808159999999997</v>
      </c>
      <c r="J25" s="14">
        <f t="shared" si="1"/>
        <v>37.160815999999997</v>
      </c>
      <c r="K25" s="14">
        <f t="shared" si="2"/>
        <v>1.1148244799999998E-2</v>
      </c>
      <c r="L25" s="14">
        <f t="shared" si="3"/>
        <v>37.149667755199999</v>
      </c>
      <c r="M25" s="14">
        <f t="shared" si="4"/>
        <v>6686.9401959360002</v>
      </c>
      <c r="N25" s="14">
        <f t="shared" si="5"/>
        <v>7.3576543339441844E-2</v>
      </c>
      <c r="O25" s="116"/>
    </row>
    <row r="26" spans="1:15" ht="26.25" customHeight="1" x14ac:dyDescent="0.25">
      <c r="A26" s="17" t="s">
        <v>73</v>
      </c>
      <c r="B26" s="17" t="s">
        <v>33</v>
      </c>
      <c r="C26" s="11" t="s">
        <v>60</v>
      </c>
      <c r="D26" s="11" t="s">
        <v>34</v>
      </c>
      <c r="E26" s="20" t="s">
        <v>61</v>
      </c>
      <c r="F26" s="13" t="s">
        <v>35</v>
      </c>
      <c r="G26" s="17">
        <v>180</v>
      </c>
      <c r="H26" s="65">
        <v>30.38</v>
      </c>
      <c r="I26" s="14">
        <f t="shared" si="0"/>
        <v>6.7808159999999997</v>
      </c>
      <c r="J26" s="14">
        <f t="shared" si="1"/>
        <v>37.160815999999997</v>
      </c>
      <c r="K26" s="14">
        <f t="shared" si="2"/>
        <v>1.1148244799999998E-2</v>
      </c>
      <c r="L26" s="14">
        <f t="shared" si="3"/>
        <v>37.149667755199999</v>
      </c>
      <c r="M26" s="14">
        <f t="shared" si="4"/>
        <v>6686.9401959360002</v>
      </c>
      <c r="N26" s="14">
        <f t="shared" si="5"/>
        <v>7.3576543339441844E-2</v>
      </c>
      <c r="O26" s="116"/>
    </row>
    <row r="27" spans="1:15" ht="26.25" customHeight="1" x14ac:dyDescent="0.25">
      <c r="A27" s="17" t="s">
        <v>74</v>
      </c>
      <c r="B27" s="17" t="s">
        <v>33</v>
      </c>
      <c r="C27" s="11">
        <v>88241</v>
      </c>
      <c r="D27" s="11" t="s">
        <v>34</v>
      </c>
      <c r="E27" s="12" t="s">
        <v>64</v>
      </c>
      <c r="F27" s="13" t="s">
        <v>35</v>
      </c>
      <c r="G27" s="17">
        <v>180</v>
      </c>
      <c r="H27" s="65">
        <v>28.07</v>
      </c>
      <c r="I27" s="14">
        <f t="shared" si="0"/>
        <v>6.2652239999999999</v>
      </c>
      <c r="J27" s="14">
        <f t="shared" si="1"/>
        <v>34.335223999999997</v>
      </c>
      <c r="K27" s="14">
        <f t="shared" si="2"/>
        <v>1.0300567199999998E-2</v>
      </c>
      <c r="L27" s="14">
        <f t="shared" si="3"/>
        <v>34.324923432799999</v>
      </c>
      <c r="M27" s="14">
        <f t="shared" si="4"/>
        <v>6178.4862179040001</v>
      </c>
      <c r="N27" s="14">
        <f t="shared" si="5"/>
        <v>6.7982013546350639E-2</v>
      </c>
      <c r="O27" s="116"/>
    </row>
    <row r="28" spans="1:15" ht="26.25" customHeight="1" x14ac:dyDescent="0.25">
      <c r="A28" s="17" t="s">
        <v>75</v>
      </c>
      <c r="B28" s="17" t="s">
        <v>33</v>
      </c>
      <c r="C28" s="11" t="s">
        <v>63</v>
      </c>
      <c r="D28" s="11" t="s">
        <v>34</v>
      </c>
      <c r="E28" s="12" t="s">
        <v>64</v>
      </c>
      <c r="F28" s="13" t="s">
        <v>35</v>
      </c>
      <c r="G28" s="17">
        <v>0</v>
      </c>
      <c r="H28" s="65">
        <v>28.07</v>
      </c>
      <c r="I28" s="14">
        <f t="shared" si="0"/>
        <v>6.2652239999999999</v>
      </c>
      <c r="J28" s="14">
        <f t="shared" si="1"/>
        <v>34.335223999999997</v>
      </c>
      <c r="K28" s="14">
        <f t="shared" si="2"/>
        <v>1.0300567199999998E-2</v>
      </c>
      <c r="L28" s="14">
        <f t="shared" si="3"/>
        <v>34.324923432799999</v>
      </c>
      <c r="M28" s="14">
        <f t="shared" si="4"/>
        <v>0</v>
      </c>
      <c r="N28" s="14">
        <f t="shared" si="5"/>
        <v>0</v>
      </c>
      <c r="O28" s="116"/>
    </row>
    <row r="29" spans="1:15" x14ac:dyDescent="0.25">
      <c r="A29" s="110" t="s">
        <v>16</v>
      </c>
      <c r="B29" s="112" t="s">
        <v>17</v>
      </c>
      <c r="C29" s="112" t="s">
        <v>18</v>
      </c>
      <c r="D29" s="112" t="s">
        <v>19</v>
      </c>
      <c r="E29" s="112" t="s">
        <v>20</v>
      </c>
      <c r="F29" s="112" t="s">
        <v>21</v>
      </c>
      <c r="G29" s="112" t="s">
        <v>22</v>
      </c>
      <c r="H29" s="114" t="s">
        <v>23</v>
      </c>
      <c r="I29" s="114"/>
      <c r="J29" s="114"/>
      <c r="K29" s="114"/>
      <c r="L29" s="115"/>
      <c r="M29" s="112" t="s">
        <v>24</v>
      </c>
      <c r="N29" s="112" t="s">
        <v>25</v>
      </c>
      <c r="O29" s="116"/>
    </row>
    <row r="30" spans="1:15" ht="17.100000000000001" customHeight="1" x14ac:dyDescent="0.25">
      <c r="A30" s="111"/>
      <c r="B30" s="113"/>
      <c r="C30" s="113"/>
      <c r="D30" s="113"/>
      <c r="E30" s="113"/>
      <c r="F30" s="113"/>
      <c r="G30" s="113"/>
      <c r="H30" s="3" t="s">
        <v>27</v>
      </c>
      <c r="I30" s="26" t="s">
        <v>36</v>
      </c>
      <c r="J30" s="3" t="s">
        <v>29</v>
      </c>
      <c r="K30" s="4" t="s">
        <v>52</v>
      </c>
      <c r="L30" s="3" t="s">
        <v>30</v>
      </c>
      <c r="M30" s="113"/>
      <c r="N30" s="113"/>
      <c r="O30" s="87"/>
    </row>
    <row r="31" spans="1:15" ht="17.100000000000001" customHeight="1" x14ac:dyDescent="0.25">
      <c r="A31" s="15">
        <v>2</v>
      </c>
      <c r="B31" s="117" t="s">
        <v>37</v>
      </c>
      <c r="C31" s="117"/>
      <c r="D31" s="118"/>
      <c r="E31" s="118"/>
      <c r="F31" s="118"/>
      <c r="G31" s="16"/>
      <c r="H31" s="16"/>
      <c r="I31" s="16"/>
      <c r="J31" s="16"/>
      <c r="K31" s="16"/>
      <c r="L31" s="16"/>
      <c r="M31" s="22">
        <f>SUM(M32:M65)</f>
        <v>21156.915356699203</v>
      </c>
      <c r="N31" s="16"/>
      <c r="O31" s="116"/>
    </row>
    <row r="32" spans="1:15" s="19" customFormat="1" ht="17.100000000000001" customHeight="1" x14ac:dyDescent="0.2">
      <c r="A32" s="18" t="s">
        <v>110</v>
      </c>
      <c r="B32" s="18" t="s">
        <v>93</v>
      </c>
      <c r="C32" s="18">
        <v>1379</v>
      </c>
      <c r="D32" s="18" t="s">
        <v>34</v>
      </c>
      <c r="E32" s="42" t="s">
        <v>95</v>
      </c>
      <c r="F32" s="18" t="s">
        <v>21</v>
      </c>
      <c r="G32" s="18">
        <v>2000</v>
      </c>
      <c r="H32" s="78">
        <v>0.6</v>
      </c>
      <c r="I32" s="14">
        <f t="shared" ref="I32" si="6">H32*0.1532</f>
        <v>9.1920000000000002E-2</v>
      </c>
      <c r="J32" s="14">
        <f t="shared" ref="J32" si="7">H32+I32</f>
        <v>0.69191999999999998</v>
      </c>
      <c r="K32" s="14">
        <f t="shared" ref="K32" si="8">J32*(0.03%)</f>
        <v>2.0757599999999998E-4</v>
      </c>
      <c r="L32" s="14">
        <f t="shared" ref="L32" si="9">J32-K32</f>
        <v>0.69171242399999999</v>
      </c>
      <c r="M32" s="14">
        <f t="shared" ref="M32" si="10">L32*G32</f>
        <v>1383.4248479999999</v>
      </c>
      <c r="N32" s="14">
        <f>M32/M31</f>
        <v>6.5388778310820586E-2</v>
      </c>
      <c r="O32" s="116"/>
    </row>
    <row r="33" spans="1:15" s="19" customFormat="1" ht="17.100000000000001" customHeight="1" x14ac:dyDescent="0.2">
      <c r="A33" s="18" t="s">
        <v>98</v>
      </c>
      <c r="B33" s="18" t="s">
        <v>93</v>
      </c>
      <c r="C33" s="18">
        <v>1107</v>
      </c>
      <c r="D33" s="18" t="s">
        <v>34</v>
      </c>
      <c r="E33" s="42" t="s">
        <v>135</v>
      </c>
      <c r="F33" s="18" t="s">
        <v>96</v>
      </c>
      <c r="G33" s="18">
        <v>400</v>
      </c>
      <c r="H33" s="78">
        <v>0.76</v>
      </c>
      <c r="I33" s="14">
        <f t="shared" ref="I33:I60" si="11">H33*0.1532</f>
        <v>0.11643200000000001</v>
      </c>
      <c r="J33" s="14">
        <f t="shared" ref="J33:J61" si="12">H33+I33</f>
        <v>0.87643199999999999</v>
      </c>
      <c r="K33" s="14">
        <f t="shared" ref="K33:K61" si="13">J33*(0.03%)</f>
        <v>2.6292959999999995E-4</v>
      </c>
      <c r="L33" s="14">
        <f t="shared" ref="L33:L61" si="14">J33-K33</f>
        <v>0.87616907040000003</v>
      </c>
      <c r="M33" s="14"/>
      <c r="N33" s="14">
        <f t="shared" ref="N33:N61" si="15">M33/M32</f>
        <v>0</v>
      </c>
      <c r="O33" s="116"/>
    </row>
    <row r="34" spans="1:15" s="19" customFormat="1" ht="17.100000000000001" customHeight="1" x14ac:dyDescent="0.2">
      <c r="A34" s="18" t="s">
        <v>111</v>
      </c>
      <c r="B34" s="18" t="s">
        <v>93</v>
      </c>
      <c r="C34" s="18">
        <v>1381</v>
      </c>
      <c r="D34" s="18" t="s">
        <v>34</v>
      </c>
      <c r="E34" s="48" t="s">
        <v>136</v>
      </c>
      <c r="F34" s="18" t="s">
        <v>96</v>
      </c>
      <c r="G34" s="18">
        <v>200</v>
      </c>
      <c r="H34" s="78">
        <v>0.75</v>
      </c>
      <c r="I34" s="14">
        <f t="shared" si="11"/>
        <v>0.1149</v>
      </c>
      <c r="J34" s="14">
        <f t="shared" si="12"/>
        <v>0.8649</v>
      </c>
      <c r="K34" s="14">
        <f t="shared" si="13"/>
        <v>2.5946999999999998E-4</v>
      </c>
      <c r="L34" s="14">
        <f t="shared" si="14"/>
        <v>0.86464052999999996</v>
      </c>
      <c r="M34" s="14">
        <f t="shared" ref="M34:M61" si="16">L34*G34</f>
        <v>172.92810599999999</v>
      </c>
      <c r="N34" s="14" t="e">
        <f t="shared" si="15"/>
        <v>#DIV/0!</v>
      </c>
      <c r="O34" s="116"/>
    </row>
    <row r="35" spans="1:15" s="19" customFormat="1" ht="17.100000000000001" customHeight="1" x14ac:dyDescent="0.2">
      <c r="A35" s="18" t="s">
        <v>112</v>
      </c>
      <c r="B35" s="18" t="s">
        <v>93</v>
      </c>
      <c r="C35" s="18">
        <v>10228</v>
      </c>
      <c r="D35" s="18" t="s">
        <v>34</v>
      </c>
      <c r="E35" s="47" t="s">
        <v>137</v>
      </c>
      <c r="F35" s="18" t="s">
        <v>21</v>
      </c>
      <c r="G35" s="18">
        <v>8</v>
      </c>
      <c r="H35" s="78">
        <v>314.51</v>
      </c>
      <c r="I35" s="14">
        <f t="shared" si="11"/>
        <v>48.182932000000001</v>
      </c>
      <c r="J35" s="14">
        <f t="shared" si="12"/>
        <v>362.69293199999998</v>
      </c>
      <c r="K35" s="14">
        <f t="shared" si="13"/>
        <v>0.10880787959999999</v>
      </c>
      <c r="L35" s="14">
        <f t="shared" si="14"/>
        <v>362.58412412039996</v>
      </c>
      <c r="M35" s="14">
        <f t="shared" si="16"/>
        <v>2900.6729929631997</v>
      </c>
      <c r="N35" s="14">
        <f t="shared" si="15"/>
        <v>16.773866666666667</v>
      </c>
      <c r="O35" s="116"/>
    </row>
    <row r="36" spans="1:15" s="19" customFormat="1" ht="17.100000000000001" customHeight="1" x14ac:dyDescent="0.2">
      <c r="A36" s="18" t="s">
        <v>94</v>
      </c>
      <c r="B36" s="18" t="s">
        <v>93</v>
      </c>
      <c r="C36" s="18">
        <v>36791</v>
      </c>
      <c r="D36" s="18" t="s">
        <v>34</v>
      </c>
      <c r="E36" s="50" t="s">
        <v>103</v>
      </c>
      <c r="F36" s="18" t="s">
        <v>21</v>
      </c>
      <c r="G36" s="18">
        <v>10</v>
      </c>
      <c r="H36" s="79">
        <v>122.95</v>
      </c>
      <c r="I36" s="14">
        <f t="shared" si="11"/>
        <v>18.835940000000001</v>
      </c>
      <c r="J36" s="14">
        <f t="shared" si="12"/>
        <v>141.78594000000001</v>
      </c>
      <c r="K36" s="14">
        <f t="shared" si="13"/>
        <v>4.2535782000000001E-2</v>
      </c>
      <c r="L36" s="14">
        <f t="shared" si="14"/>
        <v>141.74340421800002</v>
      </c>
      <c r="M36" s="14">
        <f t="shared" si="16"/>
        <v>1417.4340421800002</v>
      </c>
      <c r="N36" s="14">
        <f t="shared" si="15"/>
        <v>0.48865695844329288</v>
      </c>
      <c r="O36" s="116"/>
    </row>
    <row r="37" spans="1:15" s="19" customFormat="1" ht="17.100000000000001" customHeight="1" x14ac:dyDescent="0.2">
      <c r="A37" s="18" t="s">
        <v>113</v>
      </c>
      <c r="B37" s="18" t="s">
        <v>93</v>
      </c>
      <c r="C37" s="18">
        <v>11762</v>
      </c>
      <c r="D37" s="18" t="s">
        <v>34</v>
      </c>
      <c r="E37" s="48" t="s">
        <v>138</v>
      </c>
      <c r="F37" s="18" t="s">
        <v>21</v>
      </c>
      <c r="G37" s="18">
        <v>15</v>
      </c>
      <c r="H37" s="78">
        <v>51.57</v>
      </c>
      <c r="I37" s="14">
        <f t="shared" si="11"/>
        <v>7.9005239999999999</v>
      </c>
      <c r="J37" s="14">
        <f t="shared" si="12"/>
        <v>59.470523999999997</v>
      </c>
      <c r="K37" s="14">
        <f t="shared" si="13"/>
        <v>1.7841157199999999E-2</v>
      </c>
      <c r="L37" s="14">
        <f t="shared" si="14"/>
        <v>59.452682842799994</v>
      </c>
      <c r="M37" s="14">
        <f t="shared" si="16"/>
        <v>891.79024264199995</v>
      </c>
      <c r="N37" s="14">
        <f t="shared" si="15"/>
        <v>0.6291581943879625</v>
      </c>
      <c r="O37" s="116"/>
    </row>
    <row r="38" spans="1:15" s="19" customFormat="1" ht="17.100000000000001" customHeight="1" x14ac:dyDescent="0.2">
      <c r="A38" s="18" t="s">
        <v>114</v>
      </c>
      <c r="B38" s="18" t="s">
        <v>93</v>
      </c>
      <c r="C38" s="18">
        <v>13417</v>
      </c>
      <c r="D38" s="18" t="s">
        <v>34</v>
      </c>
      <c r="E38" s="42" t="s">
        <v>139</v>
      </c>
      <c r="F38" s="18" t="s">
        <v>21</v>
      </c>
      <c r="G38" s="18">
        <v>2</v>
      </c>
      <c r="H38" s="78">
        <v>81.92</v>
      </c>
      <c r="I38" s="14">
        <f t="shared" si="11"/>
        <v>12.550144000000001</v>
      </c>
      <c r="J38" s="14">
        <f t="shared" si="12"/>
        <v>94.470144000000005</v>
      </c>
      <c r="K38" s="14">
        <f t="shared" si="13"/>
        <v>2.8341043199999999E-2</v>
      </c>
      <c r="L38" s="14">
        <f t="shared" si="14"/>
        <v>94.441802956800004</v>
      </c>
      <c r="M38" s="14">
        <f t="shared" si="16"/>
        <v>188.88360591360001</v>
      </c>
      <c r="N38" s="14">
        <f t="shared" si="15"/>
        <v>0.21180272768405406</v>
      </c>
      <c r="O38" s="116"/>
    </row>
    <row r="39" spans="1:15" s="19" customFormat="1" ht="17.100000000000001" customHeight="1" x14ac:dyDescent="0.2">
      <c r="A39" s="18" t="s">
        <v>107</v>
      </c>
      <c r="B39" s="18" t="s">
        <v>93</v>
      </c>
      <c r="C39" s="18">
        <v>11684</v>
      </c>
      <c r="D39" s="18" t="s">
        <v>34</v>
      </c>
      <c r="E39" s="24" t="s">
        <v>140</v>
      </c>
      <c r="F39" s="18" t="s">
        <v>21</v>
      </c>
      <c r="G39" s="18">
        <v>15</v>
      </c>
      <c r="H39" s="65">
        <v>45.54</v>
      </c>
      <c r="I39" s="14">
        <f t="shared" si="11"/>
        <v>6.9767279999999996</v>
      </c>
      <c r="J39" s="14">
        <f t="shared" si="12"/>
        <v>52.516728000000001</v>
      </c>
      <c r="K39" s="14">
        <f t="shared" si="13"/>
        <v>1.5755018399999998E-2</v>
      </c>
      <c r="L39" s="14">
        <f t="shared" si="14"/>
        <v>52.5009729816</v>
      </c>
      <c r="M39" s="14">
        <f t="shared" si="16"/>
        <v>787.51459472400006</v>
      </c>
      <c r="N39" s="14">
        <f t="shared" si="15"/>
        <v>4.1693115234375</v>
      </c>
      <c r="O39" s="116"/>
    </row>
    <row r="40" spans="1:15" s="19" customFormat="1" ht="17.100000000000001" customHeight="1" x14ac:dyDescent="0.2">
      <c r="A40" s="18" t="s">
        <v>115</v>
      </c>
      <c r="B40" s="18" t="s">
        <v>93</v>
      </c>
      <c r="C40" s="18">
        <v>6138</v>
      </c>
      <c r="D40" s="18" t="s">
        <v>34</v>
      </c>
      <c r="E40" s="25" t="s">
        <v>141</v>
      </c>
      <c r="F40" s="18" t="s">
        <v>21</v>
      </c>
      <c r="G40" s="18">
        <v>10</v>
      </c>
      <c r="H40" s="78">
        <v>11.57</v>
      </c>
      <c r="I40" s="14">
        <f t="shared" si="11"/>
        <v>1.772524</v>
      </c>
      <c r="J40" s="14">
        <f t="shared" si="12"/>
        <v>13.342524000000001</v>
      </c>
      <c r="K40" s="14">
        <f t="shared" si="13"/>
        <v>4.0027572000000001E-3</v>
      </c>
      <c r="L40" s="14">
        <f t="shared" si="14"/>
        <v>13.338521242800001</v>
      </c>
      <c r="M40" s="14">
        <f t="shared" si="16"/>
        <v>133.38521242800002</v>
      </c>
      <c r="N40" s="14">
        <f t="shared" si="15"/>
        <v>0.16937490850534329</v>
      </c>
      <c r="O40" s="116"/>
    </row>
    <row r="41" spans="1:15" s="19" customFormat="1" ht="17.100000000000001" customHeight="1" x14ac:dyDescent="0.2">
      <c r="A41" s="18" t="s">
        <v>106</v>
      </c>
      <c r="B41" s="18" t="s">
        <v>93</v>
      </c>
      <c r="C41" s="18">
        <v>44945</v>
      </c>
      <c r="D41" s="18" t="s">
        <v>34</v>
      </c>
      <c r="E41" s="51" t="s">
        <v>105</v>
      </c>
      <c r="F41" s="18" t="s">
        <v>21</v>
      </c>
      <c r="G41" s="18">
        <v>20</v>
      </c>
      <c r="H41" s="78">
        <v>10.93</v>
      </c>
      <c r="I41" s="14">
        <f t="shared" si="11"/>
        <v>1.6744760000000001</v>
      </c>
      <c r="J41" s="14">
        <f t="shared" si="12"/>
        <v>12.604476</v>
      </c>
      <c r="K41" s="14">
        <f t="shared" si="13"/>
        <v>3.7813427999999999E-3</v>
      </c>
      <c r="L41" s="14">
        <f t="shared" si="14"/>
        <v>12.6006946572</v>
      </c>
      <c r="M41" s="14">
        <f t="shared" si="16"/>
        <v>252.01389314400001</v>
      </c>
      <c r="N41" s="14">
        <f t="shared" si="15"/>
        <v>1.8893690579083835</v>
      </c>
      <c r="O41" s="116"/>
    </row>
    <row r="42" spans="1:15" s="19" customFormat="1" ht="17.100000000000001" customHeight="1" x14ac:dyDescent="0.2">
      <c r="A42" s="18" t="s">
        <v>99</v>
      </c>
      <c r="B42" s="18" t="s">
        <v>93</v>
      </c>
      <c r="C42" s="18">
        <v>4375</v>
      </c>
      <c r="D42" s="18" t="s">
        <v>34</v>
      </c>
      <c r="E42" s="42" t="s">
        <v>142</v>
      </c>
      <c r="F42" s="18" t="s">
        <v>21</v>
      </c>
      <c r="G42" s="18">
        <v>50</v>
      </c>
      <c r="H42" s="78">
        <v>0.09</v>
      </c>
      <c r="I42" s="14">
        <f t="shared" si="11"/>
        <v>1.3788E-2</v>
      </c>
      <c r="J42" s="14">
        <f t="shared" si="12"/>
        <v>0.10378799999999999</v>
      </c>
      <c r="K42" s="14">
        <f t="shared" si="13"/>
        <v>3.1136399999999996E-5</v>
      </c>
      <c r="L42" s="14">
        <f t="shared" si="14"/>
        <v>0.10375686359999998</v>
      </c>
      <c r="M42" s="14">
        <f t="shared" si="16"/>
        <v>5.1878431799999989</v>
      </c>
      <c r="N42" s="14">
        <f t="shared" si="15"/>
        <v>2.0585544373284533E-2</v>
      </c>
      <c r="O42" s="116"/>
    </row>
    <row r="43" spans="1:15" s="19" customFormat="1" ht="17.100000000000001" customHeight="1" x14ac:dyDescent="0.2">
      <c r="A43" s="18" t="s">
        <v>116</v>
      </c>
      <c r="B43" s="18" t="s">
        <v>93</v>
      </c>
      <c r="C43" s="18">
        <v>4376</v>
      </c>
      <c r="D43" s="18" t="s">
        <v>34</v>
      </c>
      <c r="E43" s="25" t="s">
        <v>143</v>
      </c>
      <c r="F43" s="18" t="s">
        <v>21</v>
      </c>
      <c r="G43" s="18">
        <v>50</v>
      </c>
      <c r="H43" s="78">
        <v>0.17</v>
      </c>
      <c r="I43" s="14">
        <f t="shared" si="11"/>
        <v>2.6044000000000001E-2</v>
      </c>
      <c r="J43" s="14">
        <f t="shared" si="12"/>
        <v>0.19604400000000002</v>
      </c>
      <c r="K43" s="14">
        <f t="shared" si="13"/>
        <v>5.8813200000000001E-5</v>
      </c>
      <c r="L43" s="14">
        <f t="shared" si="14"/>
        <v>0.19598518680000002</v>
      </c>
      <c r="M43" s="14">
        <f t="shared" si="16"/>
        <v>9.7992593400000008</v>
      </c>
      <c r="N43" s="14">
        <f t="shared" si="15"/>
        <v>1.8888888888888895</v>
      </c>
      <c r="O43" s="116"/>
    </row>
    <row r="44" spans="1:15" s="19" customFormat="1" ht="17.100000000000001" customHeight="1" x14ac:dyDescent="0.2">
      <c r="A44" s="18" t="s">
        <v>117</v>
      </c>
      <c r="B44" s="18" t="s">
        <v>93</v>
      </c>
      <c r="C44" s="11">
        <v>38383</v>
      </c>
      <c r="D44" s="18" t="s">
        <v>34</v>
      </c>
      <c r="E44" s="52" t="s">
        <v>144</v>
      </c>
      <c r="F44" s="18" t="s">
        <v>21</v>
      </c>
      <c r="G44" s="18">
        <v>25</v>
      </c>
      <c r="H44" s="65">
        <v>2.62</v>
      </c>
      <c r="I44" s="14">
        <f t="shared" si="11"/>
        <v>0.40138400000000002</v>
      </c>
      <c r="J44" s="14">
        <f t="shared" si="12"/>
        <v>3.0213840000000003</v>
      </c>
      <c r="K44" s="14">
        <f t="shared" si="13"/>
        <v>9.064152E-4</v>
      </c>
      <c r="L44" s="14">
        <f t="shared" si="14"/>
        <v>3.0204775848000005</v>
      </c>
      <c r="M44" s="14">
        <f t="shared" si="16"/>
        <v>75.511939620000007</v>
      </c>
      <c r="N44" s="14">
        <f t="shared" si="15"/>
        <v>7.7058823529411766</v>
      </c>
      <c r="O44" s="116"/>
    </row>
    <row r="45" spans="1:15" s="19" customFormat="1" ht="17.100000000000001" customHeight="1" x14ac:dyDescent="0.2">
      <c r="A45" s="18" t="s">
        <v>118</v>
      </c>
      <c r="B45" s="18" t="s">
        <v>93</v>
      </c>
      <c r="C45" s="18">
        <v>11675</v>
      </c>
      <c r="D45" s="18" t="s">
        <v>34</v>
      </c>
      <c r="E45" s="24" t="s">
        <v>145</v>
      </c>
      <c r="F45" s="18" t="s">
        <v>21</v>
      </c>
      <c r="G45" s="18">
        <v>10</v>
      </c>
      <c r="H45" s="79">
        <v>44.1</v>
      </c>
      <c r="I45" s="14">
        <f t="shared" si="11"/>
        <v>6.7561200000000001</v>
      </c>
      <c r="J45" s="14">
        <f t="shared" si="12"/>
        <v>50.856120000000004</v>
      </c>
      <c r="K45" s="14">
        <f t="shared" si="13"/>
        <v>1.5256835999999999E-2</v>
      </c>
      <c r="L45" s="14">
        <f t="shared" si="14"/>
        <v>50.840863164000005</v>
      </c>
      <c r="M45" s="14">
        <f t="shared" si="16"/>
        <v>508.40863164000007</v>
      </c>
      <c r="N45" s="14">
        <f t="shared" si="15"/>
        <v>6.7328244274809164</v>
      </c>
      <c r="O45" s="116"/>
    </row>
    <row r="46" spans="1:15" s="19" customFormat="1" ht="17.100000000000001" customHeight="1" x14ac:dyDescent="0.2">
      <c r="A46" s="18" t="s">
        <v>101</v>
      </c>
      <c r="B46" s="18" t="s">
        <v>93</v>
      </c>
      <c r="C46" s="18">
        <v>11677</v>
      </c>
      <c r="D46" s="18" t="s">
        <v>34</v>
      </c>
      <c r="E46" s="42" t="s">
        <v>146</v>
      </c>
      <c r="F46" s="18" t="s">
        <v>21</v>
      </c>
      <c r="G46" s="18">
        <v>5</v>
      </c>
      <c r="H46" s="78">
        <v>60.92</v>
      </c>
      <c r="I46" s="14">
        <f t="shared" si="11"/>
        <v>9.3329440000000012</v>
      </c>
      <c r="J46" s="14">
        <f t="shared" si="12"/>
        <v>70.252943999999999</v>
      </c>
      <c r="K46" s="14">
        <f t="shared" si="13"/>
        <v>2.1075883199999999E-2</v>
      </c>
      <c r="L46" s="14">
        <f t="shared" si="14"/>
        <v>70.231868116800001</v>
      </c>
      <c r="M46" s="14">
        <f t="shared" si="16"/>
        <v>351.15934058400001</v>
      </c>
      <c r="N46" s="14">
        <f t="shared" si="15"/>
        <v>0.69070294784580488</v>
      </c>
      <c r="O46" s="116"/>
    </row>
    <row r="47" spans="1:15" s="19" customFormat="1" ht="17.100000000000001" customHeight="1" x14ac:dyDescent="0.2">
      <c r="A47" s="18" t="s">
        <v>119</v>
      </c>
      <c r="B47" s="18" t="s">
        <v>93</v>
      </c>
      <c r="C47" s="18">
        <v>3534</v>
      </c>
      <c r="D47" s="18" t="s">
        <v>34</v>
      </c>
      <c r="E47" s="51" t="s">
        <v>147</v>
      </c>
      <c r="F47" s="18" t="s">
        <v>21</v>
      </c>
      <c r="G47" s="18">
        <v>15</v>
      </c>
      <c r="H47" s="78">
        <v>6.31</v>
      </c>
      <c r="I47" s="14">
        <f t="shared" si="11"/>
        <v>0.966692</v>
      </c>
      <c r="J47" s="14">
        <f t="shared" si="12"/>
        <v>7.2766919999999997</v>
      </c>
      <c r="K47" s="14">
        <f t="shared" si="13"/>
        <v>2.1830075999999996E-3</v>
      </c>
      <c r="L47" s="14">
        <f t="shared" si="14"/>
        <v>7.2745089923999995</v>
      </c>
      <c r="M47" s="14">
        <f t="shared" si="16"/>
        <v>109.11763488599999</v>
      </c>
      <c r="N47" s="14">
        <f t="shared" si="15"/>
        <v>0.31073539067629674</v>
      </c>
      <c r="O47" s="116"/>
    </row>
    <row r="48" spans="1:15" s="19" customFormat="1" ht="17.100000000000001" customHeight="1" x14ac:dyDescent="0.2">
      <c r="A48" s="18" t="s">
        <v>120</v>
      </c>
      <c r="B48" s="18" t="s">
        <v>93</v>
      </c>
      <c r="C48" s="18">
        <v>3529</v>
      </c>
      <c r="D48" s="18" t="s">
        <v>34</v>
      </c>
      <c r="E48" s="48" t="s">
        <v>108</v>
      </c>
      <c r="F48" s="18" t="s">
        <v>21</v>
      </c>
      <c r="G48" s="18">
        <v>30</v>
      </c>
      <c r="H48" s="78">
        <v>0.6</v>
      </c>
      <c r="I48" s="14">
        <f t="shared" si="11"/>
        <v>9.1920000000000002E-2</v>
      </c>
      <c r="J48" s="14">
        <f t="shared" si="12"/>
        <v>0.69191999999999998</v>
      </c>
      <c r="K48" s="14">
        <f t="shared" si="13"/>
        <v>2.0757599999999998E-4</v>
      </c>
      <c r="L48" s="14">
        <f t="shared" si="14"/>
        <v>0.69171242399999999</v>
      </c>
      <c r="M48" s="14">
        <f t="shared" si="16"/>
        <v>20.751372719999999</v>
      </c>
      <c r="N48" s="14">
        <f t="shared" si="15"/>
        <v>0.19017432646592711</v>
      </c>
      <c r="O48" s="116"/>
    </row>
    <row r="49" spans="1:15" s="19" customFormat="1" ht="17.100000000000001" customHeight="1" x14ac:dyDescent="0.2">
      <c r="A49" s="18" t="s">
        <v>121</v>
      </c>
      <c r="B49" s="18" t="s">
        <v>93</v>
      </c>
      <c r="C49" s="18">
        <v>3539</v>
      </c>
      <c r="D49" s="18" t="s">
        <v>34</v>
      </c>
      <c r="E49" s="51" t="s">
        <v>148</v>
      </c>
      <c r="F49" s="18" t="s">
        <v>21</v>
      </c>
      <c r="G49" s="18">
        <v>5</v>
      </c>
      <c r="H49" s="78">
        <v>24.04</v>
      </c>
      <c r="I49" s="14">
        <f t="shared" si="11"/>
        <v>3.682928</v>
      </c>
      <c r="J49" s="14">
        <f t="shared" si="12"/>
        <v>27.722928</v>
      </c>
      <c r="K49" s="14">
        <f t="shared" si="13"/>
        <v>8.3168783999999999E-3</v>
      </c>
      <c r="L49" s="14">
        <f t="shared" si="14"/>
        <v>27.714611121600001</v>
      </c>
      <c r="M49" s="14">
        <f t="shared" si="16"/>
        <v>138.573055608</v>
      </c>
      <c r="N49" s="14">
        <f t="shared" si="15"/>
        <v>6.677777777777778</v>
      </c>
      <c r="O49" s="116"/>
    </row>
    <row r="50" spans="1:15" s="19" customFormat="1" ht="17.100000000000001" customHeight="1" x14ac:dyDescent="0.2">
      <c r="A50" s="18" t="s">
        <v>122</v>
      </c>
      <c r="B50" s="18" t="s">
        <v>93</v>
      </c>
      <c r="C50" s="18">
        <v>3904</v>
      </c>
      <c r="D50" s="18" t="s">
        <v>34</v>
      </c>
      <c r="E50" s="48" t="s">
        <v>149</v>
      </c>
      <c r="F50" s="18" t="s">
        <v>21</v>
      </c>
      <c r="G50" s="18">
        <v>20</v>
      </c>
      <c r="H50" s="78">
        <v>0.68</v>
      </c>
      <c r="I50" s="14">
        <f t="shared" si="11"/>
        <v>0.104176</v>
      </c>
      <c r="J50" s="14">
        <f t="shared" si="12"/>
        <v>0.7841760000000001</v>
      </c>
      <c r="K50" s="14">
        <f t="shared" si="13"/>
        <v>2.3525280000000001E-4</v>
      </c>
      <c r="L50" s="14">
        <f t="shared" si="14"/>
        <v>0.78394074720000007</v>
      </c>
      <c r="M50" s="14">
        <f t="shared" si="16"/>
        <v>15.678814944000001</v>
      </c>
      <c r="N50" s="14">
        <f t="shared" si="15"/>
        <v>0.11314475873544093</v>
      </c>
      <c r="O50" s="116"/>
    </row>
    <row r="51" spans="1:15" s="19" customFormat="1" ht="17.100000000000001" customHeight="1" x14ac:dyDescent="0.2">
      <c r="A51" s="18" t="s">
        <v>102</v>
      </c>
      <c r="B51" s="18" t="s">
        <v>93</v>
      </c>
      <c r="C51" s="18">
        <v>3827</v>
      </c>
      <c r="D51" s="18" t="s">
        <v>34</v>
      </c>
      <c r="E51" s="51" t="s">
        <v>150</v>
      </c>
      <c r="F51" s="18" t="s">
        <v>21</v>
      </c>
      <c r="G51" s="18">
        <v>1</v>
      </c>
      <c r="H51" s="78">
        <v>26.52</v>
      </c>
      <c r="I51" s="14">
        <f t="shared" si="11"/>
        <v>4.0628640000000003</v>
      </c>
      <c r="J51" s="14">
        <f t="shared" si="12"/>
        <v>30.582864000000001</v>
      </c>
      <c r="K51" s="14">
        <f t="shared" si="13"/>
        <v>9.1748591999999997E-3</v>
      </c>
      <c r="L51" s="14">
        <f t="shared" si="14"/>
        <v>30.573689140799999</v>
      </c>
      <c r="M51" s="14">
        <f t="shared" si="16"/>
        <v>30.573689140799999</v>
      </c>
      <c r="N51" s="14">
        <f t="shared" si="15"/>
        <v>1.9499999999999997</v>
      </c>
      <c r="O51" s="116"/>
    </row>
    <row r="52" spans="1:15" s="19" customFormat="1" ht="17.100000000000001" customHeight="1" x14ac:dyDescent="0.2">
      <c r="A52" s="18" t="s">
        <v>92</v>
      </c>
      <c r="B52" s="18" t="s">
        <v>93</v>
      </c>
      <c r="C52" s="18">
        <v>7122</v>
      </c>
      <c r="D52" s="18" t="s">
        <v>34</v>
      </c>
      <c r="E52" s="42" t="s">
        <v>151</v>
      </c>
      <c r="F52" s="18" t="s">
        <v>21</v>
      </c>
      <c r="G52" s="18">
        <v>10</v>
      </c>
      <c r="H52" s="78">
        <v>9.15</v>
      </c>
      <c r="I52" s="14">
        <f t="shared" si="11"/>
        <v>1.40178</v>
      </c>
      <c r="J52" s="14">
        <f t="shared" si="12"/>
        <v>10.551780000000001</v>
      </c>
      <c r="K52" s="14">
        <f t="shared" si="13"/>
        <v>3.1655339999999998E-3</v>
      </c>
      <c r="L52" s="14">
        <f t="shared" si="14"/>
        <v>10.548614466</v>
      </c>
      <c r="M52" s="14">
        <f t="shared" si="16"/>
        <v>105.48614466000001</v>
      </c>
      <c r="N52" s="14">
        <f t="shared" si="15"/>
        <v>3.4502262443438916</v>
      </c>
      <c r="O52" s="116"/>
    </row>
    <row r="53" spans="1:15" s="19" customFormat="1" ht="17.100000000000001" customHeight="1" x14ac:dyDescent="0.2">
      <c r="A53" s="18" t="s">
        <v>123</v>
      </c>
      <c r="B53" s="18" t="s">
        <v>93</v>
      </c>
      <c r="C53" s="18">
        <v>7142</v>
      </c>
      <c r="D53" s="18" t="s">
        <v>34</v>
      </c>
      <c r="E53" s="42" t="s">
        <v>152</v>
      </c>
      <c r="F53" s="18" t="s">
        <v>21</v>
      </c>
      <c r="G53" s="18">
        <v>8</v>
      </c>
      <c r="H53" s="78">
        <v>8.01</v>
      </c>
      <c r="I53" s="14">
        <f t="shared" si="11"/>
        <v>1.2271319999999999</v>
      </c>
      <c r="J53" s="14">
        <f t="shared" si="12"/>
        <v>9.237131999999999</v>
      </c>
      <c r="K53" s="14">
        <f t="shared" si="13"/>
        <v>2.7711395999999995E-3</v>
      </c>
      <c r="L53" s="14">
        <f t="shared" si="14"/>
        <v>9.2343608603999989</v>
      </c>
      <c r="M53" s="14">
        <f t="shared" si="16"/>
        <v>73.874886883199991</v>
      </c>
      <c r="N53" s="14">
        <f t="shared" si="15"/>
        <v>0.7003278688524589</v>
      </c>
      <c r="O53" s="116"/>
    </row>
    <row r="54" spans="1:15" x14ac:dyDescent="0.25">
      <c r="A54" s="18" t="s">
        <v>124</v>
      </c>
      <c r="B54" s="18" t="s">
        <v>93</v>
      </c>
      <c r="C54" s="18">
        <v>7292</v>
      </c>
      <c r="D54" s="18" t="s">
        <v>34</v>
      </c>
      <c r="E54" s="47" t="s">
        <v>153</v>
      </c>
      <c r="F54" s="18" t="s">
        <v>154</v>
      </c>
      <c r="G54" s="18">
        <f>3.6*2</f>
        <v>7.2</v>
      </c>
      <c r="H54" s="78">
        <v>41.3</v>
      </c>
      <c r="I54" s="14">
        <f t="shared" si="11"/>
        <v>6.3271600000000001</v>
      </c>
      <c r="J54" s="14">
        <f t="shared" si="12"/>
        <v>47.627159999999996</v>
      </c>
      <c r="K54" s="14">
        <f t="shared" si="13"/>
        <v>1.4288147999999997E-2</v>
      </c>
      <c r="L54" s="14">
        <f t="shared" si="14"/>
        <v>47.612871851999998</v>
      </c>
      <c r="M54" s="14">
        <f t="shared" si="16"/>
        <v>342.81267733440001</v>
      </c>
      <c r="N54" s="14">
        <f t="shared" si="15"/>
        <v>4.6404494382022481</v>
      </c>
      <c r="O54" s="116"/>
    </row>
    <row r="55" spans="1:15" x14ac:dyDescent="0.25">
      <c r="A55" s="18" t="s">
        <v>97</v>
      </c>
      <c r="B55" s="18" t="s">
        <v>93</v>
      </c>
      <c r="C55" s="18">
        <v>7348</v>
      </c>
      <c r="D55" s="18" t="s">
        <v>34</v>
      </c>
      <c r="E55" s="25" t="s">
        <v>155</v>
      </c>
      <c r="F55" s="18" t="s">
        <v>154</v>
      </c>
      <c r="G55" s="18">
        <v>36</v>
      </c>
      <c r="H55" s="78">
        <v>20.62</v>
      </c>
      <c r="I55" s="14">
        <f t="shared" si="11"/>
        <v>3.1589840000000002</v>
      </c>
      <c r="J55" s="14">
        <f t="shared" si="12"/>
        <v>23.778984000000001</v>
      </c>
      <c r="K55" s="14">
        <f t="shared" si="13"/>
        <v>7.1336951999999999E-3</v>
      </c>
      <c r="L55" s="14">
        <f t="shared" si="14"/>
        <v>23.771850304800001</v>
      </c>
      <c r="M55" s="14">
        <f t="shared" si="16"/>
        <v>855.78661097280008</v>
      </c>
      <c r="N55" s="14">
        <f t="shared" si="15"/>
        <v>2.4963680387409202</v>
      </c>
      <c r="O55" s="116"/>
    </row>
    <row r="56" spans="1:15" x14ac:dyDescent="0.25">
      <c r="A56" s="18" t="s">
        <v>125</v>
      </c>
      <c r="B56" s="18" t="s">
        <v>93</v>
      </c>
      <c r="C56" s="18">
        <v>35692</v>
      </c>
      <c r="D56" s="18" t="s">
        <v>34</v>
      </c>
      <c r="E56" s="25" t="s">
        <v>156</v>
      </c>
      <c r="F56" s="18" t="s">
        <v>154</v>
      </c>
      <c r="G56" s="18">
        <v>144</v>
      </c>
      <c r="H56" s="79">
        <v>20.12</v>
      </c>
      <c r="I56" s="14">
        <f t="shared" si="11"/>
        <v>3.0823840000000002</v>
      </c>
      <c r="J56" s="14">
        <f t="shared" si="12"/>
        <v>23.202384000000002</v>
      </c>
      <c r="K56" s="14">
        <f t="shared" si="13"/>
        <v>6.9607152000000002E-3</v>
      </c>
      <c r="L56" s="14">
        <f t="shared" si="14"/>
        <v>23.1954232848</v>
      </c>
      <c r="M56" s="14">
        <f t="shared" si="16"/>
        <v>3340.1409530112001</v>
      </c>
      <c r="N56" s="14">
        <f t="shared" si="15"/>
        <v>3.9030067895247331</v>
      </c>
      <c r="O56" s="116"/>
    </row>
    <row r="57" spans="1:15" s="19" customFormat="1" ht="17.100000000000001" customHeight="1" x14ac:dyDescent="0.2">
      <c r="A57" s="18" t="s">
        <v>100</v>
      </c>
      <c r="B57" s="18" t="s">
        <v>93</v>
      </c>
      <c r="C57" s="18">
        <v>12815</v>
      </c>
      <c r="D57" s="18" t="s">
        <v>34</v>
      </c>
      <c r="E57" s="47" t="s">
        <v>157</v>
      </c>
      <c r="F57" s="18" t="s">
        <v>21</v>
      </c>
      <c r="G57" s="18">
        <v>17</v>
      </c>
      <c r="H57" s="78">
        <v>10.72</v>
      </c>
      <c r="I57" s="14">
        <f t="shared" si="11"/>
        <v>1.6423040000000002</v>
      </c>
      <c r="J57" s="14">
        <f t="shared" si="12"/>
        <v>12.362304000000002</v>
      </c>
      <c r="K57" s="14">
        <f t="shared" si="13"/>
        <v>3.7086912000000001E-3</v>
      </c>
      <c r="L57" s="14">
        <f t="shared" si="14"/>
        <v>12.358595308800002</v>
      </c>
      <c r="M57" s="14">
        <f t="shared" si="16"/>
        <v>210.09612024960003</v>
      </c>
      <c r="N57" s="14">
        <f t="shared" si="15"/>
        <v>6.2900375524630001E-2</v>
      </c>
      <c r="O57" s="116"/>
    </row>
    <row r="58" spans="1:15" s="19" customFormat="1" ht="17.100000000000001" customHeight="1" x14ac:dyDescent="0.2">
      <c r="A58" s="18" t="s">
        <v>104</v>
      </c>
      <c r="B58" s="18" t="s">
        <v>93</v>
      </c>
      <c r="C58" s="18">
        <v>38122</v>
      </c>
      <c r="D58" s="18" t="s">
        <v>34</v>
      </c>
      <c r="E58" s="53" t="s">
        <v>158</v>
      </c>
      <c r="F58" s="54" t="s">
        <v>154</v>
      </c>
      <c r="G58" s="18">
        <v>36</v>
      </c>
      <c r="H58" s="79">
        <v>20.6</v>
      </c>
      <c r="I58" s="14">
        <f t="shared" si="11"/>
        <v>3.1559200000000001</v>
      </c>
      <c r="J58" s="14">
        <f t="shared" si="12"/>
        <v>23.755920000000003</v>
      </c>
      <c r="K58" s="14">
        <f t="shared" si="13"/>
        <v>7.1267760000000005E-3</v>
      </c>
      <c r="L58" s="14">
        <f t="shared" si="14"/>
        <v>23.748793224000003</v>
      </c>
      <c r="M58" s="14">
        <f t="shared" si="16"/>
        <v>854.9565560640001</v>
      </c>
      <c r="N58" s="14">
        <f t="shared" si="15"/>
        <v>4.0693590869183494</v>
      </c>
      <c r="O58" s="116"/>
    </row>
    <row r="59" spans="1:15" s="19" customFormat="1" ht="17.100000000000001" customHeight="1" x14ac:dyDescent="0.2">
      <c r="A59" s="18" t="s">
        <v>126</v>
      </c>
      <c r="B59" s="18" t="s">
        <v>93</v>
      </c>
      <c r="C59" s="23">
        <v>43651</v>
      </c>
      <c r="D59" s="18" t="s">
        <v>34</v>
      </c>
      <c r="E59" s="24" t="s">
        <v>159</v>
      </c>
      <c r="F59" s="18" t="s">
        <v>96</v>
      </c>
      <c r="G59" s="18">
        <v>46</v>
      </c>
      <c r="H59" s="79">
        <v>6.62</v>
      </c>
      <c r="I59" s="14">
        <f t="shared" si="11"/>
        <v>1.014184</v>
      </c>
      <c r="J59" s="14">
        <f t="shared" si="12"/>
        <v>7.6341840000000003</v>
      </c>
      <c r="K59" s="14">
        <f t="shared" si="13"/>
        <v>2.2902551999999998E-3</v>
      </c>
      <c r="L59" s="14">
        <f t="shared" si="14"/>
        <v>7.6318937448000002</v>
      </c>
      <c r="M59" s="14">
        <f t="shared" si="16"/>
        <v>351.0671122608</v>
      </c>
      <c r="N59" s="14">
        <f t="shared" si="15"/>
        <v>0.41062567421790719</v>
      </c>
      <c r="O59" s="116"/>
    </row>
    <row r="60" spans="1:15" s="19" customFormat="1" ht="17.100000000000001" customHeight="1" x14ac:dyDescent="0.2">
      <c r="A60" s="18" t="s">
        <v>127</v>
      </c>
      <c r="B60" s="18" t="s">
        <v>93</v>
      </c>
      <c r="C60" s="18">
        <v>12613</v>
      </c>
      <c r="D60" s="18" t="s">
        <v>34</v>
      </c>
      <c r="E60" s="42" t="s">
        <v>160</v>
      </c>
      <c r="F60" s="18" t="s">
        <v>21</v>
      </c>
      <c r="G60" s="18">
        <v>17</v>
      </c>
      <c r="H60" s="77">
        <v>20.22</v>
      </c>
      <c r="I60" s="14">
        <f t="shared" si="11"/>
        <v>3.0977039999999998</v>
      </c>
      <c r="J60" s="14">
        <f t="shared" si="12"/>
        <v>23.317703999999999</v>
      </c>
      <c r="K60" s="14">
        <f t="shared" si="13"/>
        <v>6.9953111999999989E-3</v>
      </c>
      <c r="L60" s="14">
        <f t="shared" si="14"/>
        <v>23.310708688799998</v>
      </c>
      <c r="M60" s="14">
        <f t="shared" si="16"/>
        <v>396.28204770959996</v>
      </c>
      <c r="N60" s="14">
        <f t="shared" si="15"/>
        <v>1.1287928543281229</v>
      </c>
      <c r="O60" s="116"/>
    </row>
    <row r="61" spans="1:15" s="19" customFormat="1" ht="17.100000000000001" customHeight="1" x14ac:dyDescent="0.2">
      <c r="A61" s="18" t="s">
        <v>128</v>
      </c>
      <c r="B61" s="173" t="s">
        <v>179</v>
      </c>
      <c r="C61" s="55" t="s">
        <v>161</v>
      </c>
      <c r="D61" s="55" t="s">
        <v>81</v>
      </c>
      <c r="E61" s="56" t="s">
        <v>162</v>
      </c>
      <c r="F61" s="18" t="s">
        <v>21</v>
      </c>
      <c r="G61" s="55">
        <v>10</v>
      </c>
      <c r="H61" s="80">
        <v>427.99</v>
      </c>
      <c r="I61" s="49">
        <f>H61*0.2232</f>
        <v>95.52736800000001</v>
      </c>
      <c r="J61" s="49">
        <f t="shared" si="12"/>
        <v>523.51736800000003</v>
      </c>
      <c r="K61" s="49">
        <f t="shared" si="13"/>
        <v>0.15705521040000001</v>
      </c>
      <c r="L61" s="49">
        <f t="shared" si="14"/>
        <v>523.36031278960002</v>
      </c>
      <c r="M61" s="49">
        <f t="shared" si="16"/>
        <v>5233.6031278959999</v>
      </c>
      <c r="N61" s="14">
        <f t="shared" si="15"/>
        <v>13.206763107601695</v>
      </c>
      <c r="O61" s="116"/>
    </row>
    <row r="62" spans="1:15" s="19" customFormat="1" ht="17.100000000000001" customHeight="1" x14ac:dyDescent="0.2">
      <c r="A62" s="18"/>
      <c r="B62" s="18"/>
      <c r="C62" s="18"/>
      <c r="D62" s="18"/>
      <c r="E62" s="42"/>
      <c r="F62" s="18"/>
      <c r="G62" s="18"/>
      <c r="H62" s="41"/>
      <c r="I62" s="14"/>
      <c r="J62" s="14"/>
      <c r="K62" s="14"/>
      <c r="L62" s="14"/>
      <c r="M62" s="14"/>
      <c r="N62" s="14"/>
      <c r="O62" s="116"/>
    </row>
    <row r="63" spans="1:15" s="19" customFormat="1" ht="17.100000000000001" customHeight="1" x14ac:dyDescent="0.2">
      <c r="A63" s="18"/>
      <c r="B63" s="18"/>
      <c r="C63" s="18"/>
      <c r="D63" s="18"/>
      <c r="E63" s="42"/>
      <c r="F63" s="18"/>
      <c r="G63" s="18"/>
      <c r="H63" s="41"/>
      <c r="I63" s="14"/>
      <c r="J63" s="14"/>
      <c r="K63" s="14"/>
      <c r="L63" s="14"/>
      <c r="M63" s="14"/>
      <c r="N63" s="14"/>
      <c r="O63" s="116"/>
    </row>
    <row r="64" spans="1:15" s="19" customFormat="1" ht="17.100000000000001" customHeight="1" x14ac:dyDescent="0.2">
      <c r="A64" s="18"/>
      <c r="B64" s="18"/>
      <c r="C64" s="18"/>
      <c r="D64" s="18"/>
      <c r="E64" s="42"/>
      <c r="F64" s="18"/>
      <c r="G64" s="18"/>
      <c r="H64" s="41"/>
      <c r="I64" s="14"/>
      <c r="J64" s="14"/>
      <c r="K64" s="14"/>
      <c r="L64" s="14"/>
      <c r="M64" s="14"/>
      <c r="N64" s="14"/>
      <c r="O64" s="116"/>
    </row>
    <row r="65" spans="1:15" s="19" customFormat="1" ht="17.100000000000001" customHeight="1" x14ac:dyDescent="0.2">
      <c r="A65" s="18"/>
      <c r="B65" s="18"/>
      <c r="C65" s="23"/>
      <c r="D65" s="18"/>
      <c r="E65" s="24"/>
      <c r="F65" s="18"/>
      <c r="G65" s="18"/>
      <c r="H65" s="27"/>
      <c r="I65" s="14"/>
      <c r="J65" s="14"/>
      <c r="K65" s="14"/>
      <c r="L65" s="14"/>
      <c r="M65" s="14"/>
      <c r="N65" s="14"/>
      <c r="O65" s="116"/>
    </row>
    <row r="66" spans="1:15" s="28" customFormat="1" ht="17.100000000000001" customHeight="1" x14ac:dyDescent="0.25">
      <c r="A66" s="119" t="s">
        <v>16</v>
      </c>
      <c r="B66" s="121" t="s">
        <v>17</v>
      </c>
      <c r="C66" s="121" t="s">
        <v>18</v>
      </c>
      <c r="D66" s="121" t="s">
        <v>19</v>
      </c>
      <c r="E66" s="121" t="s">
        <v>20</v>
      </c>
      <c r="F66" s="121" t="s">
        <v>21</v>
      </c>
      <c r="G66" s="121" t="s">
        <v>22</v>
      </c>
      <c r="H66" s="132" t="s">
        <v>23</v>
      </c>
      <c r="I66" s="132"/>
      <c r="J66" s="132"/>
      <c r="K66" s="132"/>
      <c r="L66" s="133"/>
      <c r="M66" s="121" t="s">
        <v>24</v>
      </c>
      <c r="N66" s="121" t="s">
        <v>25</v>
      </c>
      <c r="O66" s="87"/>
    </row>
    <row r="67" spans="1:15" s="28" customFormat="1" ht="17.100000000000001" customHeight="1" x14ac:dyDescent="0.25">
      <c r="A67" s="120"/>
      <c r="B67" s="122"/>
      <c r="C67" s="122"/>
      <c r="D67" s="122"/>
      <c r="E67" s="122"/>
      <c r="F67" s="122"/>
      <c r="G67" s="122"/>
      <c r="H67" s="4" t="s">
        <v>27</v>
      </c>
      <c r="I67" s="4" t="s">
        <v>28</v>
      </c>
      <c r="J67" s="4" t="s">
        <v>29</v>
      </c>
      <c r="K67" s="4" t="s">
        <v>53</v>
      </c>
      <c r="L67" s="4" t="s">
        <v>30</v>
      </c>
      <c r="M67" s="122"/>
      <c r="N67" s="122"/>
      <c r="O67" s="87"/>
    </row>
    <row r="68" spans="1:15" s="29" customFormat="1" ht="17.100000000000001" customHeight="1" x14ac:dyDescent="0.2">
      <c r="A68" s="30">
        <v>3</v>
      </c>
      <c r="B68" s="123" t="s">
        <v>38</v>
      </c>
      <c r="C68" s="124"/>
      <c r="D68" s="124"/>
      <c r="E68" s="124"/>
      <c r="F68" s="125"/>
      <c r="G68" s="31"/>
      <c r="H68" s="31"/>
      <c r="I68" s="31"/>
      <c r="J68" s="31"/>
      <c r="K68" s="31"/>
      <c r="L68" s="31"/>
      <c r="M68" s="32">
        <f>SUM(M69:M87)</f>
        <v>57170.839204519041</v>
      </c>
      <c r="N68" s="31"/>
      <c r="O68" s="87"/>
    </row>
    <row r="69" spans="1:15" s="29" customFormat="1" ht="26.25" customHeight="1" x14ac:dyDescent="0.2">
      <c r="A69" s="33" t="s">
        <v>76</v>
      </c>
      <c r="B69" s="33" t="s">
        <v>33</v>
      </c>
      <c r="C69" s="33" t="s">
        <v>58</v>
      </c>
      <c r="D69" s="33" t="s">
        <v>34</v>
      </c>
      <c r="E69" s="34" t="s">
        <v>59</v>
      </c>
      <c r="F69" s="35" t="s">
        <v>35</v>
      </c>
      <c r="G69" s="33">
        <v>180</v>
      </c>
      <c r="H69" s="65">
        <v>32.57</v>
      </c>
      <c r="I69" s="36">
        <f>H69*0.2232</f>
        <v>7.2696240000000003</v>
      </c>
      <c r="J69" s="36">
        <f>H69+I69</f>
        <v>39.839624000000001</v>
      </c>
      <c r="K69" s="36">
        <f>J69*(0.03%)</f>
        <v>1.1951887199999999E-2</v>
      </c>
      <c r="L69" s="36">
        <f>J69-K69</f>
        <v>39.827672112800002</v>
      </c>
      <c r="M69" s="36">
        <f>L69*G69</f>
        <v>7168.9809803040007</v>
      </c>
      <c r="N69" s="36">
        <f>M69/M$16</f>
        <v>7.888044820821663E-2</v>
      </c>
      <c r="O69" s="116"/>
    </row>
    <row r="70" spans="1:15" s="29" customFormat="1" ht="23.25" customHeight="1" x14ac:dyDescent="0.2">
      <c r="A70" s="33" t="s">
        <v>78</v>
      </c>
      <c r="B70" s="33" t="s">
        <v>33</v>
      </c>
      <c r="C70" s="33" t="s">
        <v>60</v>
      </c>
      <c r="D70" s="33" t="s">
        <v>34</v>
      </c>
      <c r="E70" s="34" t="s">
        <v>61</v>
      </c>
      <c r="F70" s="35" t="s">
        <v>35</v>
      </c>
      <c r="G70" s="33">
        <f>12*9</f>
        <v>108</v>
      </c>
      <c r="H70" s="65">
        <v>30.38</v>
      </c>
      <c r="I70" s="36">
        <f t="shared" ref="I70" si="17">H70*0.2232</f>
        <v>6.7808159999999997</v>
      </c>
      <c r="J70" s="36">
        <f t="shared" ref="J70" si="18">H70+I70</f>
        <v>37.160815999999997</v>
      </c>
      <c r="K70" s="36">
        <f t="shared" ref="K70" si="19">J70*(0.03%)</f>
        <v>1.1148244799999998E-2</v>
      </c>
      <c r="L70" s="36">
        <f t="shared" ref="L70" si="20">J70-K70</f>
        <v>37.149667755199999</v>
      </c>
      <c r="M70" s="36">
        <f t="shared" ref="M70" si="21">L70*G70</f>
        <v>4012.1641175616001</v>
      </c>
      <c r="N70" s="36">
        <f>M70/M$16</f>
        <v>4.4145926003665105E-2</v>
      </c>
      <c r="O70" s="116"/>
    </row>
    <row r="71" spans="1:15" s="29" customFormat="1" ht="23.25" customHeight="1" x14ac:dyDescent="0.2">
      <c r="A71" s="11" t="s">
        <v>77</v>
      </c>
      <c r="B71" s="11" t="s">
        <v>33</v>
      </c>
      <c r="C71" s="11">
        <v>88310</v>
      </c>
      <c r="D71" s="11" t="s">
        <v>34</v>
      </c>
      <c r="E71" s="20" t="s">
        <v>79</v>
      </c>
      <c r="F71" s="13" t="s">
        <v>35</v>
      </c>
      <c r="G71" s="11">
        <v>45</v>
      </c>
      <c r="H71" s="65">
        <v>35.880000000000003</v>
      </c>
      <c r="I71" s="14">
        <f>H71*0.2232</f>
        <v>8.0084160000000004</v>
      </c>
      <c r="J71" s="14">
        <f>H71+I71</f>
        <v>43.888416000000007</v>
      </c>
      <c r="K71" s="14">
        <f>J71*(0.03%)</f>
        <v>1.3166524800000001E-2</v>
      </c>
      <c r="L71" s="14">
        <f>J71-K71</f>
        <v>43.875249475200008</v>
      </c>
      <c r="M71" s="14">
        <f>L71*G71</f>
        <v>1974.3862263840003</v>
      </c>
      <c r="N71" s="14">
        <f>M71/M$16</f>
        <v>2.1724213092652846E-2</v>
      </c>
      <c r="O71" s="116"/>
    </row>
    <row r="72" spans="1:15" s="29" customFormat="1" ht="23.25" customHeight="1" x14ac:dyDescent="0.2">
      <c r="A72" s="134" t="s">
        <v>175</v>
      </c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6"/>
      <c r="O72" s="116"/>
    </row>
    <row r="73" spans="1:15" s="29" customFormat="1" ht="23.25" customHeight="1" x14ac:dyDescent="0.2">
      <c r="A73" s="11" t="s">
        <v>85</v>
      </c>
      <c r="B73" s="11" t="s">
        <v>33</v>
      </c>
      <c r="C73" s="43" t="s">
        <v>83</v>
      </c>
      <c r="D73" s="43" t="s">
        <v>34</v>
      </c>
      <c r="E73" s="44" t="s">
        <v>84</v>
      </c>
      <c r="F73" s="43" t="s">
        <v>80</v>
      </c>
      <c r="G73" s="43">
        <v>677.54</v>
      </c>
      <c r="H73" s="75">
        <v>14.4</v>
      </c>
      <c r="I73" s="45">
        <f t="shared" ref="I73" si="22">H73*0.2232</f>
        <v>3.21408</v>
      </c>
      <c r="J73" s="45">
        <f t="shared" ref="J73" si="23">H73+I73</f>
        <v>17.614080000000001</v>
      </c>
      <c r="K73" s="46">
        <f t="shared" ref="K73" si="24">J73*(0.03%)</f>
        <v>5.2842239999999997E-3</v>
      </c>
      <c r="L73" s="45">
        <f t="shared" ref="L73" si="25">J73-K73</f>
        <v>17.608795776000001</v>
      </c>
      <c r="M73" s="45">
        <f t="shared" ref="M73" si="26">L73*G73</f>
        <v>11930.66349007104</v>
      </c>
      <c r="N73" s="45">
        <f>M73/M68</f>
        <v>0.2086844212202501</v>
      </c>
      <c r="O73" s="116"/>
    </row>
    <row r="74" spans="1:15" s="29" customFormat="1" ht="23.25" customHeight="1" x14ac:dyDescent="0.2">
      <c r="A74" s="134" t="s">
        <v>176</v>
      </c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6"/>
      <c r="O74" s="116"/>
    </row>
    <row r="75" spans="1:15" s="29" customFormat="1" ht="23.25" customHeight="1" x14ac:dyDescent="0.2">
      <c r="A75" s="11" t="s">
        <v>86</v>
      </c>
      <c r="B75" s="11" t="s">
        <v>33</v>
      </c>
      <c r="C75" s="43">
        <v>96366</v>
      </c>
      <c r="D75" s="43" t="s">
        <v>34</v>
      </c>
      <c r="E75" s="44" t="s">
        <v>174</v>
      </c>
      <c r="F75" s="43" t="s">
        <v>80</v>
      </c>
      <c r="G75" s="43">
        <f>2.5*3</f>
        <v>7.5</v>
      </c>
      <c r="H75" s="75">
        <v>140.91999999999999</v>
      </c>
      <c r="I75" s="45">
        <f t="shared" ref="I75:I76" si="27">H75*0.2232</f>
        <v>31.453343999999998</v>
      </c>
      <c r="J75" s="45">
        <f t="shared" ref="J75:J76" si="28">H75+I75</f>
        <v>172.37334399999997</v>
      </c>
      <c r="K75" s="46">
        <f t="shared" ref="K75:K76" si="29">J75*(0.03%)</f>
        <v>5.1712003199999988E-2</v>
      </c>
      <c r="L75" s="45">
        <f t="shared" ref="L75:L76" si="30">J75-K75</f>
        <v>172.32163199679997</v>
      </c>
      <c r="M75" s="45">
        <f t="shared" ref="M75:M76" si="31">L75*G75</f>
        <v>1292.4122399759997</v>
      </c>
      <c r="N75" s="45">
        <f>M75/M68</f>
        <v>2.2606144285421678E-2</v>
      </c>
      <c r="O75" s="116"/>
    </row>
    <row r="76" spans="1:15" s="29" customFormat="1" ht="23.25" customHeight="1" x14ac:dyDescent="0.2">
      <c r="A76" s="11" t="s">
        <v>87</v>
      </c>
      <c r="B76" s="11" t="s">
        <v>33</v>
      </c>
      <c r="C76" s="43" t="s">
        <v>83</v>
      </c>
      <c r="D76" s="43" t="s">
        <v>34</v>
      </c>
      <c r="E76" s="44" t="s">
        <v>84</v>
      </c>
      <c r="F76" s="43" t="s">
        <v>80</v>
      </c>
      <c r="G76" s="43">
        <v>15</v>
      </c>
      <c r="H76" s="75">
        <v>14.4</v>
      </c>
      <c r="I76" s="45">
        <f t="shared" si="27"/>
        <v>3.21408</v>
      </c>
      <c r="J76" s="45">
        <f t="shared" si="28"/>
        <v>17.614080000000001</v>
      </c>
      <c r="K76" s="46">
        <f t="shared" si="29"/>
        <v>5.2842239999999997E-3</v>
      </c>
      <c r="L76" s="45">
        <f t="shared" si="30"/>
        <v>17.608795776000001</v>
      </c>
      <c r="M76" s="45">
        <f t="shared" si="31"/>
        <v>264.13193663999999</v>
      </c>
      <c r="N76" s="45">
        <f>M76/M68</f>
        <v>4.6200465187350584E-3</v>
      </c>
      <c r="O76" s="116"/>
    </row>
    <row r="77" spans="1:15" s="29" customFormat="1" ht="23.25" customHeight="1" x14ac:dyDescent="0.2">
      <c r="A77" s="134" t="s">
        <v>170</v>
      </c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6"/>
      <c r="O77" s="116"/>
    </row>
    <row r="78" spans="1:15" s="29" customFormat="1" ht="23.25" customHeight="1" x14ac:dyDescent="0.2">
      <c r="A78" s="11" t="s">
        <v>88</v>
      </c>
      <c r="B78" s="11" t="s">
        <v>33</v>
      </c>
      <c r="C78" s="62">
        <v>94228</v>
      </c>
      <c r="D78" s="62" t="s">
        <v>34</v>
      </c>
      <c r="E78" s="63" t="s">
        <v>171</v>
      </c>
      <c r="F78" s="62" t="s">
        <v>109</v>
      </c>
      <c r="G78" s="62">
        <v>4.9000000000000004</v>
      </c>
      <c r="H78" s="76">
        <v>93.42</v>
      </c>
      <c r="I78" s="49">
        <f t="shared" ref="I78" si="32">H78*0.2232</f>
        <v>20.851344000000001</v>
      </c>
      <c r="J78" s="49">
        <f t="shared" ref="J78" si="33">H78+I78</f>
        <v>114.271344</v>
      </c>
      <c r="K78" s="14">
        <f t="shared" ref="K78" si="34">J78*(0.03%)</f>
        <v>3.4281403199999998E-2</v>
      </c>
      <c r="L78" s="49">
        <f t="shared" ref="L78" si="35">J78-K78</f>
        <v>114.2370625968</v>
      </c>
      <c r="M78" s="49">
        <f t="shared" ref="M78" si="36">L78*G78</f>
        <v>559.76160672432002</v>
      </c>
      <c r="N78" s="61">
        <f>M78/M68</f>
        <v>9.7910335848292729E-3</v>
      </c>
      <c r="O78" s="116"/>
    </row>
    <row r="79" spans="1:15" s="29" customFormat="1" ht="23.25" customHeight="1" x14ac:dyDescent="0.2">
      <c r="A79" s="11" t="s">
        <v>89</v>
      </c>
      <c r="B79" s="11" t="s">
        <v>33</v>
      </c>
      <c r="C79" s="62">
        <v>104803</v>
      </c>
      <c r="D79" s="62" t="s">
        <v>34</v>
      </c>
      <c r="E79" s="63" t="s">
        <v>172</v>
      </c>
      <c r="F79" s="62" t="s">
        <v>109</v>
      </c>
      <c r="G79" s="62">
        <v>4.9000000000000004</v>
      </c>
      <c r="H79" s="76">
        <v>5.78</v>
      </c>
      <c r="I79" s="49">
        <f t="shared" ref="I79" si="37">H79*0.2232</f>
        <v>1.2900960000000001</v>
      </c>
      <c r="J79" s="49">
        <f t="shared" ref="J79" si="38">H79+I79</f>
        <v>7.0700960000000004</v>
      </c>
      <c r="K79" s="14">
        <f t="shared" ref="K79" si="39">J79*(0.03%)</f>
        <v>2.1210287999999999E-3</v>
      </c>
      <c r="L79" s="49">
        <f t="shared" ref="L79" si="40">J79-K79</f>
        <v>7.0679749712</v>
      </c>
      <c r="M79" s="49">
        <f t="shared" ref="M79" si="41">L79*G79</f>
        <v>34.633077358880001</v>
      </c>
      <c r="N79" s="61">
        <f>M79/M68</f>
        <v>6.0578221066488118E-4</v>
      </c>
      <c r="O79" s="116"/>
    </row>
    <row r="80" spans="1:15" s="29" customFormat="1" ht="23.25" customHeight="1" x14ac:dyDescent="0.2">
      <c r="A80" s="134" t="s">
        <v>169</v>
      </c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6"/>
      <c r="O80" s="116"/>
    </row>
    <row r="81" spans="1:15" s="29" customFormat="1" ht="23.25" customHeight="1" x14ac:dyDescent="0.2">
      <c r="A81" s="59" t="s">
        <v>90</v>
      </c>
      <c r="B81" s="11" t="s">
        <v>33</v>
      </c>
      <c r="C81" s="60">
        <v>102491</v>
      </c>
      <c r="D81" s="43" t="s">
        <v>34</v>
      </c>
      <c r="E81" s="64" t="s">
        <v>173</v>
      </c>
      <c r="F81" s="43" t="s">
        <v>80</v>
      </c>
      <c r="G81" s="43">
        <v>312</v>
      </c>
      <c r="H81" s="75">
        <v>23.83</v>
      </c>
      <c r="I81" s="45">
        <f t="shared" ref="I81" si="42">H81*0.2232</f>
        <v>5.3188560000000003</v>
      </c>
      <c r="J81" s="45">
        <f t="shared" ref="J81" si="43">H81+I81</f>
        <v>29.148855999999999</v>
      </c>
      <c r="K81" s="46">
        <f t="shared" ref="K81" si="44">J81*(0.03%)</f>
        <v>8.7446567999999985E-3</v>
      </c>
      <c r="L81" s="45">
        <f t="shared" ref="L81" si="45">J81-K81</f>
        <v>29.140111343199997</v>
      </c>
      <c r="M81" s="45">
        <f t="shared" ref="M81" si="46">L81*G81</f>
        <v>9091.7147390783994</v>
      </c>
      <c r="N81" s="45">
        <f>M81/M68</f>
        <v>0.15902713455988152</v>
      </c>
      <c r="O81" s="116"/>
    </row>
    <row r="82" spans="1:15" s="29" customFormat="1" ht="23.25" customHeight="1" x14ac:dyDescent="0.2">
      <c r="A82" s="11" t="s">
        <v>132</v>
      </c>
      <c r="B82" s="11" t="s">
        <v>33</v>
      </c>
      <c r="C82" s="43" t="s">
        <v>83</v>
      </c>
      <c r="D82" s="43" t="s">
        <v>34</v>
      </c>
      <c r="E82" s="44" t="s">
        <v>84</v>
      </c>
      <c r="F82" s="43" t="s">
        <v>80</v>
      </c>
      <c r="G82" s="43">
        <v>677.54</v>
      </c>
      <c r="H82" s="75">
        <v>14.4</v>
      </c>
      <c r="I82" s="45">
        <f t="shared" ref="I82:I83" si="47">H82*0.2232</f>
        <v>3.21408</v>
      </c>
      <c r="J82" s="45">
        <f t="shared" ref="J82:J83" si="48">H82+I82</f>
        <v>17.614080000000001</v>
      </c>
      <c r="K82" s="46">
        <f t="shared" ref="K82:K83" si="49">J82*(0.03%)</f>
        <v>5.2842239999999997E-3</v>
      </c>
      <c r="L82" s="45">
        <f t="shared" ref="L82:L83" si="50">J82-K82</f>
        <v>17.608795776000001</v>
      </c>
      <c r="M82" s="45">
        <f t="shared" ref="M82:M83" si="51">L82*G82</f>
        <v>11930.66349007104</v>
      </c>
      <c r="N82" s="45">
        <f>M82/M68</f>
        <v>0.2086844212202501</v>
      </c>
      <c r="O82" s="116"/>
    </row>
    <row r="83" spans="1:15" s="29" customFormat="1" ht="23.25" customHeight="1" x14ac:dyDescent="0.2">
      <c r="A83" s="11" t="s">
        <v>133</v>
      </c>
      <c r="B83" s="11" t="s">
        <v>33</v>
      </c>
      <c r="C83" s="43">
        <v>100746</v>
      </c>
      <c r="D83" s="43" t="s">
        <v>34</v>
      </c>
      <c r="E83" s="44" t="s">
        <v>82</v>
      </c>
      <c r="F83" s="43" t="s">
        <v>80</v>
      </c>
      <c r="G83" s="43">
        <f>6*2.1*2</f>
        <v>25.200000000000003</v>
      </c>
      <c r="H83" s="75">
        <v>29.83</v>
      </c>
      <c r="I83" s="45">
        <f t="shared" si="47"/>
        <v>6.6580560000000002</v>
      </c>
      <c r="J83" s="45">
        <f t="shared" si="48"/>
        <v>36.488056</v>
      </c>
      <c r="K83" s="46">
        <f t="shared" si="49"/>
        <v>1.0946416799999999E-2</v>
      </c>
      <c r="L83" s="45">
        <f t="shared" si="50"/>
        <v>36.477109583199997</v>
      </c>
      <c r="M83" s="45">
        <f t="shared" si="51"/>
        <v>919.22316149664005</v>
      </c>
      <c r="N83" s="45">
        <f>M83/M68</f>
        <v>1.6078531892951126E-2</v>
      </c>
      <c r="O83" s="116"/>
    </row>
    <row r="84" spans="1:15" s="29" customFormat="1" ht="23.25" customHeight="1" x14ac:dyDescent="0.2">
      <c r="A84" s="134" t="s">
        <v>91</v>
      </c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6"/>
      <c r="O84" s="116"/>
    </row>
    <row r="85" spans="1:15" s="29" customFormat="1" ht="23.25" customHeight="1" x14ac:dyDescent="0.2">
      <c r="A85" s="11" t="s">
        <v>177</v>
      </c>
      <c r="B85" s="11" t="s">
        <v>33</v>
      </c>
      <c r="C85" s="58" t="s">
        <v>163</v>
      </c>
      <c r="D85" s="57" t="s">
        <v>34</v>
      </c>
      <c r="E85" s="34" t="s">
        <v>79</v>
      </c>
      <c r="F85" s="57" t="s">
        <v>80</v>
      </c>
      <c r="G85" s="58">
        <v>900</v>
      </c>
      <c r="H85" s="66" t="s">
        <v>164</v>
      </c>
      <c r="I85" s="45">
        <v>1.30572</v>
      </c>
      <c r="J85" s="45">
        <v>7.1557199999999996</v>
      </c>
      <c r="K85" s="46">
        <v>2.1467159999999999E-3</v>
      </c>
      <c r="L85" s="45">
        <v>7.1535732839999993</v>
      </c>
      <c r="M85" s="45">
        <f t="shared" ref="M85" si="52">L85*G85</f>
        <v>6438.2159555999997</v>
      </c>
      <c r="N85" s="45">
        <f>M85/M68</f>
        <v>0.11261363389416705</v>
      </c>
      <c r="O85" s="116"/>
    </row>
    <row r="86" spans="1:15" s="29" customFormat="1" ht="23.25" customHeight="1" x14ac:dyDescent="0.2">
      <c r="A86" s="11" t="s">
        <v>178</v>
      </c>
      <c r="B86" s="11" t="s">
        <v>33</v>
      </c>
      <c r="C86" s="58" t="s">
        <v>165</v>
      </c>
      <c r="D86" s="57" t="s">
        <v>34</v>
      </c>
      <c r="E86" s="34" t="s">
        <v>166</v>
      </c>
      <c r="F86" s="57" t="s">
        <v>80</v>
      </c>
      <c r="G86" s="58">
        <v>900</v>
      </c>
      <c r="H86" s="66" t="s">
        <v>167</v>
      </c>
      <c r="I86" s="45">
        <v>0.34149600000000002</v>
      </c>
      <c r="J86" s="45">
        <v>1.871496</v>
      </c>
      <c r="K86" s="46">
        <v>5.6144879999999993E-4</v>
      </c>
      <c r="L86" s="45">
        <v>1.8709345512</v>
      </c>
      <c r="M86" s="45">
        <v>1683.8410960799999</v>
      </c>
      <c r="N86" s="45">
        <f>-M86/M68</f>
        <v>-2.9452796556935997E-2</v>
      </c>
      <c r="O86" s="116"/>
    </row>
    <row r="87" spans="1:15" s="29" customFormat="1" ht="23.25" customHeight="1" x14ac:dyDescent="0.2">
      <c r="A87" s="68"/>
      <c r="B87" s="69" t="s">
        <v>168</v>
      </c>
      <c r="C87" s="70"/>
      <c r="D87" s="70"/>
      <c r="E87" s="70"/>
      <c r="F87" s="71"/>
      <c r="G87" s="72">
        <v>7.38</v>
      </c>
      <c r="H87" s="67">
        <v>-14.4</v>
      </c>
      <c r="I87" s="73">
        <v>-3.21408</v>
      </c>
      <c r="J87" s="73">
        <v>-17.614080000000001</v>
      </c>
      <c r="K87" s="74">
        <v>-5.2842239999999997E-3</v>
      </c>
      <c r="L87" s="73">
        <v>-17.608795776000001</v>
      </c>
      <c r="M87" s="73">
        <v>-129.95291282688001</v>
      </c>
      <c r="N87" s="36"/>
      <c r="O87" s="116"/>
    </row>
    <row r="88" spans="1:15" s="40" customFormat="1" ht="17.100000000000001" customHeight="1" x14ac:dyDescent="0.2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116"/>
    </row>
    <row r="89" spans="1:15" s="40" customFormat="1" ht="17.100000000000001" customHeight="1" x14ac:dyDescent="0.2">
      <c r="A89" s="126"/>
      <c r="B89" s="127"/>
      <c r="C89" s="127"/>
      <c r="D89" s="127"/>
      <c r="E89" s="127"/>
      <c r="F89" s="127"/>
      <c r="G89" s="127"/>
      <c r="H89" s="38" t="s">
        <v>39</v>
      </c>
      <c r="I89" s="39"/>
      <c r="J89" s="128">
        <f>M16+M31+M68</f>
        <v>169211.88545992225</v>
      </c>
      <c r="K89" s="129"/>
      <c r="L89" s="129"/>
      <c r="M89" s="129"/>
      <c r="N89" s="130"/>
      <c r="O89" s="87"/>
    </row>
    <row r="90" spans="1:15" ht="17.100000000000001" customHeight="1" x14ac:dyDescent="0.25">
      <c r="A90" s="131" t="s">
        <v>129</v>
      </c>
      <c r="B90" s="92"/>
      <c r="C90" s="92"/>
      <c r="D90" s="92"/>
      <c r="E90" s="92"/>
      <c r="F90" s="92"/>
      <c r="G90" s="92"/>
      <c r="H90" s="89"/>
      <c r="I90" s="89"/>
      <c r="J90" s="89"/>
      <c r="K90" s="89"/>
      <c r="L90" s="89"/>
      <c r="M90" s="89"/>
      <c r="N90" s="90"/>
      <c r="O90" s="87"/>
    </row>
    <row r="91" spans="1:15" ht="17.100000000000001" customHeight="1" x14ac:dyDescent="0.25">
      <c r="A91" s="91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3"/>
      <c r="O91" s="87"/>
    </row>
    <row r="92" spans="1:15" ht="17.100000000000001" customHeight="1" x14ac:dyDescent="0.25">
      <c r="A92" s="91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3"/>
      <c r="O92" s="87"/>
    </row>
    <row r="93" spans="1:15" ht="17.100000000000001" customHeight="1" x14ac:dyDescent="0.25">
      <c r="A93" s="91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3"/>
      <c r="O93" s="87"/>
    </row>
    <row r="94" spans="1:15" ht="17.100000000000001" customHeight="1" x14ac:dyDescent="0.25">
      <c r="A94" s="91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3"/>
      <c r="O94" s="87"/>
    </row>
    <row r="95" spans="1:15" ht="17.100000000000001" customHeight="1" x14ac:dyDescent="0.25">
      <c r="A95" s="91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3"/>
      <c r="O95" s="87"/>
    </row>
    <row r="96" spans="1:15" ht="17.100000000000001" customHeight="1" x14ac:dyDescent="0.25">
      <c r="A96" s="94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6"/>
      <c r="O96" s="87"/>
    </row>
    <row r="97" spans="1:15" ht="17.100000000000001" customHeight="1" x14ac:dyDescent="0.25">
      <c r="A97" s="153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54"/>
    </row>
    <row r="98" spans="1:15" ht="17.100000000000001" customHeight="1" x14ac:dyDescent="0.25">
      <c r="A98" s="155" t="s">
        <v>40</v>
      </c>
      <c r="B98" s="156"/>
      <c r="C98" s="156"/>
      <c r="D98" s="156"/>
      <c r="E98" s="156"/>
      <c r="F98" s="156"/>
      <c r="G98" s="157" t="s">
        <v>41</v>
      </c>
      <c r="H98" s="157"/>
      <c r="I98" s="157"/>
      <c r="J98" s="157"/>
      <c r="K98" s="158"/>
      <c r="L98" s="159"/>
      <c r="M98" s="159"/>
      <c r="N98" s="160"/>
      <c r="O98" s="87" t="s">
        <v>42</v>
      </c>
    </row>
    <row r="99" spans="1:15" ht="17.100000000000001" customHeight="1" x14ac:dyDescent="0.25">
      <c r="A99" s="165" t="s">
        <v>43</v>
      </c>
      <c r="B99" s="166"/>
      <c r="C99" s="166"/>
      <c r="D99" s="166"/>
      <c r="E99" s="166"/>
      <c r="F99" s="167"/>
      <c r="G99" s="171" t="s">
        <v>44</v>
      </c>
      <c r="H99" s="166"/>
      <c r="I99" s="166"/>
      <c r="J99" s="167"/>
      <c r="K99" s="161"/>
      <c r="L99" s="162"/>
      <c r="M99" s="162"/>
      <c r="N99" s="163"/>
      <c r="O99" s="87"/>
    </row>
    <row r="100" spans="1:15" ht="17.100000000000001" customHeight="1" x14ac:dyDescent="0.25">
      <c r="A100" s="168"/>
      <c r="B100" s="169"/>
      <c r="C100" s="169"/>
      <c r="D100" s="169"/>
      <c r="E100" s="169"/>
      <c r="F100" s="170"/>
      <c r="G100" s="172"/>
      <c r="H100" s="169"/>
      <c r="I100" s="169"/>
      <c r="J100" s="170"/>
      <c r="K100" s="161"/>
      <c r="L100" s="162"/>
      <c r="M100" s="162"/>
      <c r="N100" s="163"/>
      <c r="O100" s="87"/>
    </row>
    <row r="101" spans="1:15" ht="17.100000000000001" customHeight="1" x14ac:dyDescent="0.25">
      <c r="A101" s="168"/>
      <c r="B101" s="169"/>
      <c r="C101" s="169"/>
      <c r="D101" s="169"/>
      <c r="E101" s="169"/>
      <c r="F101" s="170"/>
      <c r="G101" s="172"/>
      <c r="H101" s="169"/>
      <c r="I101" s="169"/>
      <c r="J101" s="170"/>
      <c r="K101" s="161"/>
      <c r="L101" s="162"/>
      <c r="M101" s="162"/>
      <c r="N101" s="163"/>
      <c r="O101" s="87"/>
    </row>
    <row r="102" spans="1:15" ht="17.100000000000001" customHeight="1" x14ac:dyDescent="0.25">
      <c r="A102" s="168"/>
      <c r="B102" s="169"/>
      <c r="C102" s="169"/>
      <c r="D102" s="169"/>
      <c r="E102" s="169"/>
      <c r="F102" s="170"/>
      <c r="G102" s="172"/>
      <c r="H102" s="169"/>
      <c r="I102" s="169"/>
      <c r="J102" s="170"/>
      <c r="K102" s="161"/>
      <c r="L102" s="162"/>
      <c r="M102" s="162"/>
      <c r="N102" s="163"/>
      <c r="O102" s="87"/>
    </row>
    <row r="103" spans="1:15" ht="17.100000000000001" customHeight="1" x14ac:dyDescent="0.25">
      <c r="A103" s="168"/>
      <c r="B103" s="169"/>
      <c r="C103" s="169"/>
      <c r="D103" s="169"/>
      <c r="E103" s="169"/>
      <c r="F103" s="170"/>
      <c r="G103" s="172"/>
      <c r="H103" s="169"/>
      <c r="I103" s="169"/>
      <c r="J103" s="170"/>
      <c r="K103" s="161"/>
      <c r="L103" s="162"/>
      <c r="M103" s="162"/>
      <c r="N103" s="163"/>
      <c r="O103" s="87"/>
    </row>
    <row r="104" spans="1:15" ht="17.100000000000001" customHeight="1" x14ac:dyDescent="0.25">
      <c r="A104" s="168"/>
      <c r="B104" s="169"/>
      <c r="C104" s="169"/>
      <c r="D104" s="169"/>
      <c r="E104" s="169"/>
      <c r="F104" s="170"/>
      <c r="G104" s="172"/>
      <c r="H104" s="169"/>
      <c r="I104" s="169"/>
      <c r="J104" s="170"/>
      <c r="K104" s="161"/>
      <c r="L104" s="162"/>
      <c r="M104" s="162"/>
      <c r="N104" s="163"/>
      <c r="O104" s="87"/>
    </row>
    <row r="105" spans="1:15" ht="17.100000000000001" customHeight="1" x14ac:dyDescent="0.25">
      <c r="A105" s="168"/>
      <c r="B105" s="169"/>
      <c r="C105" s="169"/>
      <c r="D105" s="169"/>
      <c r="E105" s="169"/>
      <c r="F105" s="170"/>
      <c r="G105" s="172"/>
      <c r="H105" s="169"/>
      <c r="I105" s="169"/>
      <c r="J105" s="170"/>
      <c r="K105" s="161"/>
      <c r="L105" s="162"/>
      <c r="M105" s="162"/>
      <c r="N105" s="163"/>
      <c r="O105" s="87"/>
    </row>
    <row r="106" spans="1:15" ht="17.100000000000001" customHeight="1" thickBot="1" x14ac:dyDescent="0.3">
      <c r="A106" s="168"/>
      <c r="B106" s="169"/>
      <c r="C106" s="169"/>
      <c r="D106" s="169"/>
      <c r="E106" s="169"/>
      <c r="F106" s="170"/>
      <c r="G106" s="172"/>
      <c r="H106" s="169"/>
      <c r="I106" s="169"/>
      <c r="J106" s="170"/>
      <c r="K106" s="161"/>
      <c r="L106" s="162"/>
      <c r="M106" s="162"/>
      <c r="N106" s="163"/>
      <c r="O106" s="164"/>
    </row>
    <row r="107" spans="1:15" ht="17.100000000000001" customHeight="1" thickBot="1" x14ac:dyDescent="0.3">
      <c r="A107" s="138"/>
      <c r="B107" s="139"/>
      <c r="C107" s="139"/>
      <c r="D107" s="139"/>
      <c r="E107" s="139"/>
      <c r="F107" s="139"/>
      <c r="G107" s="139"/>
      <c r="H107" s="139"/>
      <c r="I107" s="139"/>
      <c r="J107" s="139"/>
      <c r="K107" s="139"/>
      <c r="L107" s="139"/>
      <c r="M107" s="139"/>
      <c r="N107" s="139"/>
      <c r="O107" s="140"/>
    </row>
    <row r="108" spans="1:15" ht="17.100000000000001" customHeight="1" x14ac:dyDescent="0.25">
      <c r="A108" s="131" t="s">
        <v>45</v>
      </c>
      <c r="B108" s="92"/>
      <c r="C108" s="92"/>
      <c r="D108" s="93"/>
      <c r="E108" s="141" t="s">
        <v>46</v>
      </c>
      <c r="F108" s="92"/>
      <c r="G108" s="92"/>
      <c r="H108" s="92"/>
      <c r="I108" s="92"/>
      <c r="J108" s="92"/>
      <c r="K108" s="143" t="s">
        <v>47</v>
      </c>
      <c r="L108" s="144"/>
      <c r="M108" s="144"/>
      <c r="N108" s="144"/>
      <c r="O108" s="148" t="s">
        <v>48</v>
      </c>
    </row>
    <row r="109" spans="1:15" ht="17.100000000000001" customHeight="1" x14ac:dyDescent="0.25">
      <c r="A109" s="94"/>
      <c r="B109" s="95"/>
      <c r="C109" s="95"/>
      <c r="D109" s="96"/>
      <c r="E109" s="142"/>
      <c r="F109" s="95"/>
      <c r="G109" s="95"/>
      <c r="H109" s="95"/>
      <c r="I109" s="95"/>
      <c r="J109" s="95"/>
      <c r="K109" s="145"/>
      <c r="L109" s="144"/>
      <c r="M109" s="144"/>
      <c r="N109" s="144"/>
      <c r="O109" s="149"/>
    </row>
    <row r="110" spans="1:15" ht="17.100000000000001" customHeight="1" x14ac:dyDescent="0.25">
      <c r="A110" s="88" t="s">
        <v>49</v>
      </c>
      <c r="B110" s="89"/>
      <c r="C110" s="89"/>
      <c r="D110" s="89"/>
      <c r="E110" s="89"/>
      <c r="F110" s="89"/>
      <c r="G110" s="89"/>
      <c r="H110" s="89"/>
      <c r="I110" s="89"/>
      <c r="J110" s="89"/>
      <c r="K110" s="145"/>
      <c r="L110" s="144"/>
      <c r="M110" s="144"/>
      <c r="N110" s="144"/>
      <c r="O110" s="149"/>
    </row>
    <row r="111" spans="1:15" ht="17.100000000000001" customHeight="1" x14ac:dyDescent="0.25">
      <c r="A111" s="91"/>
      <c r="B111" s="92"/>
      <c r="C111" s="92"/>
      <c r="D111" s="92"/>
      <c r="E111" s="92"/>
      <c r="F111" s="92"/>
      <c r="G111" s="92"/>
      <c r="H111" s="92"/>
      <c r="I111" s="92"/>
      <c r="J111" s="92"/>
      <c r="K111" s="145"/>
      <c r="L111" s="144"/>
      <c r="M111" s="144"/>
      <c r="N111" s="144"/>
      <c r="O111" s="149"/>
    </row>
    <row r="112" spans="1:15" ht="17.100000000000001" customHeight="1" x14ac:dyDescent="0.25">
      <c r="A112" s="91"/>
      <c r="B112" s="92"/>
      <c r="C112" s="92"/>
      <c r="D112" s="92"/>
      <c r="E112" s="92"/>
      <c r="F112" s="92"/>
      <c r="G112" s="92"/>
      <c r="H112" s="92"/>
      <c r="I112" s="92"/>
      <c r="J112" s="92"/>
      <c r="K112" s="145"/>
      <c r="L112" s="144"/>
      <c r="M112" s="144"/>
      <c r="N112" s="144"/>
      <c r="O112" s="149"/>
    </row>
    <row r="113" spans="1:19" ht="17.100000000000001" customHeight="1" x14ac:dyDescent="0.25">
      <c r="A113" s="91"/>
      <c r="B113" s="92"/>
      <c r="C113" s="92"/>
      <c r="D113" s="92"/>
      <c r="E113" s="92"/>
      <c r="F113" s="92"/>
      <c r="G113" s="92"/>
      <c r="H113" s="92"/>
      <c r="I113" s="92"/>
      <c r="J113" s="92"/>
      <c r="K113" s="145"/>
      <c r="L113" s="144"/>
      <c r="M113" s="144"/>
      <c r="N113" s="144"/>
      <c r="O113" s="149"/>
    </row>
    <row r="114" spans="1:19" ht="17.100000000000001" customHeight="1" thickBot="1" x14ac:dyDescent="0.3">
      <c r="A114" s="151"/>
      <c r="B114" s="152"/>
      <c r="C114" s="152"/>
      <c r="D114" s="152"/>
      <c r="E114" s="152"/>
      <c r="F114" s="152"/>
      <c r="G114" s="152"/>
      <c r="H114" s="152"/>
      <c r="I114" s="152"/>
      <c r="J114" s="152"/>
      <c r="K114" s="146"/>
      <c r="L114" s="147"/>
      <c r="M114" s="147"/>
      <c r="N114" s="147"/>
      <c r="O114" s="150"/>
    </row>
    <row r="115" spans="1:19" ht="14.1" customHeight="1" x14ac:dyDescent="0.25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</row>
    <row r="116" spans="1:19" ht="14.1" customHeight="1" x14ac:dyDescent="0.25"/>
    <row r="117" spans="1:19" ht="14.1" customHeight="1" x14ac:dyDescent="0.25"/>
    <row r="118" spans="1:19" ht="14.1" customHeight="1" x14ac:dyDescent="0.25"/>
  </sheetData>
  <sortState xmlns:xlrd2="http://schemas.microsoft.com/office/spreadsheetml/2017/richdata2" ref="A32:N76">
    <sortCondition ref="E32:E76"/>
  </sortState>
  <mergeCells count="77">
    <mergeCell ref="A97:O97"/>
    <mergeCell ref="A98:F98"/>
    <mergeCell ref="G98:J98"/>
    <mergeCell ref="K98:N106"/>
    <mergeCell ref="O98:O106"/>
    <mergeCell ref="A99:F106"/>
    <mergeCell ref="G99:J106"/>
    <mergeCell ref="A115:J115"/>
    <mergeCell ref="K115:S115"/>
    <mergeCell ref="A107:O107"/>
    <mergeCell ref="A108:D109"/>
    <mergeCell ref="E108:J109"/>
    <mergeCell ref="K108:N114"/>
    <mergeCell ref="O108:O114"/>
    <mergeCell ref="A110:J114"/>
    <mergeCell ref="N66:N67"/>
    <mergeCell ref="B68:F68"/>
    <mergeCell ref="A89:G89"/>
    <mergeCell ref="J89:N89"/>
    <mergeCell ref="A90:N96"/>
    <mergeCell ref="E66:E67"/>
    <mergeCell ref="F66:F67"/>
    <mergeCell ref="G66:G67"/>
    <mergeCell ref="H66:L66"/>
    <mergeCell ref="M66:M67"/>
    <mergeCell ref="A72:N72"/>
    <mergeCell ref="A80:N80"/>
    <mergeCell ref="A84:N84"/>
    <mergeCell ref="A77:N77"/>
    <mergeCell ref="A74:N74"/>
    <mergeCell ref="O14:O96"/>
    <mergeCell ref="A29:A30"/>
    <mergeCell ref="B29:B30"/>
    <mergeCell ref="C29:C30"/>
    <mergeCell ref="D29:D30"/>
    <mergeCell ref="E29:E30"/>
    <mergeCell ref="F29:F30"/>
    <mergeCell ref="G29:G30"/>
    <mergeCell ref="H29:L29"/>
    <mergeCell ref="M29:M30"/>
    <mergeCell ref="N29:N30"/>
    <mergeCell ref="B31:F31"/>
    <mergeCell ref="A66:A67"/>
    <mergeCell ref="B66:B67"/>
    <mergeCell ref="C66:C67"/>
    <mergeCell ref="D66:D67"/>
    <mergeCell ref="F14:F15"/>
    <mergeCell ref="G14:G15"/>
    <mergeCell ref="H14:L14"/>
    <mergeCell ref="M14:M15"/>
    <mergeCell ref="N14:N15"/>
    <mergeCell ref="A14:A15"/>
    <mergeCell ref="B14:B15"/>
    <mergeCell ref="C14:C15"/>
    <mergeCell ref="D14:D15"/>
    <mergeCell ref="E14:E15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</mergeCells>
  <phoneticPr fontId="13" type="noConversion"/>
  <hyperlinks>
    <hyperlink ref="E45" r:id="rId1" display="VALVULA DE DESCARGA EM METAL CROMADO PARA MICTORIO COM ACIONAMENTO POR PRESSAO E FECHAMENTO AUTOMATICO" xr:uid="{00000000-0004-0000-0000-000000000000}"/>
  </hyperlinks>
  <pageMargins left="0.25" right="0.25" top="0.75" bottom="0.75" header="0.3" footer="0.3"/>
  <pageSetup paperSize="9" scale="53" orientation="landscape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473B64A-6EAD-4148-8190-F77EEEC0845A}"/>
</file>

<file path=customXml/itemProps2.xml><?xml version="1.0" encoding="utf-8"?>
<ds:datastoreItem xmlns:ds="http://schemas.openxmlformats.org/officeDocument/2006/customXml" ds:itemID="{36686F9B-5C3F-434C-91A0-6EB5AF6224D9}"/>
</file>

<file path=customXml/itemProps3.xml><?xml version="1.0" encoding="utf-8"?>
<ds:datastoreItem xmlns:ds="http://schemas.openxmlformats.org/officeDocument/2006/customXml" ds:itemID="{887BABEE-C0AF-420D-A1E7-865FCC22C1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São Carlos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2024-08-20T10:41:35Z</cp:lastPrinted>
  <dcterms:created xsi:type="dcterms:W3CDTF">2022-01-02T19:12:46Z</dcterms:created>
  <dcterms:modified xsi:type="dcterms:W3CDTF">2024-08-20T12:03:58Z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