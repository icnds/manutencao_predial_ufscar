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G:\Meu Drive\0-Gi contrato 2022\Medições\25-Junho-24\"/>
    </mc:Choice>
  </mc:AlternateContent>
  <xr:revisionPtr revIDLastSave="0" documentId="13_ncr:1_{510496A2-2F30-4395-8B11-CE812F25FE3B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1 a 12" sheetId="1" r:id="rId1"/>
    <sheet name="13 a 30" sheetId="3" r:id="rId2"/>
    <sheet name="Planilha3" sheetId="4" r:id="rId3"/>
    <sheet name="Planilha1" sheetId="2" r:id="rId4"/>
  </sheets>
  <definedNames>
    <definedName name="_xlnm.Print_Area" localSheetId="0">'1 a 12'!$A$1:$O$70</definedName>
    <definedName name="_xlnm.Print_Area" localSheetId="1">'13 a 30'!$A$1:$O$111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3" i="3" l="1"/>
  <c r="G72" i="3"/>
  <c r="G26" i="3" l="1"/>
  <c r="G25" i="3"/>
  <c r="G24" i="3"/>
  <c r="G23" i="3"/>
  <c r="G22" i="3"/>
  <c r="G21" i="3"/>
  <c r="G20" i="3"/>
  <c r="G19" i="3"/>
  <c r="G18" i="3"/>
  <c r="G17" i="3"/>
  <c r="I70" i="3" l="1"/>
  <c r="J70" i="3" s="1"/>
  <c r="K70" i="3" l="1"/>
  <c r="L70" i="3" s="1"/>
  <c r="M70" i="3" s="1"/>
  <c r="K17" i="4" l="1"/>
  <c r="K18" i="4"/>
  <c r="K16" i="4"/>
  <c r="M16" i="4" s="1"/>
  <c r="O16" i="4" s="1"/>
  <c r="K3" i="4"/>
  <c r="K4" i="4"/>
  <c r="K5" i="4"/>
  <c r="K6" i="4"/>
  <c r="M6" i="4" s="1"/>
  <c r="O6" i="4" s="1"/>
  <c r="K7" i="4"/>
  <c r="K8" i="4"/>
  <c r="K9" i="4"/>
  <c r="K10" i="4"/>
  <c r="M10" i="4" s="1"/>
  <c r="O10" i="4" s="1"/>
  <c r="K11" i="4"/>
  <c r="K12" i="4"/>
  <c r="K13" i="4"/>
  <c r="K2" i="4"/>
  <c r="I17" i="4"/>
  <c r="I18" i="4"/>
  <c r="I16" i="4"/>
  <c r="B17" i="4"/>
  <c r="B18" i="4"/>
  <c r="B16" i="4"/>
  <c r="B3" i="4"/>
  <c r="I3" i="4"/>
  <c r="B4" i="4"/>
  <c r="I4" i="4"/>
  <c r="B5" i="4"/>
  <c r="I5" i="4"/>
  <c r="B6" i="4"/>
  <c r="I6" i="4"/>
  <c r="B7" i="4"/>
  <c r="I7" i="4"/>
  <c r="B8" i="4"/>
  <c r="I8" i="4"/>
  <c r="B9" i="4"/>
  <c r="I9" i="4"/>
  <c r="B10" i="4"/>
  <c r="I10" i="4"/>
  <c r="B11" i="4"/>
  <c r="I11" i="4"/>
  <c r="B12" i="4"/>
  <c r="I12" i="4"/>
  <c r="B13" i="4"/>
  <c r="I13" i="4"/>
  <c r="I2" i="4"/>
  <c r="B2" i="4"/>
  <c r="I17" i="3"/>
  <c r="J17" i="3" s="1"/>
  <c r="K17" i="3" s="1"/>
  <c r="I18" i="3"/>
  <c r="J18" i="3" s="1"/>
  <c r="I19" i="3"/>
  <c r="J19" i="3" s="1"/>
  <c r="K19" i="3" s="1"/>
  <c r="I20" i="3"/>
  <c r="J20" i="3" s="1"/>
  <c r="I21" i="3"/>
  <c r="J21" i="3" s="1"/>
  <c r="K21" i="3" s="1"/>
  <c r="I22" i="3"/>
  <c r="J22" i="3" s="1"/>
  <c r="I23" i="3"/>
  <c r="J23" i="3" s="1"/>
  <c r="K23" i="3" s="1"/>
  <c r="I24" i="3"/>
  <c r="J24" i="3" s="1"/>
  <c r="I25" i="3"/>
  <c r="J25" i="3" s="1"/>
  <c r="K25" i="3" s="1"/>
  <c r="I26" i="3"/>
  <c r="J26" i="3" s="1"/>
  <c r="I27" i="3"/>
  <c r="J27" i="3" s="1"/>
  <c r="K27" i="3" s="1"/>
  <c r="I28" i="3"/>
  <c r="J28" i="3" s="1"/>
  <c r="K28" i="3" s="1"/>
  <c r="L28" i="3" s="1"/>
  <c r="M28" i="3" s="1"/>
  <c r="I32" i="3"/>
  <c r="J32" i="3" s="1"/>
  <c r="I33" i="3"/>
  <c r="J33" i="3" s="1"/>
  <c r="I34" i="3"/>
  <c r="J34" i="3" s="1"/>
  <c r="I35" i="3"/>
  <c r="J35" i="3" s="1"/>
  <c r="I36" i="3"/>
  <c r="J36" i="3" s="1"/>
  <c r="I37" i="3"/>
  <c r="J37" i="3" s="1"/>
  <c r="I38" i="3"/>
  <c r="J38" i="3" s="1"/>
  <c r="I39" i="3"/>
  <c r="J39" i="3" s="1"/>
  <c r="I40" i="3"/>
  <c r="J40" i="3" s="1"/>
  <c r="I41" i="3"/>
  <c r="J41" i="3" s="1"/>
  <c r="I42" i="3"/>
  <c r="J42" i="3" s="1"/>
  <c r="I43" i="3"/>
  <c r="J43" i="3" s="1"/>
  <c r="I44" i="3"/>
  <c r="J44" i="3" s="1"/>
  <c r="I45" i="3"/>
  <c r="J45" i="3" s="1"/>
  <c r="I46" i="3"/>
  <c r="J46" i="3" s="1"/>
  <c r="I47" i="3"/>
  <c r="J47" i="3" s="1"/>
  <c r="I48" i="3"/>
  <c r="J48" i="3" s="1"/>
  <c r="I49" i="3"/>
  <c r="J49" i="3" s="1"/>
  <c r="I50" i="3"/>
  <c r="J50" i="3" s="1"/>
  <c r="I51" i="3"/>
  <c r="J51" i="3" s="1"/>
  <c r="I52" i="3"/>
  <c r="J52" i="3" s="1"/>
  <c r="I53" i="3"/>
  <c r="J53" i="3" s="1"/>
  <c r="I54" i="3"/>
  <c r="J54" i="3" s="1"/>
  <c r="I55" i="3"/>
  <c r="J55" i="3" s="1"/>
  <c r="I56" i="3"/>
  <c r="J56" i="3" s="1"/>
  <c r="I57" i="3"/>
  <c r="J57" i="3" s="1"/>
  <c r="I58" i="3"/>
  <c r="J58" i="3" s="1"/>
  <c r="I59" i="3"/>
  <c r="J59" i="3" s="1"/>
  <c r="I60" i="3"/>
  <c r="J60" i="3" s="1"/>
  <c r="I61" i="3"/>
  <c r="J61" i="3" s="1"/>
  <c r="I62" i="3"/>
  <c r="J62" i="3" s="1"/>
  <c r="I63" i="3"/>
  <c r="J63" i="3" s="1"/>
  <c r="I69" i="3"/>
  <c r="J69" i="3" s="1"/>
  <c r="K69" i="3" s="1"/>
  <c r="L69" i="3" s="1"/>
  <c r="M69" i="3" s="1"/>
  <c r="I71" i="3"/>
  <c r="J71" i="3" s="1"/>
  <c r="I72" i="3"/>
  <c r="J72" i="3" s="1"/>
  <c r="K72" i="3" s="1"/>
  <c r="G73" i="3"/>
  <c r="I73" i="3"/>
  <c r="J73" i="3" s="1"/>
  <c r="G75" i="3"/>
  <c r="I75" i="3"/>
  <c r="J75" i="3" s="1"/>
  <c r="I76" i="3"/>
  <c r="J76" i="3" s="1"/>
  <c r="K76" i="3" s="1"/>
  <c r="L76" i="3" s="1"/>
  <c r="M76" i="3" s="1"/>
  <c r="G77" i="3"/>
  <c r="I77" i="3"/>
  <c r="J77" i="3" s="1"/>
  <c r="I79" i="3"/>
  <c r="J79" i="3" s="1"/>
  <c r="K79" i="3" s="1"/>
  <c r="I80" i="3"/>
  <c r="J80" i="3" s="1"/>
  <c r="I81" i="3"/>
  <c r="J81" i="3" s="1"/>
  <c r="K81" i="3" s="1"/>
  <c r="M18" i="4" l="1"/>
  <c r="O18" i="4" s="1"/>
  <c r="M2" i="4"/>
  <c r="O2" i="4" s="1"/>
  <c r="M13" i="4"/>
  <c r="M9" i="4"/>
  <c r="O9" i="4" s="1"/>
  <c r="M5" i="4"/>
  <c r="O5" i="4" s="1"/>
  <c r="M12" i="4"/>
  <c r="O12" i="4" s="1"/>
  <c r="M8" i="4"/>
  <c r="O8" i="4" s="1"/>
  <c r="M4" i="4"/>
  <c r="O4" i="4" s="1"/>
  <c r="M17" i="4"/>
  <c r="O17" i="4" s="1"/>
  <c r="M11" i="4"/>
  <c r="O11" i="4" s="1"/>
  <c r="M7" i="4"/>
  <c r="O7" i="4" s="1"/>
  <c r="M3" i="4"/>
  <c r="O3" i="4" s="1"/>
  <c r="N76" i="3"/>
  <c r="L72" i="3"/>
  <c r="M72" i="3" s="1"/>
  <c r="K44" i="3"/>
  <c r="L44" i="3" s="1"/>
  <c r="M44" i="3" s="1"/>
  <c r="K36" i="3"/>
  <c r="L36" i="3" s="1"/>
  <c r="M36" i="3" s="1"/>
  <c r="K80" i="3"/>
  <c r="L80" i="3" s="1"/>
  <c r="M80" i="3" s="1"/>
  <c r="K77" i="3"/>
  <c r="L77" i="3" s="1"/>
  <c r="M77" i="3" s="1"/>
  <c r="K71" i="3"/>
  <c r="L71" i="3" s="1"/>
  <c r="M71" i="3" s="1"/>
  <c r="K47" i="3"/>
  <c r="L47" i="3" s="1"/>
  <c r="M47" i="3" s="1"/>
  <c r="K43" i="3"/>
  <c r="L43" i="3" s="1"/>
  <c r="M43" i="3" s="1"/>
  <c r="K39" i="3"/>
  <c r="L39" i="3" s="1"/>
  <c r="M39" i="3" s="1"/>
  <c r="K35" i="3"/>
  <c r="L35" i="3" s="1"/>
  <c r="M35" i="3" s="1"/>
  <c r="K26" i="3"/>
  <c r="L26" i="3"/>
  <c r="M26" i="3" s="1"/>
  <c r="K18" i="3"/>
  <c r="L18" i="3" s="1"/>
  <c r="M18" i="3" s="1"/>
  <c r="K24" i="3"/>
  <c r="L24" i="3" s="1"/>
  <c r="M24" i="3" s="1"/>
  <c r="I83" i="3"/>
  <c r="J83" i="3" s="1"/>
  <c r="K62" i="3"/>
  <c r="L62" i="3" s="1"/>
  <c r="M62" i="3" s="1"/>
  <c r="K60" i="3"/>
  <c r="L60" i="3" s="1"/>
  <c r="M60" i="3" s="1"/>
  <c r="K58" i="3"/>
  <c r="L58" i="3" s="1"/>
  <c r="M58" i="3" s="1"/>
  <c r="K56" i="3"/>
  <c r="L56" i="3" s="1"/>
  <c r="M56" i="3" s="1"/>
  <c r="K54" i="3"/>
  <c r="L54" i="3" s="1"/>
  <c r="M54" i="3" s="1"/>
  <c r="K52" i="3"/>
  <c r="L52" i="3" s="1"/>
  <c r="M52" i="3" s="1"/>
  <c r="K50" i="3"/>
  <c r="L50" i="3" s="1"/>
  <c r="M50" i="3" s="1"/>
  <c r="K46" i="3"/>
  <c r="L46" i="3"/>
  <c r="M46" i="3" s="1"/>
  <c r="K42" i="3"/>
  <c r="L42" i="3" s="1"/>
  <c r="M42" i="3" s="1"/>
  <c r="K38" i="3"/>
  <c r="L38" i="3" s="1"/>
  <c r="M38" i="3" s="1"/>
  <c r="K34" i="3"/>
  <c r="L34" i="3" s="1"/>
  <c r="M34" i="3" s="1"/>
  <c r="K20" i="3"/>
  <c r="L20" i="3" s="1"/>
  <c r="M20" i="3" s="1"/>
  <c r="K48" i="3"/>
  <c r="L48" i="3" s="1"/>
  <c r="M48" i="3" s="1"/>
  <c r="K40" i="3"/>
  <c r="L40" i="3" s="1"/>
  <c r="M40" i="3" s="1"/>
  <c r="K32" i="3"/>
  <c r="L32" i="3" s="1"/>
  <c r="M32" i="3" s="1"/>
  <c r="L81" i="3"/>
  <c r="M81" i="3" s="1"/>
  <c r="L79" i="3"/>
  <c r="M79" i="3" s="1"/>
  <c r="K75" i="3"/>
  <c r="L75" i="3" s="1"/>
  <c r="M75" i="3" s="1"/>
  <c r="K73" i="3"/>
  <c r="L73" i="3" s="1"/>
  <c r="M73" i="3" s="1"/>
  <c r="N73" i="3" s="1"/>
  <c r="K63" i="3"/>
  <c r="L63" i="3" s="1"/>
  <c r="M63" i="3" s="1"/>
  <c r="N63" i="3" s="1"/>
  <c r="K61" i="3"/>
  <c r="L61" i="3" s="1"/>
  <c r="M61" i="3" s="1"/>
  <c r="K59" i="3"/>
  <c r="L59" i="3" s="1"/>
  <c r="M59" i="3" s="1"/>
  <c r="K57" i="3"/>
  <c r="L57" i="3" s="1"/>
  <c r="M57" i="3" s="1"/>
  <c r="K55" i="3"/>
  <c r="L55" i="3" s="1"/>
  <c r="M55" i="3" s="1"/>
  <c r="N55" i="3" s="1"/>
  <c r="K53" i="3"/>
  <c r="L53" i="3" s="1"/>
  <c r="M53" i="3" s="1"/>
  <c r="K51" i="3"/>
  <c r="L51" i="3" s="1"/>
  <c r="M51" i="3" s="1"/>
  <c r="K49" i="3"/>
  <c r="L49" i="3" s="1"/>
  <c r="M49" i="3" s="1"/>
  <c r="K45" i="3"/>
  <c r="L45" i="3" s="1"/>
  <c r="M45" i="3" s="1"/>
  <c r="K41" i="3"/>
  <c r="L41" i="3" s="1"/>
  <c r="M41" i="3" s="1"/>
  <c r="K37" i="3"/>
  <c r="L37" i="3" s="1"/>
  <c r="M37" i="3" s="1"/>
  <c r="K33" i="3"/>
  <c r="L33" i="3" s="1"/>
  <c r="M33" i="3" s="1"/>
  <c r="K22" i="3"/>
  <c r="L22" i="3" s="1"/>
  <c r="M22" i="3" s="1"/>
  <c r="L27" i="3"/>
  <c r="M27" i="3" s="1"/>
  <c r="L25" i="3"/>
  <c r="M25" i="3" s="1"/>
  <c r="L23" i="3"/>
  <c r="M23" i="3" s="1"/>
  <c r="L21" i="3"/>
  <c r="M21" i="3" s="1"/>
  <c r="L19" i="3"/>
  <c r="M19" i="3" s="1"/>
  <c r="L17" i="3"/>
  <c r="M17" i="3" s="1"/>
  <c r="I41" i="1"/>
  <c r="J41" i="1" s="1"/>
  <c r="I42" i="1"/>
  <c r="J42" i="1" s="1"/>
  <c r="K42" i="1" s="1"/>
  <c r="I43" i="1"/>
  <c r="J43" i="1" s="1"/>
  <c r="K43" i="1" s="1"/>
  <c r="N37" i="3" l="1"/>
  <c r="N40" i="3"/>
  <c r="N57" i="3"/>
  <c r="N39" i="3"/>
  <c r="N34" i="3"/>
  <c r="N43" i="3"/>
  <c r="N51" i="3"/>
  <c r="N36" i="3"/>
  <c r="N81" i="3"/>
  <c r="N50" i="3"/>
  <c r="N47" i="3"/>
  <c r="N58" i="3"/>
  <c r="N45" i="3"/>
  <c r="N53" i="3"/>
  <c r="N61" i="3"/>
  <c r="N42" i="3"/>
  <c r="N54" i="3"/>
  <c r="N59" i="3"/>
  <c r="N62" i="3"/>
  <c r="N35" i="3"/>
  <c r="N48" i="3"/>
  <c r="N46" i="3"/>
  <c r="N52" i="3"/>
  <c r="N56" i="3"/>
  <c r="N60" i="3"/>
  <c r="K83" i="3"/>
  <c r="L83" i="3" s="1"/>
  <c r="M83" i="3" s="1"/>
  <c r="N44" i="3"/>
  <c r="M31" i="3"/>
  <c r="N32" i="3" s="1"/>
  <c r="N38" i="3"/>
  <c r="M16" i="3"/>
  <c r="N27" i="3" s="1"/>
  <c r="N33" i="3"/>
  <c r="N41" i="3"/>
  <c r="N49" i="3"/>
  <c r="K41" i="1"/>
  <c r="L41" i="1" s="1"/>
  <c r="M41" i="1" s="1"/>
  <c r="L42" i="1"/>
  <c r="M42" i="1" s="1"/>
  <c r="L43" i="1"/>
  <c r="M43" i="1" s="1"/>
  <c r="N24" i="3" l="1"/>
  <c r="N70" i="3"/>
  <c r="N22" i="3"/>
  <c r="N17" i="3"/>
  <c r="M68" i="3"/>
  <c r="N83" i="3" s="1"/>
  <c r="N69" i="3"/>
  <c r="N28" i="3"/>
  <c r="N72" i="3"/>
  <c r="N23" i="3"/>
  <c r="N26" i="3"/>
  <c r="N19" i="3"/>
  <c r="N21" i="3"/>
  <c r="N71" i="3"/>
  <c r="N25" i="3"/>
  <c r="N18" i="3"/>
  <c r="N20" i="3"/>
  <c r="M40" i="1"/>
  <c r="M31" i="1"/>
  <c r="J86" i="3" l="1"/>
  <c r="N16" i="3"/>
  <c r="N80" i="3"/>
  <c r="N79" i="3"/>
  <c r="N77" i="3"/>
  <c r="N75" i="3"/>
  <c r="I18" i="1"/>
  <c r="J18" i="1" s="1"/>
  <c r="K18" i="1" s="1"/>
  <c r="I19" i="1"/>
  <c r="J19" i="1" s="1"/>
  <c r="I20" i="1"/>
  <c r="J20" i="1" s="1"/>
  <c r="K20" i="1" s="1"/>
  <c r="I21" i="1"/>
  <c r="J21" i="1" s="1"/>
  <c r="I22" i="1"/>
  <c r="J22" i="1" s="1"/>
  <c r="K22" i="1" s="1"/>
  <c r="I23" i="1"/>
  <c r="J23" i="1" s="1"/>
  <c r="I24" i="1"/>
  <c r="J24" i="1" s="1"/>
  <c r="K24" i="1" s="1"/>
  <c r="I25" i="1"/>
  <c r="J25" i="1" s="1"/>
  <c r="I26" i="1"/>
  <c r="J26" i="1" s="1"/>
  <c r="K26" i="1" s="1"/>
  <c r="I27" i="1"/>
  <c r="J27" i="1" s="1"/>
  <c r="I28" i="1"/>
  <c r="J28" i="1" s="1"/>
  <c r="K28" i="1" s="1"/>
  <c r="K23" i="1" l="1"/>
  <c r="L23" i="1" s="1"/>
  <c r="M23" i="1" s="1"/>
  <c r="K25" i="1"/>
  <c r="L25" i="1" s="1"/>
  <c r="M25" i="1" s="1"/>
  <c r="K27" i="1"/>
  <c r="L27" i="1" s="1"/>
  <c r="M27" i="1" s="1"/>
  <c r="K19" i="1"/>
  <c r="L19" i="1" s="1"/>
  <c r="M19" i="1" s="1"/>
  <c r="K21" i="1"/>
  <c r="L21" i="1" s="1"/>
  <c r="M21" i="1" s="1"/>
  <c r="L28" i="1"/>
  <c r="M28" i="1" s="1"/>
  <c r="L26" i="1"/>
  <c r="M26" i="1" s="1"/>
  <c r="L24" i="1"/>
  <c r="M24" i="1" s="1"/>
  <c r="L22" i="1"/>
  <c r="M22" i="1" s="1"/>
  <c r="L20" i="1"/>
  <c r="M20" i="1" s="1"/>
  <c r="L18" i="1"/>
  <c r="M18" i="1" s="1"/>
  <c r="I17" i="1"/>
  <c r="J17" i="1" s="1"/>
  <c r="K17" i="1" s="1"/>
  <c r="L17" i="1" l="1"/>
  <c r="M17" i="1" s="1"/>
  <c r="M16" i="1" s="1"/>
  <c r="N41" i="1" s="1"/>
  <c r="N42" i="1" l="1"/>
  <c r="N43" i="1"/>
  <c r="N19" i="1"/>
  <c r="N18" i="1"/>
  <c r="N23" i="1"/>
  <c r="N21" i="1"/>
  <c r="N26" i="1"/>
  <c r="N20" i="1"/>
  <c r="N27" i="1"/>
  <c r="N25" i="1"/>
  <c r="N24" i="1"/>
  <c r="N28" i="1"/>
  <c r="N22" i="1"/>
  <c r="N17" i="1"/>
  <c r="J45" i="1"/>
  <c r="N16" i="1" l="1"/>
</calcChain>
</file>

<file path=xl/sharedStrings.xml><?xml version="1.0" encoding="utf-8"?>
<sst xmlns="http://schemas.openxmlformats.org/spreadsheetml/2006/main" count="562" uniqueCount="197">
  <si>
    <t>LOGO</t>
  </si>
  <si>
    <t>Ordem de Serviço</t>
  </si>
  <si>
    <t>Prioridade:</t>
  </si>
  <si>
    <t>URGENTE</t>
  </si>
  <si>
    <t xml:space="preserve">24 horas </t>
  </si>
  <si>
    <t>ALTA</t>
  </si>
  <si>
    <t>3 dias</t>
  </si>
  <si>
    <t>MÉDIA</t>
  </si>
  <si>
    <t>7 dias</t>
  </si>
  <si>
    <t>BAIXA</t>
  </si>
  <si>
    <t xml:space="preserve">15 dias </t>
  </si>
  <si>
    <r>
      <t xml:space="preserve">UNIDADE: </t>
    </r>
    <r>
      <rPr>
        <sz val="8"/>
        <color rgb="FFFF0000"/>
        <rFont val="Arial"/>
        <family val="2"/>
      </rPr>
      <t>UFSCar Campus São Carlos</t>
    </r>
  </si>
  <si>
    <t>SOLICITAÇÃO</t>
  </si>
  <si>
    <r>
      <t xml:space="preserve">Solicitante: </t>
    </r>
    <r>
      <rPr>
        <sz val="8"/>
        <color rgb="FFFF0000"/>
        <rFont val="Arial"/>
        <family val="2"/>
      </rPr>
      <t>Prefeitura Universitária do Campus São Carlos</t>
    </r>
  </si>
  <si>
    <r>
      <t xml:space="preserve">Ambiente: </t>
    </r>
    <r>
      <rPr>
        <sz val="8"/>
        <color rgb="FFFF0000"/>
        <rFont val="Arial"/>
        <family val="2"/>
      </rPr>
      <t>Campus São Carlos</t>
    </r>
  </si>
  <si>
    <r>
      <t xml:space="preserve">Prazo de execução: </t>
    </r>
    <r>
      <rPr>
        <sz val="8"/>
        <color rgb="FFFF0000"/>
        <rFont val="Arial"/>
        <family val="2"/>
      </rPr>
      <t>Continuado</t>
    </r>
  </si>
  <si>
    <t>ITEM</t>
  </si>
  <si>
    <t>TIPO</t>
  </si>
  <si>
    <t>CÓDIGO</t>
  </si>
  <si>
    <t>BANCO</t>
  </si>
  <si>
    <t>DESCRIÇÃO DAS ETAPAS</t>
  </si>
  <si>
    <t>UNID.</t>
  </si>
  <si>
    <t>QUANT.</t>
  </si>
  <si>
    <t>PREÇO</t>
  </si>
  <si>
    <t>TOTAL DA ETAPA</t>
  </si>
  <si>
    <t>%</t>
  </si>
  <si>
    <t>ORÇAMENTO</t>
  </si>
  <si>
    <t>UNITÁRIO SEM BDI</t>
  </si>
  <si>
    <t>BDI (22,32%)</t>
  </si>
  <si>
    <t>UNITÁRIO COM BDI</t>
  </si>
  <si>
    <t>UNITÁRIO C/ BDI e DESCONTO</t>
  </si>
  <si>
    <t>EQUIPE DE PRESTAÇÃO DE SERVIÇOS ROTINEIROS DE MANUTENÇÃO PREDIAL</t>
  </si>
  <si>
    <t>1.1</t>
  </si>
  <si>
    <t xml:space="preserve">Composição </t>
  </si>
  <si>
    <t>SINAPI</t>
  </si>
  <si>
    <t>h</t>
  </si>
  <si>
    <t>BDI (15,32%)</t>
  </si>
  <si>
    <t>MATERIAIS NECESSÁRIOS PARA O DESEMPENHO DAS ROTINAS</t>
  </si>
  <si>
    <t>SERVIÇOS / EQUIPAMENTOS ADICIONAIS NECESSÁRIOS DURANTE AS ROTINAS</t>
  </si>
  <si>
    <t>TOTAL DO SERVIÇO - R$</t>
  </si>
  <si>
    <t>APROVAÇÃO DO ORÇAMENTO</t>
  </si>
  <si>
    <t>Ordem Serviço Eletrônica</t>
  </si>
  <si>
    <t>APROVAÇÃO ORÇAMENTO</t>
  </si>
  <si>
    <t>Conforme Serviços.UFSCar</t>
  </si>
  <si>
    <t xml:space="preserve">
Conforme Servicos.UFSCar
</t>
  </si>
  <si>
    <t xml:space="preserve">Data de início:
Hora de início:
</t>
  </si>
  <si>
    <t xml:space="preserve">Data de conclusão:
Hora de conclusão:
</t>
  </si>
  <si>
    <t xml:space="preserve"> _____________________________________________
Fiscal do Contrato / Assinatura
</t>
  </si>
  <si>
    <t xml:space="preserve">EXECUÇÃO / ATESTE DE
APROVAÇAO DO SERVIÇO
</t>
  </si>
  <si>
    <t xml:space="preserve">Observações do fiscal do contrato: </t>
  </si>
  <si>
    <r>
      <t xml:space="preserve">Prazo de início: </t>
    </r>
    <r>
      <rPr>
        <sz val="8"/>
        <color rgb="FFFF0000"/>
        <rFont val="Arial"/>
        <family val="2"/>
      </rPr>
      <t>13/06/2022</t>
    </r>
  </si>
  <si>
    <r>
      <t xml:space="preserve">CONTRATO: </t>
    </r>
    <r>
      <rPr>
        <sz val="8"/>
        <color rgb="FFFF0000"/>
        <rFont val="Arial"/>
        <family val="2"/>
      </rPr>
      <t xml:space="preserve"> 023/2022</t>
    </r>
  </si>
  <si>
    <t>DESCONTO (0,03%)</t>
  </si>
  <si>
    <t>ESCONTO (0,03%)</t>
  </si>
  <si>
    <t xml:space="preserve"> 88267 </t>
  </si>
  <si>
    <t>ENCANADOR OU BOMBEIRO HIDRÁULICO COM ENCARGOS COMPLEMENTARES</t>
  </si>
  <si>
    <t xml:space="preserve"> 88248 </t>
  </si>
  <si>
    <t>AUXILIAR DE ENCANADOR OU BOMBEIRO HIDRÁULICO COM ENCARGOS COMPLEMENTARES</t>
  </si>
  <si>
    <t xml:space="preserve"> 88309 </t>
  </si>
  <si>
    <t>PEDREIRO COM ENCARGOS COMPLEMENTARES</t>
  </si>
  <si>
    <t xml:space="preserve"> 88242 </t>
  </si>
  <si>
    <t>AJUDANTE DE PEDREIRO COM ENCARGOS COMPLEMENTARES</t>
  </si>
  <si>
    <t xml:space="preserve"> 90776 </t>
  </si>
  <si>
    <t>ENCARREGADO GERAL COM ENCARGOS COMPLEMENTARES</t>
  </si>
  <si>
    <t xml:space="preserve"> 88241 </t>
  </si>
  <si>
    <t>AJUDANTE DE OPERAÇÃO EM GERAL COM ENCARGOS COMPLEMENTARES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</si>
  <si>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</si>
  <si>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</si>
  <si>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</si>
  <si>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</si>
  <si>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</si>
  <si>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</si>
  <si>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</si>
  <si>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</si>
  <si>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</si>
  <si>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</si>
  <si>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</si>
  <si>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3.1</t>
  </si>
  <si>
    <t>3.3</t>
  </si>
  <si>
    <r>
      <t xml:space="preserve">Observações: 
1) As composições de custos apresentadas nesta planilha orçamentária englobam em seu valor toda a mão de obra, materiais, ferramentas, equipamentos e demais itens necessários à sua perfeita e completa execução.
2) Preços das composições e insumos do </t>
    </r>
    <r>
      <rPr>
        <b/>
        <sz val="8"/>
        <color rgb="FFFF0000"/>
        <rFont val="Arial"/>
        <family val="2"/>
      </rPr>
      <t xml:space="preserve">SINAPI São Paulo (mês 05/2023) </t>
    </r>
    <r>
      <rPr>
        <sz val="8"/>
        <color theme="1"/>
        <rFont val="Arial"/>
        <family val="2"/>
      </rPr>
      <t xml:space="preserve">e/ou demais preços do mercado vigentes na mesma data.
3) A identificação de materiais ou equipamentos por determinada marca implica apenas na caracterização de uma analogia ou similaridade, não tendo caráter vinculante e sim, meramente indicativo.
4) O BDI e o desconto adotados são os acordados no respectivo contrato, bem como a modalidade de impostos desonerados ou padrão, considerando o ISS da Prefeitura local do serviço.
</t>
    </r>
  </si>
  <si>
    <r>
      <t xml:space="preserve">Mês de referência: </t>
    </r>
    <r>
      <rPr>
        <sz val="8"/>
        <color rgb="FFFF0000"/>
        <rFont val="Arial"/>
        <family val="2"/>
      </rPr>
      <t>Maio/2023 (data da proposta)</t>
    </r>
  </si>
  <si>
    <r>
      <t xml:space="preserve">Data Orçamento: </t>
    </r>
    <r>
      <rPr>
        <sz val="8"/>
        <color rgb="FFFF0000"/>
        <rFont val="Arial"/>
        <family val="2"/>
      </rPr>
      <t>Jun/23</t>
    </r>
  </si>
  <si>
    <t>3.2</t>
  </si>
  <si>
    <t>PINTOR COM ENCARGOS COMPLEMENTARES</t>
  </si>
  <si>
    <t>ITEM 02 – AT. 07</t>
  </si>
  <si>
    <t>QTD</t>
  </si>
  <si>
    <t>DESCRIÇÃO O ITEM</t>
  </si>
  <si>
    <t>R$</t>
  </si>
  <si>
    <t>CHAVE DE STORZ P/ HIDRANTE</t>
  </si>
  <si>
    <t>EXTINTOR DE PÓ BC 4KG (RECARGA)</t>
  </si>
  <si>
    <t>EXTINTOR DE AGUA PRESSURIZADA 10L (RECARGA)</t>
  </si>
  <si>
    <t>MANGUEIRA TIPO 2 – 30m -1.¹/2 (NOVO)</t>
  </si>
  <si>
    <t>ESGUICHO REGULAVEL</t>
  </si>
  <si>
    <r>
      <t xml:space="preserve">Descrição serviço: </t>
    </r>
    <r>
      <rPr>
        <b/>
        <sz val="8"/>
        <color theme="1"/>
        <rFont val="Arial"/>
        <family val="2"/>
      </rPr>
      <t xml:space="preserve">ROTINAS DE MANUTENÇÃO PREDIAL NO CAMPUS SÃO CARLOS, REFERENTE AO PERIDO DE </t>
    </r>
    <r>
      <rPr>
        <b/>
        <sz val="8"/>
        <color rgb="FFFF0000"/>
        <rFont val="Arial"/>
        <family val="2"/>
      </rPr>
      <t>01/06/2024 a 12/06/2024</t>
    </r>
  </si>
  <si>
    <r>
      <t xml:space="preserve">Observações: 
1) As composições de custos apresentadas nesta planilha orçamentária englobam em seu valor toda a mão de obra, materiais, ferramentas, equipamentos e demais itens necessários à sua perfeita e completa execução.
2) Preços das composições e insumos do </t>
    </r>
    <r>
      <rPr>
        <b/>
        <sz val="8"/>
        <color rgb="FFFF0000"/>
        <rFont val="Arial"/>
        <family val="2"/>
      </rPr>
      <t xml:space="preserve">SINAPI São Paulo (mês 05/2024) </t>
    </r>
    <r>
      <rPr>
        <sz val="8"/>
        <color theme="1"/>
        <rFont val="Arial"/>
        <family val="2"/>
      </rPr>
      <t xml:space="preserve">e/ou demais preços do mercado vigentes na mesma data.
3) A identificação de materiais ou equipamentos por determinada marca implica apenas na caracterização de uma analogia ou similaridade, não tendo caráter vinculante e sim, meramente indicativo.
4) O BDI e o desconto adotados são os acordados no respectivo contrato, bem como a modalidade de impostos desonerados ou padrão, considerando o ISS da Prefeitura local do serviço.
</t>
    </r>
  </si>
  <si>
    <t>m²</t>
  </si>
  <si>
    <t>APLICAÇÃO MANUAL DE PINTURA COM TINTA LÁTEX ACRÍLICA EM PAREDES, DUAS DEMÃOS. AF_06/2014</t>
  </si>
  <si>
    <t xml:space="preserve"> 88489 </t>
  </si>
  <si>
    <t>3.11</t>
  </si>
  <si>
    <t>CORREDOR DEMA</t>
  </si>
  <si>
    <t>APLICAÇÃO DE FUNDO SELADOR ACRÍLICO EM PAREDES, UMA DEMÃO. AF_06/2014</t>
  </si>
  <si>
    <t>3.10</t>
  </si>
  <si>
    <t>PINTURA COM TINTA ALQUÍDICA DE ACABAMENTO (ESMALTE SINTÉTICO BRILHANTE) APLICADA A ROLO OU PINCEL SOBRE SUPERFÍCIES METÁLICAS (EXCETO PERFIL) EXECUTADO EM OBRA (POR DEMÃO). AF_01/2020</t>
  </si>
  <si>
    <t>3.9</t>
  </si>
  <si>
    <t>3.8</t>
  </si>
  <si>
    <t>PINTURA DEMA - Lab. Prof Marcelo</t>
  </si>
  <si>
    <t>3.7</t>
  </si>
  <si>
    <t>BP-02 BARRA ANTIPANICO DUPLA</t>
  </si>
  <si>
    <t>FDE</t>
  </si>
  <si>
    <t>06.03.017</t>
  </si>
  <si>
    <t>3.6</t>
  </si>
  <si>
    <t>PORTA DE FERRO, DE ABRIR, TIPO GRADE COM CHAPA, COM GUARNIÇÕES. AF_12/2019</t>
  </si>
  <si>
    <t>3.5</t>
  </si>
  <si>
    <t>PORTA DECAM</t>
  </si>
  <si>
    <t>M3XKM</t>
  </si>
  <si>
    <t>TRANSPORTE COM CAMINHÃO BASCULANTE DE 10 M³, EM VIA URBANA EM LEITO NATURAL (UNIDADE: M3XKM). AF_07/2020</t>
  </si>
  <si>
    <t>3.4</t>
  </si>
  <si>
    <t>KIT REPARO CAIXA ACOPLADA</t>
  </si>
  <si>
    <t>6.95.48</t>
  </si>
  <si>
    <t>M</t>
  </si>
  <si>
    <t>TUBO PVC, SOLDAVEL, DE 85 MM, AGUA FRIA (NBR-5648)</t>
  </si>
  <si>
    <t>Insumos</t>
  </si>
  <si>
    <t>2.31</t>
  </si>
  <si>
    <t>TUBO PVC, SOLDAVEL, DE 75 MM, AGUA FRIA (NBR-5648)</t>
  </si>
  <si>
    <t>2.30</t>
  </si>
  <si>
    <t>TUBO PVC, SOLDAVEL, DE 60 MM, AGUA FRIA (NBR-5648)</t>
  </si>
  <si>
    <t>2.29</t>
  </si>
  <si>
    <t>TE SOLDAVEL, PVC, 90 GRAUS, 60 MM, PARA AGUA FRIA PREDIAL (NBR 5648)</t>
  </si>
  <si>
    <t>2.28</t>
  </si>
  <si>
    <t>LUVA PVC SOLDAVEL, 60 MM, PARA AGUA FRIA PREDIAL</t>
  </si>
  <si>
    <t>2.27</t>
  </si>
  <si>
    <t>LUVA PVC SOLDAVEL, 50 MM, PARA AGUA FRIA PREDIAL</t>
  </si>
  <si>
    <t>2.26</t>
  </si>
  <si>
    <t>LUVA PVC SOLDAVEL, 32 MM, PARA AGUA FRIA PREDIAL</t>
  </si>
  <si>
    <t>2.25</t>
  </si>
  <si>
    <t>JOELHO PVC, SOLDAVEL, 90 GRAUS, 32 MM, COR MARROM, PARA AGUA FRIA PREDIAL</t>
  </si>
  <si>
    <t>2.24</t>
  </si>
  <si>
    <t>JOELHO PVC, SOLDAVEL, 90 GRAUS, 25 MM, PARA AGUA FRIA PREDIAL</t>
  </si>
  <si>
    <t>2.23</t>
  </si>
  <si>
    <t>JOELHO PVC, SOLDAVEL COM ROSCA, 90 GRAUS, 25 MM X 1/2", COR MARROM, PARA AGUA FRIA PREDIAL</t>
  </si>
  <si>
    <t>2.22</t>
  </si>
  <si>
    <t>JOELHO, PVC SOLDAVEL, 45 GRAUS, 50 MM, COR MARROM, PARA AGUA FRIA PREDIAL</t>
  </si>
  <si>
    <t>2.21</t>
  </si>
  <si>
    <t>BUCHA DE REDUCAO DE PVC, SOLDAVEL, CURTA, COM 60 X 50 MM, PARA AGUA FRIA PREDIAL</t>
  </si>
  <si>
    <t>2.20</t>
  </si>
  <si>
    <t>ADAPTADOR PVC SOLDAVEL CURTO COM BOLSA E ROSCA, 32 MM X 1", PARA AGUA FRIA</t>
  </si>
  <si>
    <t>2.19</t>
  </si>
  <si>
    <t>ADAPTADOR PVC SOLDAVEL CURTO COM BOLSA E ROSCA, 25 MM X 3/4", PARA AGUA FRIA</t>
  </si>
  <si>
    <t>2.18</t>
  </si>
  <si>
    <t>SELANTE ELASTICO MONOCOMPONENTE A BASE DE POLIURETANO (PU) PARA JUNTAS DIVERSAS</t>
  </si>
  <si>
    <t>2.17</t>
  </si>
  <si>
    <t>CHUVEIRO COMUM EM PLASTICO BRANCO, COM CANO, 3 TEMPERATURAS, 5500 W (110/220 V)</t>
  </si>
  <si>
    <t>2.16</t>
  </si>
  <si>
    <t>FITA VEDA ROSCA EM ROLOS DE 18 MM X 50 M (L X C)</t>
  </si>
  <si>
    <t>2.15</t>
  </si>
  <si>
    <t>ENGATE/RABICHO FLEXIVEL PLASTICO (PVC OU ABS) BRANCO 1/2 " X 40 CM</t>
  </si>
  <si>
    <t>2.14</t>
  </si>
  <si>
    <t>SIFAO / TUBO SINFONADO EXTENSIVEL/SANFONADO, UNIVERSAL/ SIMPLES, ENTRE *50 A 70* CM, DE PLASTICO BRANCO</t>
  </si>
  <si>
    <t>2.13</t>
  </si>
  <si>
    <t>2.12</t>
  </si>
  <si>
    <t>NIPLE DE FERRO GALVANIZADO, COM ROSCA BSP, DE 1/2"</t>
  </si>
  <si>
    <t>2.11</t>
  </si>
  <si>
    <t>BUCHA DE REDUCAO DE FERRO GALVANIZADO, COM ROSCA BSP, DE 3/4" X 1/2"</t>
  </si>
  <si>
    <t>2.10</t>
  </si>
  <si>
    <t>m3</t>
  </si>
  <si>
    <t>PEDRA BRITADA N. 0, OU PEDRISCO (4,8 A 9,5 MM) POSTO PEDREIRA/FORNECEDOR, SEM FRETE</t>
  </si>
  <si>
    <t>2.9</t>
  </si>
  <si>
    <t>AREIA GROSSA - POSTO JAZIDA/FORNECEDOR (RETIRADO NA JAZIDA, SEM TRANSPORTE)</t>
  </si>
  <si>
    <t>2.8</t>
  </si>
  <si>
    <t>AREIA FINA - POSTO JAZIDA/FORNECEDOR (RETIRADO NA JAZIDA, SEM TRANSPORTE)</t>
  </si>
  <si>
    <t>2.7</t>
  </si>
  <si>
    <t>BLOCO CERAMICO / TIJOLO VAZADO PARA ALVENARIA DE VEDACAO, 8 FUROS NA HORIZONTAL DE 9 X 19 X 19 CM (L X A X C)</t>
  </si>
  <si>
    <t>2.6</t>
  </si>
  <si>
    <t>TIJOLO CERAMICO MACICO COMUM DE *5 X 10 X 20* CM (L X A X C)</t>
  </si>
  <si>
    <t>2.5</t>
  </si>
  <si>
    <t>KG</t>
  </si>
  <si>
    <t>REJUNTE CIMENTICIO, QUALQUER COR</t>
  </si>
  <si>
    <t>2.4</t>
  </si>
  <si>
    <t xml:space="preserve"> Adesivo para tubo Aquatherm/CPVC</t>
  </si>
  <si>
    <t>ORSE</t>
  </si>
  <si>
    <t>2.3</t>
  </si>
  <si>
    <t>CIMENTO PORTLAND COMPOSTO CP II-32</t>
  </si>
  <si>
    <t>2.2</t>
  </si>
  <si>
    <t>kg</t>
  </si>
  <si>
    <t>ARAME RECOZIDO 16 BWG, D = 1,65 MM (0,016 KG/M) OU 18 BWG, D = 1,25 MM (0,01 KG/M)</t>
  </si>
  <si>
    <t>2.1</t>
  </si>
  <si>
    <r>
      <t xml:space="preserve">Mês de referência: </t>
    </r>
    <r>
      <rPr>
        <sz val="8"/>
        <color rgb="FFFF0000"/>
        <rFont val="Arial"/>
        <family val="2"/>
      </rPr>
      <t>Maio/2024 (data da proposta)</t>
    </r>
  </si>
  <si>
    <r>
      <t xml:space="preserve">Data Orçamento: </t>
    </r>
    <r>
      <rPr>
        <sz val="8"/>
        <color rgb="FFFF0000"/>
        <rFont val="Arial"/>
        <family val="2"/>
      </rPr>
      <t>Jun/22</t>
    </r>
  </si>
  <si>
    <r>
      <t xml:space="preserve">Descrição serviço: </t>
    </r>
    <r>
      <rPr>
        <b/>
        <sz val="8"/>
        <color theme="1"/>
        <rFont val="Arial"/>
        <family val="2"/>
      </rPr>
      <t xml:space="preserve">ROTINAS DE MANUTENÇÃO PREDIAL NO CAMPUS SÃO CARLOS, REFERENTE AO PERIDO DE </t>
    </r>
    <r>
      <rPr>
        <b/>
        <sz val="8"/>
        <color rgb="FFFF0000"/>
        <rFont val="Arial"/>
        <family val="2"/>
      </rPr>
      <t>13/06/2024 a 30/06/2024</t>
    </r>
  </si>
  <si>
    <t>1 a 12</t>
  </si>
  <si>
    <t>13 a 30</t>
  </si>
  <si>
    <t>Errado</t>
  </si>
  <si>
    <t>REV</t>
  </si>
  <si>
    <t>Red greve - comp</t>
  </si>
  <si>
    <t>3.1a</t>
  </si>
  <si>
    <t>TORNEIRA DE MESA/BANCADA, PARA LAVATORIO, FIXA, METALICA CROMADA, PADRAO POPULAR, 1/2" OU 3/4" (REF 1193)</t>
  </si>
  <si>
    <t>2.32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</si>
</sst>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</numFmts>
  <fonts count="31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8"/>
      <color theme="1"/>
      <name val="Arial"/>
      <family val="2"/>
    </font>
    <font>
      <b/>
      <sz val="8"/>
      <color rgb="FF3F3F3F"/>
      <name val="Arial"/>
      <family val="2"/>
    </font>
    <font>
      <sz val="8"/>
      <color rgb="FF3F3F3F"/>
      <name val="Arial"/>
      <family val="2"/>
    </font>
    <font>
      <b/>
      <sz val="8"/>
      <color theme="1"/>
      <name val="Arial"/>
      <family val="2"/>
    </font>
    <font>
      <sz val="8"/>
      <color rgb="FFFF000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color rgb="FFFF0000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3F3F3F"/>
      <name val="Calibri"/>
      <family val="2"/>
      <charset val="1"/>
    </font>
    <font>
      <i/>
      <sz val="11"/>
      <color rgb="FF7F7F7F"/>
      <name val="Calibri"/>
      <family val="2"/>
      <charset val="1"/>
    </font>
    <font>
      <b/>
      <sz val="8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Arial"/>
      <family val="1"/>
    </font>
    <font>
      <sz val="8"/>
      <color rgb="FF000000"/>
      <name val="Arial"/>
      <family val="1"/>
    </font>
    <font>
      <sz val="8"/>
      <color rgb="FF000000"/>
      <name val="Arial"/>
      <family val="2"/>
    </font>
    <font>
      <sz val="8"/>
      <color rgb="FF333333"/>
      <name val="Arial"/>
      <family val="2"/>
    </font>
    <font>
      <sz val="8"/>
      <color rgb="FFFF0000"/>
      <name val="Calibri"/>
      <family val="2"/>
      <scheme val="minor"/>
    </font>
    <font>
      <b/>
      <sz val="8"/>
      <color theme="4"/>
      <name val="Arial"/>
      <family val="2"/>
    </font>
    <font>
      <b/>
      <sz val="8"/>
      <color rgb="FFFF0000"/>
      <name val="Arial"/>
      <family val="1"/>
    </font>
    <font>
      <sz val="8"/>
      <color rgb="FFFF0000"/>
      <name val="Arial"/>
      <family val="1"/>
    </font>
    <font>
      <b/>
      <sz val="8"/>
      <color theme="4"/>
      <name val="Arial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rgb="FFFFFFFF"/>
      </patternFill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3F3F3F"/>
      </left>
      <right style="thin">
        <color rgb="FF3F3F3F"/>
      </right>
      <top style="medium">
        <color indexed="64"/>
      </top>
      <bottom style="thin">
        <color rgb="FF3F3F3F"/>
      </bottom>
      <diagonal/>
    </border>
    <border>
      <left style="thin">
        <color rgb="FF3F3F3F"/>
      </left>
      <right style="medium">
        <color indexed="64"/>
      </right>
      <top style="medium">
        <color indexed="64"/>
      </top>
      <bottom style="thin">
        <color rgb="FF3F3F3F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3F3F3F"/>
      </left>
      <right style="medium">
        <color indexed="64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 style="thin">
        <color indexed="64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/>
      <right style="medium">
        <color indexed="64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thin">
        <color rgb="FF3F3F3F"/>
      </top>
      <bottom/>
      <diagonal/>
    </border>
    <border>
      <left style="medium">
        <color indexed="64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3F3F3F"/>
      </left>
      <right style="medium">
        <color indexed="64"/>
      </right>
      <top style="thin">
        <color rgb="FF3F3F3F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3F3F3F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rgb="FF3F3F3F"/>
      </top>
      <bottom style="medium">
        <color indexed="64"/>
      </bottom>
      <diagonal/>
    </border>
    <border>
      <left/>
      <right style="thin">
        <color rgb="FF3F3F3F"/>
      </right>
      <top style="thin">
        <color indexed="64"/>
      </top>
      <bottom/>
      <diagonal/>
    </border>
  </borders>
  <cellStyleXfs count="7">
    <xf numFmtId="0" fontId="0" fillId="0" borderId="0"/>
    <xf numFmtId="0" fontId="1" fillId="2" borderId="1" applyNumberFormat="0" applyAlignment="0" applyProtection="0"/>
    <xf numFmtId="0" fontId="2" fillId="0" borderId="0" applyNumberFormat="0" applyFill="0" applyBorder="0" applyAlignment="0" applyProtection="0"/>
    <xf numFmtId="44" fontId="1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6" fillId="4" borderId="1" applyProtection="0"/>
    <xf numFmtId="0" fontId="17" fillId="0" borderId="0" applyBorder="0" applyProtection="0"/>
  </cellStyleXfs>
  <cellXfs count="168">
    <xf numFmtId="0" fontId="0" fillId="0" borderId="0" xfId="0"/>
    <xf numFmtId="0" fontId="4" fillId="2" borderId="9" xfId="1" applyFont="1" applyBorder="1" applyAlignment="1"/>
    <xf numFmtId="0" fontId="5" fillId="2" borderId="9" xfId="1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5" fillId="2" borderId="25" xfId="1" applyFont="1" applyBorder="1" applyAlignment="1">
      <alignment horizontal="center" vertical="center"/>
    </xf>
    <xf numFmtId="0" fontId="4" fillId="2" borderId="26" xfId="1" applyFont="1" applyBorder="1" applyAlignment="1">
      <alignment vertical="center"/>
    </xf>
    <xf numFmtId="0" fontId="4" fillId="2" borderId="18" xfId="1" applyFont="1" applyBorder="1" applyAlignment="1">
      <alignment vertical="center"/>
    </xf>
    <xf numFmtId="0" fontId="4" fillId="2" borderId="26" xfId="1" applyFont="1" applyBorder="1" applyAlignment="1">
      <alignment horizontal="center" vertical="center"/>
    </xf>
    <xf numFmtId="0" fontId="4" fillId="2" borderId="27" xfId="1" applyFont="1" applyBorder="1" applyAlignment="1">
      <alignment horizontal="center" vertical="center"/>
    </xf>
    <xf numFmtId="4" fontId="4" fillId="2" borderId="27" xfId="1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4" xfId="2" applyFont="1" applyBorder="1" applyAlignment="1" applyProtection="1">
      <alignment horizontal="left" vertical="center" wrapText="1"/>
    </xf>
    <xf numFmtId="0" fontId="9" fillId="0" borderId="24" xfId="2" applyFont="1" applyBorder="1" applyAlignment="1" applyProtection="1">
      <alignment horizontal="center" vertical="center"/>
    </xf>
    <xf numFmtId="4" fontId="9" fillId="0" borderId="24" xfId="2" applyNumberFormat="1" applyFont="1" applyBorder="1" applyAlignment="1" applyProtection="1">
      <alignment horizontal="center" vertical="center"/>
    </xf>
    <xf numFmtId="0" fontId="5" fillId="2" borderId="29" xfId="1" applyFont="1" applyBorder="1" applyAlignment="1">
      <alignment horizontal="center" vertical="center"/>
    </xf>
    <xf numFmtId="0" fontId="4" fillId="2" borderId="24" xfId="1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9" fillId="0" borderId="24" xfId="1" applyFont="1" applyFill="1" applyBorder="1" applyAlignment="1">
      <alignment horizontal="center" vertical="center"/>
    </xf>
    <xf numFmtId="0" fontId="9" fillId="0" borderId="0" xfId="0" applyFont="1"/>
    <xf numFmtId="0" fontId="9" fillId="0" borderId="24" xfId="2" applyFont="1" applyFill="1" applyBorder="1" applyAlignment="1" applyProtection="1">
      <alignment horizontal="left" vertical="center" wrapText="1"/>
    </xf>
    <xf numFmtId="44" fontId="4" fillId="2" borderId="27" xfId="3" applyFont="1" applyFill="1" applyBorder="1" applyAlignment="1">
      <alignment horizontal="center" vertical="center"/>
    </xf>
    <xf numFmtId="44" fontId="4" fillId="2" borderId="24" xfId="3" applyFont="1" applyFill="1" applyBorder="1" applyAlignment="1">
      <alignment horizontal="center" vertical="center"/>
    </xf>
    <xf numFmtId="0" fontId="9" fillId="0" borderId="24" xfId="0" applyFont="1" applyBorder="1" applyAlignment="1">
      <alignment horizontal="center"/>
    </xf>
    <xf numFmtId="0" fontId="9" fillId="0" borderId="24" xfId="0" applyFont="1" applyBorder="1"/>
    <xf numFmtId="0" fontId="13" fillId="0" borderId="24" xfId="4" applyFont="1" applyFill="1" applyBorder="1"/>
    <xf numFmtId="0" fontId="8" fillId="3" borderId="24" xfId="0" applyFont="1" applyFill="1" applyBorder="1" applyAlignment="1">
      <alignment horizontal="center" vertical="center"/>
    </xf>
    <xf numFmtId="0" fontId="8" fillId="0" borderId="24" xfId="1" applyFont="1" applyFill="1" applyBorder="1" applyAlignment="1">
      <alignment horizontal="center" vertical="center"/>
    </xf>
    <xf numFmtId="0" fontId="14" fillId="0" borderId="0" xfId="0" applyFont="1"/>
    <xf numFmtId="0" fontId="13" fillId="0" borderId="0" xfId="0" applyFont="1"/>
    <xf numFmtId="0" fontId="13" fillId="2" borderId="25" xfId="1" applyFont="1" applyBorder="1" applyAlignment="1">
      <alignment horizontal="center" vertical="center"/>
    </xf>
    <xf numFmtId="0" fontId="18" fillId="2" borderId="27" xfId="1" applyFont="1" applyBorder="1" applyAlignment="1">
      <alignment horizontal="center" vertical="center"/>
    </xf>
    <xf numFmtId="44" fontId="18" fillId="2" borderId="27" xfId="3" applyFont="1" applyFill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24" xfId="2" applyFont="1" applyFill="1" applyBorder="1" applyAlignment="1" applyProtection="1">
      <alignment horizontal="left" vertical="center" wrapText="1"/>
    </xf>
    <xf numFmtId="0" fontId="13" fillId="0" borderId="24" xfId="2" applyFont="1" applyBorder="1" applyAlignment="1" applyProtection="1">
      <alignment horizontal="center" vertical="center"/>
    </xf>
    <xf numFmtId="4" fontId="18" fillId="0" borderId="24" xfId="2" applyNumberFormat="1" applyFont="1" applyBorder="1" applyAlignment="1" applyProtection="1">
      <alignment horizontal="center" vertical="center"/>
    </xf>
    <xf numFmtId="4" fontId="13" fillId="0" borderId="24" xfId="2" applyNumberFormat="1" applyFont="1" applyBorder="1" applyAlignment="1" applyProtection="1">
      <alignment horizontal="center" vertical="center"/>
    </xf>
    <xf numFmtId="0" fontId="19" fillId="2" borderId="24" xfId="1" applyFont="1" applyBorder="1"/>
    <xf numFmtId="0" fontId="18" fillId="0" borderId="39" xfId="0" applyFont="1" applyBorder="1" applyAlignment="1">
      <alignment vertical="top"/>
    </xf>
    <xf numFmtId="0" fontId="20" fillId="0" borderId="11" xfId="0" applyFont="1" applyBorder="1" applyAlignment="1">
      <alignment vertical="top"/>
    </xf>
    <xf numFmtId="0" fontId="15" fillId="0" borderId="0" xfId="0" applyFont="1"/>
    <xf numFmtId="2" fontId="4" fillId="0" borderId="24" xfId="1" applyNumberFormat="1" applyFont="1" applyFill="1" applyBorder="1" applyAlignment="1">
      <alignment horizontal="center" vertical="center"/>
    </xf>
    <xf numFmtId="2" fontId="8" fillId="0" borderId="24" xfId="1" applyNumberFormat="1" applyFont="1" applyFill="1" applyBorder="1" applyAlignment="1">
      <alignment horizontal="center" vertical="center"/>
    </xf>
    <xf numFmtId="8" fontId="0" fillId="0" borderId="0" xfId="0" applyNumberFormat="1"/>
    <xf numFmtId="0" fontId="15" fillId="0" borderId="24" xfId="0" applyFont="1" applyBorder="1"/>
    <xf numFmtId="4" fontId="22" fillId="0" borderId="24" xfId="2" applyNumberFormat="1" applyFont="1" applyFill="1" applyBorder="1" applyAlignment="1" applyProtection="1">
      <alignment horizontal="center" vertical="center"/>
    </xf>
    <xf numFmtId="4" fontId="22" fillId="0" borderId="24" xfId="2" applyNumberFormat="1" applyFont="1" applyBorder="1" applyAlignment="1" applyProtection="1">
      <alignment horizontal="center" vertical="center"/>
    </xf>
    <xf numFmtId="0" fontId="23" fillId="0" borderId="24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left" vertical="top" wrapText="1"/>
    </xf>
    <xf numFmtId="0" fontId="23" fillId="0" borderId="24" xfId="0" applyFont="1" applyBorder="1" applyAlignment="1">
      <alignment horizontal="center" vertical="top" wrapText="1"/>
    </xf>
    <xf numFmtId="4" fontId="9" fillId="0" borderId="24" xfId="2" applyNumberFormat="1" applyFont="1" applyFill="1" applyBorder="1" applyAlignment="1" applyProtection="1">
      <alignment horizontal="center" vertical="center"/>
    </xf>
    <xf numFmtId="0" fontId="24" fillId="0" borderId="24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left" vertical="center"/>
    </xf>
    <xf numFmtId="0" fontId="15" fillId="0" borderId="24" xfId="0" applyFont="1" applyBorder="1" applyAlignment="1">
      <alignment vertical="center"/>
    </xf>
    <xf numFmtId="0" fontId="25" fillId="0" borderId="24" xfId="0" applyFont="1" applyBorder="1"/>
    <xf numFmtId="0" fontId="25" fillId="0" borderId="0" xfId="0" applyFont="1"/>
    <xf numFmtId="0" fontId="21" fillId="0" borderId="0" xfId="0" applyFont="1"/>
    <xf numFmtId="0" fontId="7" fillId="0" borderId="24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7" fillId="0" borderId="24" xfId="2" applyFont="1" applyBorder="1" applyAlignment="1" applyProtection="1">
      <alignment horizontal="left" vertical="center" wrapText="1"/>
    </xf>
    <xf numFmtId="0" fontId="7" fillId="0" borderId="24" xfId="2" applyFont="1" applyBorder="1" applyAlignment="1" applyProtection="1">
      <alignment horizontal="center" vertical="center"/>
    </xf>
    <xf numFmtId="4" fontId="27" fillId="0" borderId="24" xfId="2" applyNumberFormat="1" applyFont="1" applyBorder="1" applyAlignment="1" applyProtection="1">
      <alignment horizontal="center" vertical="center"/>
    </xf>
    <xf numFmtId="4" fontId="10" fillId="0" borderId="24" xfId="2" applyNumberFormat="1" applyFont="1" applyBorder="1" applyAlignment="1" applyProtection="1">
      <alignment horizontal="center" vertical="center"/>
    </xf>
    <xf numFmtId="2" fontId="10" fillId="0" borderId="24" xfId="1" applyNumberFormat="1" applyFont="1" applyFill="1" applyBorder="1" applyAlignment="1">
      <alignment horizontal="center" vertical="center"/>
    </xf>
    <xf numFmtId="2" fontId="27" fillId="0" borderId="24" xfId="1" applyNumberFormat="1" applyFont="1" applyFill="1" applyBorder="1" applyAlignment="1">
      <alignment horizontal="center" vertical="center"/>
    </xf>
    <xf numFmtId="0" fontId="27" fillId="0" borderId="24" xfId="1" applyFont="1" applyFill="1" applyBorder="1" applyAlignment="1">
      <alignment horizontal="center" vertical="center"/>
    </xf>
    <xf numFmtId="0" fontId="7" fillId="0" borderId="24" xfId="1" applyFont="1" applyFill="1" applyBorder="1" applyAlignment="1">
      <alignment horizontal="center" vertical="center"/>
    </xf>
    <xf numFmtId="0" fontId="26" fillId="0" borderId="24" xfId="0" applyFont="1" applyBorder="1"/>
    <xf numFmtId="4" fontId="27" fillId="0" borderId="24" xfId="2" applyNumberFormat="1" applyFont="1" applyFill="1" applyBorder="1" applyAlignment="1" applyProtection="1">
      <alignment horizontal="center" vertical="center"/>
    </xf>
    <xf numFmtId="4" fontId="10" fillId="0" borderId="24" xfId="0" applyNumberFormat="1" applyFont="1" applyBorder="1" applyAlignment="1">
      <alignment horizontal="center" vertical="center" wrapText="1"/>
    </xf>
    <xf numFmtId="4" fontId="28" fillId="5" borderId="15" xfId="0" applyNumberFormat="1" applyFont="1" applyFill="1" applyBorder="1" applyAlignment="1">
      <alignment horizontal="center" vertical="center" wrapText="1"/>
    </xf>
    <xf numFmtId="0" fontId="29" fillId="0" borderId="24" xfId="0" applyFont="1" applyBorder="1" applyAlignment="1">
      <alignment horizontal="center" vertical="center" wrapText="1"/>
    </xf>
    <xf numFmtId="4" fontId="28" fillId="5" borderId="24" xfId="0" applyNumberFormat="1" applyFont="1" applyFill="1" applyBorder="1" applyAlignment="1">
      <alignment horizontal="center" vertical="center" wrapText="1"/>
    </xf>
    <xf numFmtId="4" fontId="30" fillId="5" borderId="15" xfId="0" applyNumberFormat="1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31" xfId="0" applyFont="1" applyBorder="1" applyAlignment="1">
      <alignment horizontal="center"/>
    </xf>
    <xf numFmtId="0" fontId="5" fillId="2" borderId="30" xfId="1" applyFont="1" applyBorder="1" applyAlignment="1">
      <alignment horizontal="left" vertical="top"/>
    </xf>
    <xf numFmtId="0" fontId="5" fillId="2" borderId="1" xfId="1" applyFont="1" applyAlignment="1">
      <alignment horizontal="left" vertical="top"/>
    </xf>
    <xf numFmtId="0" fontId="5" fillId="2" borderId="1" xfId="1" applyFont="1" applyAlignment="1">
      <alignment horizontal="center" vertical="center"/>
    </xf>
    <xf numFmtId="0" fontId="3" fillId="0" borderId="32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33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5" fillId="2" borderId="9" xfId="1" applyFont="1" applyBorder="1" applyAlignment="1">
      <alignment horizontal="center" vertical="center" textRotation="90"/>
    </xf>
    <xf numFmtId="0" fontId="5" fillId="2" borderId="34" xfId="1" applyFont="1" applyBorder="1" applyAlignment="1">
      <alignment horizontal="center" vertical="center" textRotation="90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35" xfId="0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3" fillId="0" borderId="7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3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/>
    </xf>
    <xf numFmtId="0" fontId="3" fillId="0" borderId="33" xfId="0" applyFont="1" applyBorder="1" applyAlignment="1">
      <alignment horizontal="left" vertical="top" wrapText="1"/>
    </xf>
    <xf numFmtId="0" fontId="3" fillId="0" borderId="39" xfId="0" applyFont="1" applyBorder="1" applyAlignment="1">
      <alignment horizontal="left" vertical="top"/>
    </xf>
    <xf numFmtId="0" fontId="3" fillId="0" borderId="33" xfId="0" applyFont="1" applyBorder="1" applyAlignment="1">
      <alignment horizontal="center" wrapText="1"/>
    </xf>
    <xf numFmtId="0" fontId="3" fillId="0" borderId="33" xfId="0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0" fontId="5" fillId="2" borderId="38" xfId="1" applyFont="1" applyBorder="1" applyAlignment="1">
      <alignment horizontal="left" vertical="center" textRotation="90" wrapText="1"/>
    </xf>
    <xf numFmtId="0" fontId="5" fillId="2" borderId="28" xfId="1" applyFont="1" applyBorder="1" applyAlignment="1">
      <alignment horizontal="left" vertical="center" textRotation="90"/>
    </xf>
    <xf numFmtId="0" fontId="5" fillId="2" borderId="43" xfId="1" applyFont="1" applyBorder="1" applyAlignment="1">
      <alignment horizontal="left" vertical="center" textRotation="90"/>
    </xf>
    <xf numFmtId="0" fontId="3" fillId="0" borderId="17" xfId="0" applyFont="1" applyBorder="1" applyAlignment="1">
      <alignment horizontal="left" vertical="top"/>
    </xf>
    <xf numFmtId="0" fontId="3" fillId="0" borderId="18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3" fillId="0" borderId="40" xfId="0" applyFont="1" applyBorder="1" applyAlignment="1">
      <alignment horizontal="left" vertical="top"/>
    </xf>
    <xf numFmtId="0" fontId="3" fillId="0" borderId="41" xfId="0" applyFont="1" applyBorder="1" applyAlignment="1">
      <alignment horizontal="left" vertical="top"/>
    </xf>
    <xf numFmtId="0" fontId="8" fillId="0" borderId="21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18" fillId="2" borderId="26" xfId="1" applyFont="1" applyBorder="1" applyAlignment="1">
      <alignment horizontal="center" vertical="center"/>
    </xf>
    <xf numFmtId="0" fontId="18" fillId="2" borderId="18" xfId="1" applyFont="1" applyBorder="1" applyAlignment="1">
      <alignment horizontal="center" vertical="center"/>
    </xf>
    <xf numFmtId="0" fontId="18" fillId="2" borderId="44" xfId="1" applyFont="1" applyBorder="1" applyAlignment="1">
      <alignment horizontal="center" vertical="center"/>
    </xf>
    <xf numFmtId="0" fontId="15" fillId="0" borderId="7" xfId="0" applyFont="1" applyBorder="1" applyAlignment="1">
      <alignment horizontal="center"/>
    </xf>
    <xf numFmtId="0" fontId="15" fillId="0" borderId="0" xfId="0" applyFont="1" applyAlignment="1">
      <alignment horizontal="center"/>
    </xf>
    <xf numFmtId="43" fontId="20" fillId="0" borderId="11" xfId="0" applyNumberFormat="1" applyFont="1" applyBorder="1" applyAlignment="1">
      <alignment horizontal="center" vertical="top"/>
    </xf>
    <xf numFmtId="0" fontId="20" fillId="0" borderId="11" xfId="0" applyFont="1" applyBorder="1" applyAlignment="1">
      <alignment horizontal="center" vertical="top"/>
    </xf>
    <xf numFmtId="0" fontId="20" fillId="0" borderId="12" xfId="0" applyFont="1" applyBorder="1" applyAlignment="1">
      <alignment horizontal="center" vertical="top"/>
    </xf>
    <xf numFmtId="0" fontId="3" fillId="0" borderId="19" xfId="0" applyFont="1" applyBorder="1" applyAlignment="1">
      <alignment horizontal="left" vertical="top"/>
    </xf>
    <xf numFmtId="0" fontId="8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5" fillId="2" borderId="28" xfId="1" applyFont="1" applyBorder="1" applyAlignment="1">
      <alignment horizontal="center" vertical="center" textRotation="90"/>
    </xf>
    <xf numFmtId="0" fontId="6" fillId="0" borderId="20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4" fillId="2" borderId="21" xfId="1" applyFont="1" applyBorder="1" applyAlignment="1">
      <alignment horizontal="center" vertical="center"/>
    </xf>
    <xf numFmtId="0" fontId="4" fillId="2" borderId="24" xfId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2" borderId="5" xfId="1" applyFont="1" applyBorder="1" applyAlignment="1">
      <alignment horizontal="center"/>
    </xf>
    <xf numFmtId="0" fontId="4" fillId="2" borderId="6" xfId="1" applyFont="1" applyBorder="1" applyAlignment="1">
      <alignment horizontal="center"/>
    </xf>
    <xf numFmtId="0" fontId="5" fillId="2" borderId="1" xfId="1" applyFont="1" applyAlignment="1">
      <alignment horizontal="center"/>
    </xf>
    <xf numFmtId="0" fontId="5" fillId="2" borderId="9" xfId="1" applyFont="1" applyBorder="1" applyAlignment="1">
      <alignment horizontal="center"/>
    </xf>
    <xf numFmtId="0" fontId="6" fillId="0" borderId="13" xfId="0" applyFont="1" applyBorder="1" applyAlignment="1">
      <alignment horizontal="left" vertical="top"/>
    </xf>
    <xf numFmtId="0" fontId="6" fillId="0" borderId="14" xfId="0" applyFont="1" applyBorder="1" applyAlignment="1">
      <alignment horizontal="left" vertical="top"/>
    </xf>
    <xf numFmtId="0" fontId="6" fillId="0" borderId="1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3" fillId="0" borderId="14" xfId="0" applyFont="1" applyBorder="1" applyAlignment="1">
      <alignment horizontal="left" vertical="top"/>
    </xf>
    <xf numFmtId="0" fontId="3" fillId="0" borderId="15" xfId="0" applyFont="1" applyBorder="1" applyAlignment="1">
      <alignment horizontal="left" vertical="top"/>
    </xf>
    <xf numFmtId="0" fontId="8" fillId="0" borderId="16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/>
    </xf>
  </cellXfs>
  <cellStyles count="7">
    <cellStyle name="Excel Built-in Explanatory Text" xfId="6" xr:uid="{00000000-0005-0000-0000-000000000000}"/>
    <cellStyle name="Excel Built-in Output" xfId="5" xr:uid="{00000000-0005-0000-0000-000001000000}"/>
    <cellStyle name="Hiperlink" xfId="4" builtinId="8"/>
    <cellStyle name="Moeda" xfId="3" builtinId="4"/>
    <cellStyle name="Normal" xfId="0" builtinId="0"/>
    <cellStyle name="Saída" xfId="1" builtinId="21"/>
    <cellStyle name="Texto Explicativo" xfId="2" builtinId="5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2042772</xdr:colOff>
      <xdr:row>1</xdr:row>
      <xdr:rowOff>96683</xdr:rowOff>
    </xdr:from>
    <xdr:to>
      <xdr:col>4</xdr:col>
      <xdr:colOff>2991910</xdr:colOff>
      <xdr:row>4</xdr:row>
      <xdr:rowOff>179114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10855" y="308350"/>
          <a:ext cx="949138" cy="71743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2042772</xdr:colOff>
      <xdr:row>1</xdr:row>
      <xdr:rowOff>96683</xdr:rowOff>
    </xdr:from>
    <xdr:ext cx="949138" cy="725368"/>
    <xdr:pic>
      <xdr:nvPicPr>
        <xdr:cNvPr id="2" name="Imagem 1">
          <a:extLst>
            <a:ext uri="{FF2B5EF4-FFF2-40B4-BE49-F238E27FC236}">
              <a16:creationId xmlns:a16="http://schemas.microsoft.com/office/drawing/2014/main" id="{BC5B05D7-D392-4E0D-90EF-FC7D0E2B39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52422" y="287183"/>
          <a:ext cx="949138" cy="72536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file:///C:/Users/anivaldo/Downloads/2022/10%20Outubro/Notas%20Fiscais/NF%20516064%20Jabu%20SA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4"/>
  <sheetViews>
    <sheetView topLeftCell="A42" zoomScale="40" zoomScaleNormal="40" workbookViewId="0">
      <selection activeCell="O64" sqref="A1:O70"/>
    </sheetView>
  </sheetViews>
  <sheetFormatPr defaultRowHeight="15" x14ac:dyDescent="0.25"/>
  <cols>
    <col min="2" max="3" width="10.7109375" customWidth="1"/>
    <col min="4" max="4" width="12.140625" customWidth="1"/>
    <col min="5" max="5" width="66.5703125" customWidth="1"/>
    <col min="6" max="6" width="6.42578125" customWidth="1"/>
    <col min="8" max="8" width="23.7109375" bestFit="1" customWidth="1"/>
    <col min="9" max="9" width="12.42578125" bestFit="1" customWidth="1"/>
    <col min="10" max="10" width="19" bestFit="1" customWidth="1"/>
    <col min="11" max="11" width="18.85546875" bestFit="1" customWidth="1"/>
    <col min="12" max="12" width="29.28515625" bestFit="1" customWidth="1"/>
    <col min="13" max="13" width="18" bestFit="1" customWidth="1"/>
    <col min="14" max="14" width="10.7109375" customWidth="1"/>
    <col min="15" max="15" width="4.7109375" customWidth="1"/>
  </cols>
  <sheetData>
    <row r="1" spans="1:15" ht="17.100000000000001" customHeight="1" x14ac:dyDescent="0.25">
      <c r="A1" s="146" t="s">
        <v>0</v>
      </c>
      <c r="B1" s="147"/>
      <c r="C1" s="147"/>
      <c r="D1" s="147"/>
      <c r="E1" s="147"/>
      <c r="F1" s="147"/>
      <c r="G1" s="147"/>
      <c r="H1" s="147"/>
      <c r="I1" s="148"/>
      <c r="J1" s="155" t="s">
        <v>1</v>
      </c>
      <c r="K1" s="155"/>
      <c r="L1" s="155"/>
      <c r="M1" s="155"/>
      <c r="N1" s="155"/>
      <c r="O1" s="156"/>
    </row>
    <row r="2" spans="1:15" ht="17.100000000000001" customHeight="1" x14ac:dyDescent="0.25">
      <c r="A2" s="149"/>
      <c r="B2" s="150"/>
      <c r="C2" s="150"/>
      <c r="D2" s="150"/>
      <c r="E2" s="150"/>
      <c r="F2" s="150"/>
      <c r="G2" s="150"/>
      <c r="H2" s="150"/>
      <c r="I2" s="151"/>
      <c r="J2" s="157" t="s">
        <v>2</v>
      </c>
      <c r="K2" s="157"/>
      <c r="L2" s="157"/>
      <c r="M2" s="157"/>
      <c r="N2" s="157"/>
      <c r="O2" s="158"/>
    </row>
    <row r="3" spans="1:15" ht="17.100000000000001" customHeight="1" x14ac:dyDescent="0.25">
      <c r="A3" s="149"/>
      <c r="B3" s="150"/>
      <c r="C3" s="150"/>
      <c r="D3" s="150"/>
      <c r="E3" s="150"/>
      <c r="F3" s="150"/>
      <c r="G3" s="150"/>
      <c r="H3" s="150"/>
      <c r="I3" s="151"/>
      <c r="J3" s="157" t="s">
        <v>3</v>
      </c>
      <c r="K3" s="157"/>
      <c r="L3" s="157"/>
      <c r="M3" s="157" t="s">
        <v>4</v>
      </c>
      <c r="N3" s="157"/>
      <c r="O3" s="1"/>
    </row>
    <row r="4" spans="1:15" ht="17.100000000000001" customHeight="1" x14ac:dyDescent="0.25">
      <c r="A4" s="149"/>
      <c r="B4" s="150"/>
      <c r="C4" s="150"/>
      <c r="D4" s="150"/>
      <c r="E4" s="150"/>
      <c r="F4" s="150"/>
      <c r="G4" s="150"/>
      <c r="H4" s="150"/>
      <c r="I4" s="151"/>
      <c r="J4" s="157" t="s">
        <v>5</v>
      </c>
      <c r="K4" s="157"/>
      <c r="L4" s="157"/>
      <c r="M4" s="157" t="s">
        <v>6</v>
      </c>
      <c r="N4" s="157"/>
      <c r="O4" s="2"/>
    </row>
    <row r="5" spans="1:15" ht="17.100000000000001" customHeight="1" x14ac:dyDescent="0.25">
      <c r="A5" s="149"/>
      <c r="B5" s="150"/>
      <c r="C5" s="150"/>
      <c r="D5" s="150"/>
      <c r="E5" s="150"/>
      <c r="F5" s="150"/>
      <c r="G5" s="150"/>
      <c r="H5" s="150"/>
      <c r="I5" s="151"/>
      <c r="J5" s="157" t="s">
        <v>7</v>
      </c>
      <c r="K5" s="157"/>
      <c r="L5" s="157"/>
      <c r="M5" s="157" t="s">
        <v>8</v>
      </c>
      <c r="N5" s="157"/>
      <c r="O5" s="1"/>
    </row>
    <row r="6" spans="1:15" ht="17.100000000000001" customHeight="1" x14ac:dyDescent="0.25">
      <c r="A6" s="152"/>
      <c r="B6" s="153"/>
      <c r="C6" s="153"/>
      <c r="D6" s="153"/>
      <c r="E6" s="153"/>
      <c r="F6" s="153"/>
      <c r="G6" s="153"/>
      <c r="H6" s="153"/>
      <c r="I6" s="154"/>
      <c r="J6" s="157" t="s">
        <v>9</v>
      </c>
      <c r="K6" s="157"/>
      <c r="L6" s="157"/>
      <c r="M6" s="157" t="s">
        <v>10</v>
      </c>
      <c r="N6" s="157"/>
      <c r="O6" s="1"/>
    </row>
    <row r="7" spans="1:15" ht="17.100000000000001" customHeight="1" x14ac:dyDescent="0.25">
      <c r="A7" s="159" t="s">
        <v>11</v>
      </c>
      <c r="B7" s="160"/>
      <c r="C7" s="160"/>
      <c r="D7" s="160"/>
      <c r="E7" s="160"/>
      <c r="F7" s="160"/>
      <c r="G7" s="160"/>
      <c r="H7" s="160"/>
      <c r="I7" s="161"/>
      <c r="J7" s="162" t="s">
        <v>51</v>
      </c>
      <c r="K7" s="163"/>
      <c r="L7" s="163"/>
      <c r="M7" s="163"/>
      <c r="N7" s="164"/>
      <c r="O7" s="88" t="s">
        <v>12</v>
      </c>
    </row>
    <row r="8" spans="1:15" ht="17.100000000000001" customHeight="1" x14ac:dyDescent="0.25">
      <c r="A8" s="117" t="s">
        <v>93</v>
      </c>
      <c r="B8" s="118"/>
      <c r="C8" s="118"/>
      <c r="D8" s="118"/>
      <c r="E8" s="118"/>
      <c r="F8" s="118"/>
      <c r="G8" s="118"/>
      <c r="H8" s="118"/>
      <c r="I8" s="132"/>
      <c r="J8" s="162" t="s">
        <v>13</v>
      </c>
      <c r="K8" s="163"/>
      <c r="L8" s="163"/>
      <c r="M8" s="163"/>
      <c r="N8" s="164"/>
      <c r="O8" s="88"/>
    </row>
    <row r="9" spans="1:15" ht="17.100000000000001" customHeight="1" x14ac:dyDescent="0.25">
      <c r="A9" s="119"/>
      <c r="B9" s="103"/>
      <c r="C9" s="103"/>
      <c r="D9" s="103"/>
      <c r="E9" s="103"/>
      <c r="F9" s="103"/>
      <c r="G9" s="103"/>
      <c r="H9" s="103"/>
      <c r="I9" s="104"/>
      <c r="J9" s="162" t="s">
        <v>14</v>
      </c>
      <c r="K9" s="163"/>
      <c r="L9" s="163"/>
      <c r="M9" s="163"/>
      <c r="N9" s="164"/>
      <c r="O9" s="88"/>
    </row>
    <row r="10" spans="1:15" ht="17.100000000000001" customHeight="1" x14ac:dyDescent="0.25">
      <c r="A10" s="119"/>
      <c r="B10" s="103"/>
      <c r="C10" s="103"/>
      <c r="D10" s="103"/>
      <c r="E10" s="103"/>
      <c r="F10" s="103"/>
      <c r="G10" s="103"/>
      <c r="H10" s="103"/>
      <c r="I10" s="104"/>
      <c r="J10" s="162" t="s">
        <v>15</v>
      </c>
      <c r="K10" s="163"/>
      <c r="L10" s="163"/>
      <c r="M10" s="163"/>
      <c r="N10" s="164"/>
      <c r="O10" s="88"/>
    </row>
    <row r="11" spans="1:15" ht="17.100000000000001" customHeight="1" x14ac:dyDescent="0.25">
      <c r="A11" s="119"/>
      <c r="B11" s="103"/>
      <c r="C11" s="103"/>
      <c r="D11" s="103"/>
      <c r="E11" s="103"/>
      <c r="F11" s="103"/>
      <c r="G11" s="103"/>
      <c r="H11" s="103"/>
      <c r="I11" s="104"/>
      <c r="J11" s="162" t="s">
        <v>50</v>
      </c>
      <c r="K11" s="163"/>
      <c r="L11" s="163"/>
      <c r="M11" s="163"/>
      <c r="N11" s="164"/>
      <c r="O11" s="88"/>
    </row>
    <row r="12" spans="1:15" ht="17.100000000000001" customHeight="1" x14ac:dyDescent="0.25">
      <c r="A12" s="119"/>
      <c r="B12" s="103"/>
      <c r="C12" s="103"/>
      <c r="D12" s="103"/>
      <c r="E12" s="103"/>
      <c r="F12" s="103"/>
      <c r="G12" s="103"/>
      <c r="H12" s="103"/>
      <c r="I12" s="104"/>
      <c r="J12" s="162" t="s">
        <v>81</v>
      </c>
      <c r="K12" s="163"/>
      <c r="L12" s="163"/>
      <c r="M12" s="163"/>
      <c r="N12" s="164"/>
      <c r="O12" s="88"/>
    </row>
    <row r="13" spans="1:15" ht="17.100000000000001" customHeight="1" x14ac:dyDescent="0.25">
      <c r="A13" s="105"/>
      <c r="B13" s="106"/>
      <c r="C13" s="106"/>
      <c r="D13" s="106"/>
      <c r="E13" s="106"/>
      <c r="F13" s="106"/>
      <c r="G13" s="106"/>
      <c r="H13" s="106"/>
      <c r="I13" s="107"/>
      <c r="J13" s="162" t="s">
        <v>80</v>
      </c>
      <c r="K13" s="163"/>
      <c r="L13" s="163"/>
      <c r="M13" s="163"/>
      <c r="N13" s="164"/>
      <c r="O13" s="88"/>
    </row>
    <row r="14" spans="1:15" ht="17.100000000000001" customHeight="1" x14ac:dyDescent="0.25">
      <c r="A14" s="136" t="s">
        <v>16</v>
      </c>
      <c r="B14" s="138" t="s">
        <v>17</v>
      </c>
      <c r="C14" s="138" t="s">
        <v>18</v>
      </c>
      <c r="D14" s="138" t="s">
        <v>19</v>
      </c>
      <c r="E14" s="138" t="s">
        <v>20</v>
      </c>
      <c r="F14" s="138" t="s">
        <v>21</v>
      </c>
      <c r="G14" s="138" t="s">
        <v>22</v>
      </c>
      <c r="H14" s="140" t="s">
        <v>23</v>
      </c>
      <c r="I14" s="140"/>
      <c r="J14" s="140"/>
      <c r="K14" s="140"/>
      <c r="L14" s="141"/>
      <c r="M14" s="138" t="s">
        <v>24</v>
      </c>
      <c r="N14" s="138" t="s">
        <v>25</v>
      </c>
      <c r="O14" s="88" t="s">
        <v>26</v>
      </c>
    </row>
    <row r="15" spans="1:15" ht="17.100000000000001" customHeight="1" x14ac:dyDescent="0.25">
      <c r="A15" s="137"/>
      <c r="B15" s="139"/>
      <c r="C15" s="139"/>
      <c r="D15" s="139"/>
      <c r="E15" s="139"/>
      <c r="F15" s="139"/>
      <c r="G15" s="139"/>
      <c r="H15" s="3" t="s">
        <v>27</v>
      </c>
      <c r="I15" s="4" t="s">
        <v>28</v>
      </c>
      <c r="J15" s="3" t="s">
        <v>29</v>
      </c>
      <c r="K15" s="4" t="s">
        <v>52</v>
      </c>
      <c r="L15" s="3" t="s">
        <v>30</v>
      </c>
      <c r="M15" s="139"/>
      <c r="N15" s="139"/>
      <c r="O15" s="88"/>
    </row>
    <row r="16" spans="1:15" ht="17.100000000000001" customHeight="1" x14ac:dyDescent="0.25">
      <c r="A16" s="5">
        <v>1</v>
      </c>
      <c r="B16" s="6"/>
      <c r="C16" s="7"/>
      <c r="D16" s="7"/>
      <c r="E16" s="8" t="s">
        <v>31</v>
      </c>
      <c r="F16" s="9"/>
      <c r="G16" s="9"/>
      <c r="H16" s="9"/>
      <c r="I16" s="9"/>
      <c r="J16" s="9"/>
      <c r="K16" s="9"/>
      <c r="L16" s="9"/>
      <c r="M16" s="21">
        <f>SUM(M17:M28)</f>
        <v>38868.48187622401</v>
      </c>
      <c r="N16" s="10">
        <f>SUM(N17:N28)</f>
        <v>0.99999999999999989</v>
      </c>
      <c r="O16" s="88"/>
    </row>
    <row r="17" spans="1:15" ht="26.25" customHeight="1" x14ac:dyDescent="0.25">
      <c r="A17" s="17" t="s">
        <v>32</v>
      </c>
      <c r="B17" s="17" t="s">
        <v>33</v>
      </c>
      <c r="C17" s="11" t="s">
        <v>62</v>
      </c>
      <c r="D17" s="11" t="s">
        <v>34</v>
      </c>
      <c r="E17" s="20" t="s">
        <v>63</v>
      </c>
      <c r="F17" s="13" t="s">
        <v>35</v>
      </c>
      <c r="G17" s="17">
        <v>85</v>
      </c>
      <c r="H17" s="64">
        <v>47.89</v>
      </c>
      <c r="I17" s="14">
        <f>H17*0.2232</f>
        <v>10.689048000000001</v>
      </c>
      <c r="J17" s="14">
        <f>H17+I17</f>
        <v>58.579048</v>
      </c>
      <c r="K17" s="14">
        <f>J17*(0.03%)</f>
        <v>1.7573714399999999E-2</v>
      </c>
      <c r="L17" s="14">
        <f>J17-K17</f>
        <v>58.561474285599999</v>
      </c>
      <c r="M17" s="14">
        <f>L17*G17</f>
        <v>4977.7253142760001</v>
      </c>
      <c r="N17" s="14">
        <f>M17/M$16</f>
        <v>0.12806585371992346</v>
      </c>
      <c r="O17" s="135"/>
    </row>
    <row r="18" spans="1:15" ht="26.25" customHeight="1" x14ac:dyDescent="0.25">
      <c r="A18" s="17" t="s">
        <v>66</v>
      </c>
      <c r="B18" s="17" t="s">
        <v>33</v>
      </c>
      <c r="C18" s="11" t="s">
        <v>54</v>
      </c>
      <c r="D18" s="11" t="s">
        <v>34</v>
      </c>
      <c r="E18" s="20" t="s">
        <v>55</v>
      </c>
      <c r="F18" s="13" t="s">
        <v>35</v>
      </c>
      <c r="G18" s="17">
        <v>85</v>
      </c>
      <c r="H18" s="64">
        <v>36.11</v>
      </c>
      <c r="I18" s="14">
        <f t="shared" ref="I18:I28" si="0">H18*0.2232</f>
        <v>8.0597519999999996</v>
      </c>
      <c r="J18" s="14">
        <f t="shared" ref="J18:J28" si="1">H18+I18</f>
        <v>44.169752000000003</v>
      </c>
      <c r="K18" s="14">
        <f t="shared" ref="K18:K28" si="2">J18*(0.03%)</f>
        <v>1.32509256E-2</v>
      </c>
      <c r="L18" s="14">
        <f t="shared" ref="L18:L28" si="3">J18-K18</f>
        <v>44.156501074400005</v>
      </c>
      <c r="M18" s="14">
        <f t="shared" ref="M18:M28" si="4">L18*G18</f>
        <v>3753.3025913240003</v>
      </c>
      <c r="N18" s="14">
        <f t="shared" ref="N18:N28" si="5">M18/M$16</f>
        <v>9.656416742172555E-2</v>
      </c>
      <c r="O18" s="135"/>
    </row>
    <row r="19" spans="1:15" ht="26.25" customHeight="1" x14ac:dyDescent="0.25">
      <c r="A19" s="17" t="s">
        <v>67</v>
      </c>
      <c r="B19" s="17" t="s">
        <v>33</v>
      </c>
      <c r="C19" s="11" t="s">
        <v>54</v>
      </c>
      <c r="D19" s="11" t="s">
        <v>34</v>
      </c>
      <c r="E19" s="20" t="s">
        <v>55</v>
      </c>
      <c r="F19" s="13" t="s">
        <v>35</v>
      </c>
      <c r="G19" s="17">
        <v>80</v>
      </c>
      <c r="H19" s="64">
        <v>36.11</v>
      </c>
      <c r="I19" s="14">
        <f t="shared" si="0"/>
        <v>8.0597519999999996</v>
      </c>
      <c r="J19" s="14">
        <f t="shared" si="1"/>
        <v>44.169752000000003</v>
      </c>
      <c r="K19" s="14">
        <f t="shared" si="2"/>
        <v>1.32509256E-2</v>
      </c>
      <c r="L19" s="14">
        <f t="shared" si="3"/>
        <v>44.156501074400005</v>
      </c>
      <c r="M19" s="14">
        <f t="shared" si="4"/>
        <v>3532.5200859520005</v>
      </c>
      <c r="N19" s="14">
        <f t="shared" si="5"/>
        <v>9.0883922279271112E-2</v>
      </c>
      <c r="O19" s="135"/>
    </row>
    <row r="20" spans="1:15" ht="26.25" customHeight="1" x14ac:dyDescent="0.25">
      <c r="A20" s="17" t="s">
        <v>68</v>
      </c>
      <c r="B20" s="17" t="s">
        <v>33</v>
      </c>
      <c r="C20" s="11" t="s">
        <v>56</v>
      </c>
      <c r="D20" s="11" t="s">
        <v>34</v>
      </c>
      <c r="E20" s="20" t="s">
        <v>57</v>
      </c>
      <c r="F20" s="13" t="s">
        <v>35</v>
      </c>
      <c r="G20" s="17">
        <v>80</v>
      </c>
      <c r="H20" s="64">
        <v>29.77</v>
      </c>
      <c r="I20" s="14">
        <f t="shared" si="0"/>
        <v>6.6446640000000006</v>
      </c>
      <c r="J20" s="14">
        <f t="shared" si="1"/>
        <v>36.414664000000002</v>
      </c>
      <c r="K20" s="14">
        <f t="shared" si="2"/>
        <v>1.0924399199999999E-2</v>
      </c>
      <c r="L20" s="14">
        <f t="shared" si="3"/>
        <v>36.403739600800002</v>
      </c>
      <c r="M20" s="14">
        <f t="shared" si="4"/>
        <v>2912.2991680640002</v>
      </c>
      <c r="N20" s="14">
        <f t="shared" si="5"/>
        <v>7.4927010973522584E-2</v>
      </c>
      <c r="O20" s="135"/>
    </row>
    <row r="21" spans="1:15" ht="26.25" customHeight="1" x14ac:dyDescent="0.25">
      <c r="A21" s="17" t="s">
        <v>69</v>
      </c>
      <c r="B21" s="17" t="s">
        <v>33</v>
      </c>
      <c r="C21" s="11" t="s">
        <v>56</v>
      </c>
      <c r="D21" s="11" t="s">
        <v>34</v>
      </c>
      <c r="E21" s="20" t="s">
        <v>57</v>
      </c>
      <c r="F21" s="13" t="s">
        <v>35</v>
      </c>
      <c r="G21" s="17">
        <v>80</v>
      </c>
      <c r="H21" s="64">
        <v>29.77</v>
      </c>
      <c r="I21" s="14">
        <f t="shared" si="0"/>
        <v>6.6446640000000006</v>
      </c>
      <c r="J21" s="14">
        <f t="shared" si="1"/>
        <v>36.414664000000002</v>
      </c>
      <c r="K21" s="14">
        <f t="shared" si="2"/>
        <v>1.0924399199999999E-2</v>
      </c>
      <c r="L21" s="14">
        <f t="shared" si="3"/>
        <v>36.403739600800002</v>
      </c>
      <c r="M21" s="14">
        <f t="shared" si="4"/>
        <v>2912.2991680640002</v>
      </c>
      <c r="N21" s="14">
        <f t="shared" si="5"/>
        <v>7.4927010973522584E-2</v>
      </c>
      <c r="O21" s="135"/>
    </row>
    <row r="22" spans="1:15" ht="26.25" customHeight="1" x14ac:dyDescent="0.25">
      <c r="A22" s="17" t="s">
        <v>70</v>
      </c>
      <c r="B22" s="17" t="s">
        <v>33</v>
      </c>
      <c r="C22" s="11" t="s">
        <v>58</v>
      </c>
      <c r="D22" s="11" t="s">
        <v>34</v>
      </c>
      <c r="E22" s="20" t="s">
        <v>59</v>
      </c>
      <c r="F22" s="13" t="s">
        <v>35</v>
      </c>
      <c r="G22" s="17">
        <v>80</v>
      </c>
      <c r="H22" s="64">
        <v>32.57</v>
      </c>
      <c r="I22" s="14">
        <f t="shared" si="0"/>
        <v>7.2696240000000003</v>
      </c>
      <c r="J22" s="14">
        <f t="shared" si="1"/>
        <v>39.839624000000001</v>
      </c>
      <c r="K22" s="14">
        <f t="shared" si="2"/>
        <v>1.1951887199999999E-2</v>
      </c>
      <c r="L22" s="14">
        <f t="shared" si="3"/>
        <v>39.827672112800002</v>
      </c>
      <c r="M22" s="14">
        <f t="shared" si="4"/>
        <v>3186.2137690240002</v>
      </c>
      <c r="N22" s="14">
        <f t="shared" si="5"/>
        <v>8.1974227323064516E-2</v>
      </c>
      <c r="O22" s="135"/>
    </row>
    <row r="23" spans="1:15" ht="26.25" customHeight="1" x14ac:dyDescent="0.25">
      <c r="A23" s="17" t="s">
        <v>71</v>
      </c>
      <c r="B23" s="17" t="s">
        <v>33</v>
      </c>
      <c r="C23" s="11" t="s">
        <v>58</v>
      </c>
      <c r="D23" s="11" t="s">
        <v>34</v>
      </c>
      <c r="E23" s="20" t="s">
        <v>59</v>
      </c>
      <c r="F23" s="13" t="s">
        <v>35</v>
      </c>
      <c r="G23" s="17">
        <v>80</v>
      </c>
      <c r="H23" s="64">
        <v>32.57</v>
      </c>
      <c r="I23" s="14">
        <f t="shared" si="0"/>
        <v>7.2696240000000003</v>
      </c>
      <c r="J23" s="14">
        <f t="shared" si="1"/>
        <v>39.839624000000001</v>
      </c>
      <c r="K23" s="14">
        <f t="shared" si="2"/>
        <v>1.1951887199999999E-2</v>
      </c>
      <c r="L23" s="14">
        <f t="shared" si="3"/>
        <v>39.827672112800002</v>
      </c>
      <c r="M23" s="14">
        <f t="shared" si="4"/>
        <v>3186.2137690240002</v>
      </c>
      <c r="N23" s="14">
        <f t="shared" si="5"/>
        <v>8.1974227323064516E-2</v>
      </c>
      <c r="O23" s="135"/>
    </row>
    <row r="24" spans="1:15" ht="26.25" customHeight="1" x14ac:dyDescent="0.25">
      <c r="A24" s="17" t="s">
        <v>72</v>
      </c>
      <c r="B24" s="17" t="s">
        <v>33</v>
      </c>
      <c r="C24" s="11" t="s">
        <v>60</v>
      </c>
      <c r="D24" s="11" t="s">
        <v>34</v>
      </c>
      <c r="E24" s="20" t="s">
        <v>61</v>
      </c>
      <c r="F24" s="13" t="s">
        <v>35</v>
      </c>
      <c r="G24" s="17">
        <v>80</v>
      </c>
      <c r="H24" s="64">
        <v>30.38</v>
      </c>
      <c r="I24" s="14">
        <f t="shared" si="0"/>
        <v>6.7808159999999997</v>
      </c>
      <c r="J24" s="14">
        <f t="shared" si="1"/>
        <v>37.160815999999997</v>
      </c>
      <c r="K24" s="14">
        <f t="shared" si="2"/>
        <v>1.1148244799999998E-2</v>
      </c>
      <c r="L24" s="14">
        <f t="shared" si="3"/>
        <v>37.149667755199999</v>
      </c>
      <c r="M24" s="14">
        <f t="shared" si="4"/>
        <v>2971.973420416</v>
      </c>
      <c r="N24" s="14">
        <f t="shared" si="5"/>
        <v>7.6462297392529924E-2</v>
      </c>
      <c r="O24" s="135"/>
    </row>
    <row r="25" spans="1:15" ht="26.25" customHeight="1" x14ac:dyDescent="0.25">
      <c r="A25" s="17" t="s">
        <v>73</v>
      </c>
      <c r="B25" s="17" t="s">
        <v>33</v>
      </c>
      <c r="C25" s="11" t="s">
        <v>60</v>
      </c>
      <c r="D25" s="11" t="s">
        <v>34</v>
      </c>
      <c r="E25" s="20" t="s">
        <v>61</v>
      </c>
      <c r="F25" s="13" t="s">
        <v>35</v>
      </c>
      <c r="G25" s="17">
        <v>80</v>
      </c>
      <c r="H25" s="64">
        <v>30.38</v>
      </c>
      <c r="I25" s="14">
        <f t="shared" si="0"/>
        <v>6.7808159999999997</v>
      </c>
      <c r="J25" s="14">
        <f t="shared" si="1"/>
        <v>37.160815999999997</v>
      </c>
      <c r="K25" s="14">
        <f t="shared" si="2"/>
        <v>1.1148244799999998E-2</v>
      </c>
      <c r="L25" s="14">
        <f t="shared" si="3"/>
        <v>37.149667755199999</v>
      </c>
      <c r="M25" s="14">
        <f t="shared" si="4"/>
        <v>2971.973420416</v>
      </c>
      <c r="N25" s="14">
        <f t="shared" si="5"/>
        <v>7.6462297392529924E-2</v>
      </c>
      <c r="O25" s="135"/>
    </row>
    <row r="26" spans="1:15" ht="26.25" customHeight="1" x14ac:dyDescent="0.25">
      <c r="A26" s="17" t="s">
        <v>74</v>
      </c>
      <c r="B26" s="17" t="s">
        <v>33</v>
      </c>
      <c r="C26" s="11" t="s">
        <v>60</v>
      </c>
      <c r="D26" s="11" t="s">
        <v>34</v>
      </c>
      <c r="E26" s="20" t="s">
        <v>61</v>
      </c>
      <c r="F26" s="13" t="s">
        <v>35</v>
      </c>
      <c r="G26" s="17">
        <v>80</v>
      </c>
      <c r="H26" s="64">
        <v>30.38</v>
      </c>
      <c r="I26" s="14">
        <f t="shared" si="0"/>
        <v>6.7808159999999997</v>
      </c>
      <c r="J26" s="14">
        <f t="shared" si="1"/>
        <v>37.160815999999997</v>
      </c>
      <c r="K26" s="14">
        <f t="shared" si="2"/>
        <v>1.1148244799999998E-2</v>
      </c>
      <c r="L26" s="14">
        <f t="shared" si="3"/>
        <v>37.149667755199999</v>
      </c>
      <c r="M26" s="14">
        <f t="shared" si="4"/>
        <v>2971.973420416</v>
      </c>
      <c r="N26" s="14">
        <f t="shared" si="5"/>
        <v>7.6462297392529924E-2</v>
      </c>
      <c r="O26" s="135"/>
    </row>
    <row r="27" spans="1:15" ht="26.25" customHeight="1" x14ac:dyDescent="0.25">
      <c r="A27" s="17" t="s">
        <v>75</v>
      </c>
      <c r="B27" s="17" t="s">
        <v>33</v>
      </c>
      <c r="C27" s="11" t="s">
        <v>64</v>
      </c>
      <c r="D27" s="11" t="s">
        <v>34</v>
      </c>
      <c r="E27" s="12" t="s">
        <v>65</v>
      </c>
      <c r="F27" s="13" t="s">
        <v>35</v>
      </c>
      <c r="G27" s="17">
        <v>80</v>
      </c>
      <c r="H27" s="64">
        <v>28.07</v>
      </c>
      <c r="I27" s="14">
        <f t="shared" si="0"/>
        <v>6.2652239999999999</v>
      </c>
      <c r="J27" s="14">
        <f t="shared" si="1"/>
        <v>34.335223999999997</v>
      </c>
      <c r="K27" s="14">
        <f t="shared" si="2"/>
        <v>1.0300567199999998E-2</v>
      </c>
      <c r="L27" s="14">
        <f t="shared" si="3"/>
        <v>34.324923432799999</v>
      </c>
      <c r="M27" s="14">
        <f t="shared" si="4"/>
        <v>2745.993874624</v>
      </c>
      <c r="N27" s="14">
        <f t="shared" si="5"/>
        <v>7.0648343904157834E-2</v>
      </c>
      <c r="O27" s="135"/>
    </row>
    <row r="28" spans="1:15" ht="26.25" customHeight="1" x14ac:dyDescent="0.25">
      <c r="A28" s="17" t="s">
        <v>76</v>
      </c>
      <c r="B28" s="17" t="s">
        <v>33</v>
      </c>
      <c r="C28" s="11" t="s">
        <v>64</v>
      </c>
      <c r="D28" s="11" t="s">
        <v>34</v>
      </c>
      <c r="E28" s="12" t="s">
        <v>65</v>
      </c>
      <c r="F28" s="13" t="s">
        <v>35</v>
      </c>
      <c r="G28" s="17">
        <v>80</v>
      </c>
      <c r="H28" s="64">
        <v>28.07</v>
      </c>
      <c r="I28" s="14">
        <f t="shared" si="0"/>
        <v>6.2652239999999999</v>
      </c>
      <c r="J28" s="14">
        <f t="shared" si="1"/>
        <v>34.335223999999997</v>
      </c>
      <c r="K28" s="14">
        <f t="shared" si="2"/>
        <v>1.0300567199999998E-2</v>
      </c>
      <c r="L28" s="14">
        <f t="shared" si="3"/>
        <v>34.324923432799999</v>
      </c>
      <c r="M28" s="14">
        <f t="shared" si="4"/>
        <v>2745.993874624</v>
      </c>
      <c r="N28" s="14">
        <f t="shared" si="5"/>
        <v>7.0648343904157834E-2</v>
      </c>
      <c r="O28" s="135"/>
    </row>
    <row r="29" spans="1:15" x14ac:dyDescent="0.25">
      <c r="A29" s="136" t="s">
        <v>16</v>
      </c>
      <c r="B29" s="138" t="s">
        <v>17</v>
      </c>
      <c r="C29" s="138" t="s">
        <v>18</v>
      </c>
      <c r="D29" s="138" t="s">
        <v>19</v>
      </c>
      <c r="E29" s="138" t="s">
        <v>20</v>
      </c>
      <c r="F29" s="138" t="s">
        <v>21</v>
      </c>
      <c r="G29" s="138" t="s">
        <v>22</v>
      </c>
      <c r="H29" s="140" t="s">
        <v>23</v>
      </c>
      <c r="I29" s="140"/>
      <c r="J29" s="140"/>
      <c r="K29" s="140"/>
      <c r="L29" s="141"/>
      <c r="M29" s="138" t="s">
        <v>24</v>
      </c>
      <c r="N29" s="138" t="s">
        <v>25</v>
      </c>
      <c r="O29" s="135"/>
    </row>
    <row r="30" spans="1:15" ht="17.100000000000001" customHeight="1" x14ac:dyDescent="0.25">
      <c r="A30" s="137"/>
      <c r="B30" s="139"/>
      <c r="C30" s="139"/>
      <c r="D30" s="139"/>
      <c r="E30" s="139"/>
      <c r="F30" s="139"/>
      <c r="G30" s="139"/>
      <c r="H30" s="3" t="s">
        <v>27</v>
      </c>
      <c r="I30" s="26" t="s">
        <v>36</v>
      </c>
      <c r="J30" s="3" t="s">
        <v>29</v>
      </c>
      <c r="K30" s="4" t="s">
        <v>52</v>
      </c>
      <c r="L30" s="3" t="s">
        <v>30</v>
      </c>
      <c r="M30" s="139"/>
      <c r="N30" s="139"/>
      <c r="O30" s="88"/>
    </row>
    <row r="31" spans="1:15" ht="17.100000000000001" customHeight="1" x14ac:dyDescent="0.25">
      <c r="A31" s="15">
        <v>2</v>
      </c>
      <c r="B31" s="142" t="s">
        <v>37</v>
      </c>
      <c r="C31" s="142"/>
      <c r="D31" s="143"/>
      <c r="E31" s="143"/>
      <c r="F31" s="143"/>
      <c r="G31" s="16"/>
      <c r="H31" s="16"/>
      <c r="I31" s="16"/>
      <c r="J31" s="16"/>
      <c r="K31" s="16"/>
      <c r="L31" s="16"/>
      <c r="M31" s="22">
        <f>SUM(M32:M37)</f>
        <v>0</v>
      </c>
      <c r="N31" s="16"/>
      <c r="O31" s="135"/>
    </row>
    <row r="32" spans="1:15" x14ac:dyDescent="0.25">
      <c r="A32" s="18"/>
      <c r="B32" s="18"/>
      <c r="C32" s="18"/>
      <c r="D32" s="18"/>
      <c r="E32" s="25"/>
      <c r="F32" s="18"/>
      <c r="G32" s="18"/>
      <c r="H32" s="43"/>
      <c r="I32" s="14"/>
      <c r="J32" s="14"/>
      <c r="K32" s="14"/>
      <c r="L32" s="14"/>
      <c r="M32" s="14"/>
      <c r="N32" s="14"/>
      <c r="O32" s="135"/>
    </row>
    <row r="33" spans="1:15" x14ac:dyDescent="0.25">
      <c r="A33" s="18"/>
      <c r="B33" s="18"/>
      <c r="C33" s="18"/>
      <c r="D33" s="18"/>
      <c r="E33" s="25"/>
      <c r="F33" s="18"/>
      <c r="G33" s="18"/>
      <c r="H33" s="43"/>
      <c r="I33" s="14"/>
      <c r="J33" s="14"/>
      <c r="K33" s="14"/>
      <c r="L33" s="14"/>
      <c r="M33" s="14"/>
      <c r="N33" s="14"/>
      <c r="O33" s="135"/>
    </row>
    <row r="34" spans="1:15" x14ac:dyDescent="0.25">
      <c r="A34" s="18"/>
      <c r="B34" s="18"/>
      <c r="C34" s="18"/>
      <c r="D34" s="18"/>
      <c r="E34" s="25"/>
      <c r="F34" s="18"/>
      <c r="G34" s="18"/>
      <c r="H34" s="43"/>
      <c r="I34" s="14"/>
      <c r="J34" s="14"/>
      <c r="K34" s="14"/>
      <c r="L34" s="14"/>
      <c r="M34" s="14"/>
      <c r="N34" s="14"/>
      <c r="O34" s="135"/>
    </row>
    <row r="35" spans="1:15" x14ac:dyDescent="0.25">
      <c r="A35" s="18"/>
      <c r="B35" s="18"/>
      <c r="C35" s="18"/>
      <c r="D35" s="18"/>
      <c r="E35" s="25"/>
      <c r="F35" s="18"/>
      <c r="G35" s="18"/>
      <c r="H35" s="43"/>
      <c r="I35" s="14"/>
      <c r="J35" s="14"/>
      <c r="K35" s="14"/>
      <c r="L35" s="14"/>
      <c r="M35" s="14"/>
      <c r="N35" s="14"/>
      <c r="O35" s="135"/>
    </row>
    <row r="36" spans="1:15" s="19" customFormat="1" ht="17.100000000000001" customHeight="1" x14ac:dyDescent="0.2">
      <c r="A36" s="18"/>
      <c r="B36" s="18"/>
      <c r="C36" s="18"/>
      <c r="D36" s="18"/>
      <c r="E36" s="45"/>
      <c r="F36" s="18"/>
      <c r="G36" s="18"/>
      <c r="H36" s="42"/>
      <c r="I36" s="14"/>
      <c r="J36" s="14"/>
      <c r="K36" s="14"/>
      <c r="L36" s="14"/>
      <c r="M36" s="14"/>
      <c r="N36" s="14"/>
      <c r="O36" s="135"/>
    </row>
    <row r="37" spans="1:15" s="19" customFormat="1" ht="17.100000000000001" customHeight="1" x14ac:dyDescent="0.2">
      <c r="A37" s="18"/>
      <c r="B37" s="18"/>
      <c r="C37" s="23"/>
      <c r="D37" s="18"/>
      <c r="E37" s="24"/>
      <c r="F37" s="18"/>
      <c r="G37" s="18"/>
      <c r="H37" s="27"/>
      <c r="I37" s="14"/>
      <c r="J37" s="14"/>
      <c r="K37" s="14"/>
      <c r="L37" s="14"/>
      <c r="M37" s="14"/>
      <c r="N37" s="14"/>
      <c r="O37" s="135"/>
    </row>
    <row r="38" spans="1:15" s="28" customFormat="1" ht="17.100000000000001" customHeight="1" x14ac:dyDescent="0.25">
      <c r="A38" s="144" t="s">
        <v>16</v>
      </c>
      <c r="B38" s="122" t="s">
        <v>17</v>
      </c>
      <c r="C38" s="122" t="s">
        <v>18</v>
      </c>
      <c r="D38" s="122" t="s">
        <v>19</v>
      </c>
      <c r="E38" s="122" t="s">
        <v>20</v>
      </c>
      <c r="F38" s="122" t="s">
        <v>21</v>
      </c>
      <c r="G38" s="122" t="s">
        <v>22</v>
      </c>
      <c r="H38" s="133" t="s">
        <v>23</v>
      </c>
      <c r="I38" s="133"/>
      <c r="J38" s="133"/>
      <c r="K38" s="133"/>
      <c r="L38" s="134"/>
      <c r="M38" s="122" t="s">
        <v>24</v>
      </c>
      <c r="N38" s="122" t="s">
        <v>25</v>
      </c>
      <c r="O38" s="88"/>
    </row>
    <row r="39" spans="1:15" s="28" customFormat="1" ht="17.100000000000001" customHeight="1" x14ac:dyDescent="0.25">
      <c r="A39" s="145"/>
      <c r="B39" s="123"/>
      <c r="C39" s="123"/>
      <c r="D39" s="123"/>
      <c r="E39" s="123"/>
      <c r="F39" s="123"/>
      <c r="G39" s="123"/>
      <c r="H39" s="4" t="s">
        <v>27</v>
      </c>
      <c r="I39" s="4" t="s">
        <v>28</v>
      </c>
      <c r="J39" s="4" t="s">
        <v>29</v>
      </c>
      <c r="K39" s="4" t="s">
        <v>53</v>
      </c>
      <c r="L39" s="4" t="s">
        <v>30</v>
      </c>
      <c r="M39" s="123"/>
      <c r="N39" s="123"/>
      <c r="O39" s="88"/>
    </row>
    <row r="40" spans="1:15" s="29" customFormat="1" ht="17.100000000000001" customHeight="1" x14ac:dyDescent="0.2">
      <c r="A40" s="30">
        <v>3</v>
      </c>
      <c r="B40" s="124" t="s">
        <v>38</v>
      </c>
      <c r="C40" s="125"/>
      <c r="D40" s="125"/>
      <c r="E40" s="125"/>
      <c r="F40" s="126"/>
      <c r="G40" s="31"/>
      <c r="H40" s="31"/>
      <c r="I40" s="31"/>
      <c r="J40" s="31"/>
      <c r="K40" s="31"/>
      <c r="L40" s="31"/>
      <c r="M40" s="32">
        <f>SUM(M41:M43)</f>
        <v>6158.1871894400001</v>
      </c>
      <c r="N40" s="31"/>
      <c r="O40" s="88"/>
    </row>
    <row r="41" spans="1:15" s="29" customFormat="1" ht="26.25" customHeight="1" x14ac:dyDescent="0.2">
      <c r="A41" s="33" t="s">
        <v>77</v>
      </c>
      <c r="B41" s="33" t="s">
        <v>33</v>
      </c>
      <c r="C41" s="33" t="s">
        <v>58</v>
      </c>
      <c r="D41" s="33" t="s">
        <v>34</v>
      </c>
      <c r="E41" s="34" t="s">
        <v>59</v>
      </c>
      <c r="F41" s="35" t="s">
        <v>35</v>
      </c>
      <c r="G41" s="33">
        <v>80</v>
      </c>
      <c r="H41" s="64">
        <v>32.57</v>
      </c>
      <c r="I41" s="37">
        <f>H41*0.2232</f>
        <v>7.2696240000000003</v>
      </c>
      <c r="J41" s="37">
        <f>H41+I41</f>
        <v>39.839624000000001</v>
      </c>
      <c r="K41" s="37">
        <f>J41*(0.03%)</f>
        <v>1.1951887199999999E-2</v>
      </c>
      <c r="L41" s="37">
        <f>J41-K41</f>
        <v>39.827672112800002</v>
      </c>
      <c r="M41" s="37">
        <f>L41*G41</f>
        <v>3186.2137690240002</v>
      </c>
      <c r="N41" s="37">
        <f>M41/M$16</f>
        <v>8.1974227323064516E-2</v>
      </c>
      <c r="O41" s="135"/>
    </row>
    <row r="42" spans="1:15" s="29" customFormat="1" ht="23.25" customHeight="1" x14ac:dyDescent="0.2">
      <c r="A42" s="33" t="s">
        <v>82</v>
      </c>
      <c r="B42" s="33" t="s">
        <v>33</v>
      </c>
      <c r="C42" s="33" t="s">
        <v>60</v>
      </c>
      <c r="D42" s="33" t="s">
        <v>34</v>
      </c>
      <c r="E42" s="34" t="s">
        <v>61</v>
      </c>
      <c r="F42" s="35" t="s">
        <v>35</v>
      </c>
      <c r="G42" s="60">
        <v>80</v>
      </c>
      <c r="H42" s="64">
        <v>30.38</v>
      </c>
      <c r="I42" s="37">
        <f t="shared" ref="I42" si="6">H42*0.2232</f>
        <v>6.7808159999999997</v>
      </c>
      <c r="J42" s="37">
        <f t="shared" ref="J42" si="7">H42+I42</f>
        <v>37.160815999999997</v>
      </c>
      <c r="K42" s="37">
        <f t="shared" ref="K42" si="8">J42*(0.03%)</f>
        <v>1.1148244799999998E-2</v>
      </c>
      <c r="L42" s="37">
        <f t="shared" ref="L42" si="9">J42-K42</f>
        <v>37.149667755199999</v>
      </c>
      <c r="M42" s="37">
        <f t="shared" ref="M42" si="10">L42*G42</f>
        <v>2971.973420416</v>
      </c>
      <c r="N42" s="37">
        <f>M42/M$16</f>
        <v>7.6462297392529924E-2</v>
      </c>
      <c r="O42" s="135"/>
    </row>
    <row r="43" spans="1:15" s="28" customFormat="1" ht="26.25" customHeight="1" x14ac:dyDescent="0.25">
      <c r="A43" s="11" t="s">
        <v>78</v>
      </c>
      <c r="B43" s="11" t="s">
        <v>33</v>
      </c>
      <c r="C43" s="11">
        <v>88310</v>
      </c>
      <c r="D43" s="11" t="s">
        <v>34</v>
      </c>
      <c r="E43" s="20" t="s">
        <v>83</v>
      </c>
      <c r="F43" s="13" t="s">
        <v>35</v>
      </c>
      <c r="G43" s="11">
        <v>0</v>
      </c>
      <c r="H43" s="64">
        <v>35.880000000000003</v>
      </c>
      <c r="I43" s="14">
        <f>H43*0.2232</f>
        <v>8.0084160000000004</v>
      </c>
      <c r="J43" s="14">
        <f>H43+I43</f>
        <v>43.888416000000007</v>
      </c>
      <c r="K43" s="14">
        <f>J43*(0.03%)</f>
        <v>1.3166524800000001E-2</v>
      </c>
      <c r="L43" s="14">
        <f>J43-K43</f>
        <v>43.875249475200008</v>
      </c>
      <c r="M43" s="14">
        <f>L43*G43</f>
        <v>0</v>
      </c>
      <c r="N43" s="14">
        <f>M43/M$16</f>
        <v>0</v>
      </c>
      <c r="O43" s="135"/>
    </row>
    <row r="44" spans="1:15" s="41" customFormat="1" ht="17.100000000000001" customHeight="1" x14ac:dyDescent="0.2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135"/>
    </row>
    <row r="45" spans="1:15" s="41" customFormat="1" ht="17.100000000000001" customHeight="1" x14ac:dyDescent="0.2">
      <c r="A45" s="127"/>
      <c r="B45" s="128"/>
      <c r="C45" s="128"/>
      <c r="D45" s="128"/>
      <c r="E45" s="128"/>
      <c r="F45" s="128"/>
      <c r="G45" s="128"/>
      <c r="H45" s="39" t="s">
        <v>39</v>
      </c>
      <c r="I45" s="40"/>
      <c r="J45" s="129">
        <f>M16+M31+M40</f>
        <v>45026.669065664013</v>
      </c>
      <c r="K45" s="130"/>
      <c r="L45" s="130"/>
      <c r="M45" s="130"/>
      <c r="N45" s="131"/>
      <c r="O45" s="88"/>
    </row>
    <row r="46" spans="1:15" ht="17.100000000000001" customHeight="1" x14ac:dyDescent="0.25">
      <c r="A46" s="102" t="s">
        <v>79</v>
      </c>
      <c r="B46" s="103"/>
      <c r="C46" s="103"/>
      <c r="D46" s="103"/>
      <c r="E46" s="103"/>
      <c r="F46" s="103"/>
      <c r="G46" s="103"/>
      <c r="H46" s="118"/>
      <c r="I46" s="118"/>
      <c r="J46" s="118"/>
      <c r="K46" s="118"/>
      <c r="L46" s="118"/>
      <c r="M46" s="118"/>
      <c r="N46" s="132"/>
      <c r="O46" s="88"/>
    </row>
    <row r="47" spans="1:15" ht="17.100000000000001" customHeight="1" x14ac:dyDescent="0.25">
      <c r="A47" s="119"/>
      <c r="B47" s="103"/>
      <c r="C47" s="103"/>
      <c r="D47" s="103"/>
      <c r="E47" s="103"/>
      <c r="F47" s="103"/>
      <c r="G47" s="103"/>
      <c r="H47" s="103"/>
      <c r="I47" s="103"/>
      <c r="J47" s="103"/>
      <c r="K47" s="103"/>
      <c r="L47" s="103"/>
      <c r="M47" s="103"/>
      <c r="N47" s="104"/>
      <c r="O47" s="88"/>
    </row>
    <row r="48" spans="1:15" ht="17.100000000000001" customHeight="1" x14ac:dyDescent="0.25">
      <c r="A48" s="119"/>
      <c r="B48" s="103"/>
      <c r="C48" s="103"/>
      <c r="D48" s="103"/>
      <c r="E48" s="103"/>
      <c r="F48" s="103"/>
      <c r="G48" s="103"/>
      <c r="H48" s="103"/>
      <c r="I48" s="103"/>
      <c r="J48" s="103"/>
      <c r="K48" s="103"/>
      <c r="L48" s="103"/>
      <c r="M48" s="103"/>
      <c r="N48" s="104"/>
      <c r="O48" s="88"/>
    </row>
    <row r="49" spans="1:15" ht="17.100000000000001" customHeight="1" x14ac:dyDescent="0.25">
      <c r="A49" s="119"/>
      <c r="B49" s="103"/>
      <c r="C49" s="103"/>
      <c r="D49" s="103"/>
      <c r="E49" s="103"/>
      <c r="F49" s="103"/>
      <c r="G49" s="103"/>
      <c r="H49" s="103"/>
      <c r="I49" s="103"/>
      <c r="J49" s="103"/>
      <c r="K49" s="103"/>
      <c r="L49" s="103"/>
      <c r="M49" s="103"/>
      <c r="N49" s="104"/>
      <c r="O49" s="88"/>
    </row>
    <row r="50" spans="1:15" ht="17.100000000000001" customHeight="1" x14ac:dyDescent="0.25">
      <c r="A50" s="119"/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4"/>
      <c r="O50" s="88"/>
    </row>
    <row r="51" spans="1:15" ht="17.100000000000001" customHeight="1" x14ac:dyDescent="0.25">
      <c r="A51" s="119"/>
      <c r="B51" s="103"/>
      <c r="C51" s="103"/>
      <c r="D51" s="103"/>
      <c r="E51" s="103"/>
      <c r="F51" s="103"/>
      <c r="G51" s="103"/>
      <c r="H51" s="103"/>
      <c r="I51" s="103"/>
      <c r="J51" s="103"/>
      <c r="K51" s="103"/>
      <c r="L51" s="103"/>
      <c r="M51" s="103"/>
      <c r="N51" s="104"/>
      <c r="O51" s="88"/>
    </row>
    <row r="52" spans="1:15" ht="17.100000000000001" customHeight="1" x14ac:dyDescent="0.25">
      <c r="A52" s="105"/>
      <c r="B52" s="106"/>
      <c r="C52" s="106"/>
      <c r="D52" s="106"/>
      <c r="E52" s="106"/>
      <c r="F52" s="106"/>
      <c r="G52" s="106"/>
      <c r="H52" s="106"/>
      <c r="I52" s="106"/>
      <c r="J52" s="106"/>
      <c r="K52" s="106"/>
      <c r="L52" s="106"/>
      <c r="M52" s="106"/>
      <c r="N52" s="107"/>
      <c r="O52" s="88"/>
    </row>
    <row r="53" spans="1:15" ht="17.100000000000001" customHeight="1" x14ac:dyDescent="0.25">
      <c r="A53" s="76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8"/>
    </row>
    <row r="54" spans="1:15" ht="17.100000000000001" customHeight="1" x14ac:dyDescent="0.25">
      <c r="A54" s="79" t="s">
        <v>40</v>
      </c>
      <c r="B54" s="80"/>
      <c r="C54" s="80"/>
      <c r="D54" s="80"/>
      <c r="E54" s="80"/>
      <c r="F54" s="80"/>
      <c r="G54" s="81" t="s">
        <v>41</v>
      </c>
      <c r="H54" s="81"/>
      <c r="I54" s="81"/>
      <c r="J54" s="81"/>
      <c r="K54" s="82"/>
      <c r="L54" s="83"/>
      <c r="M54" s="83"/>
      <c r="N54" s="84"/>
      <c r="O54" s="88" t="s">
        <v>42</v>
      </c>
    </row>
    <row r="55" spans="1:15" ht="17.100000000000001" customHeight="1" x14ac:dyDescent="0.25">
      <c r="A55" s="90" t="s">
        <v>43</v>
      </c>
      <c r="B55" s="91"/>
      <c r="C55" s="91"/>
      <c r="D55" s="91"/>
      <c r="E55" s="91"/>
      <c r="F55" s="92"/>
      <c r="G55" s="96" t="s">
        <v>44</v>
      </c>
      <c r="H55" s="91"/>
      <c r="I55" s="91"/>
      <c r="J55" s="92"/>
      <c r="K55" s="85"/>
      <c r="L55" s="86"/>
      <c r="M55" s="86"/>
      <c r="N55" s="87"/>
      <c r="O55" s="88"/>
    </row>
    <row r="56" spans="1:15" ht="17.100000000000001" customHeight="1" x14ac:dyDescent="0.25">
      <c r="A56" s="93"/>
      <c r="B56" s="94"/>
      <c r="C56" s="94"/>
      <c r="D56" s="94"/>
      <c r="E56" s="94"/>
      <c r="F56" s="95"/>
      <c r="G56" s="97"/>
      <c r="H56" s="94"/>
      <c r="I56" s="94"/>
      <c r="J56" s="95"/>
      <c r="K56" s="85"/>
      <c r="L56" s="86"/>
      <c r="M56" s="86"/>
      <c r="N56" s="87"/>
      <c r="O56" s="88"/>
    </row>
    <row r="57" spans="1:15" ht="17.100000000000001" customHeight="1" x14ac:dyDescent="0.25">
      <c r="A57" s="93"/>
      <c r="B57" s="94"/>
      <c r="C57" s="94"/>
      <c r="D57" s="94"/>
      <c r="E57" s="94"/>
      <c r="F57" s="95"/>
      <c r="G57" s="97"/>
      <c r="H57" s="94"/>
      <c r="I57" s="94"/>
      <c r="J57" s="95"/>
      <c r="K57" s="85"/>
      <c r="L57" s="86"/>
      <c r="M57" s="86"/>
      <c r="N57" s="87"/>
      <c r="O57" s="88"/>
    </row>
    <row r="58" spans="1:15" ht="17.100000000000001" customHeight="1" x14ac:dyDescent="0.25">
      <c r="A58" s="93"/>
      <c r="B58" s="94"/>
      <c r="C58" s="94"/>
      <c r="D58" s="94"/>
      <c r="E58" s="94"/>
      <c r="F58" s="95"/>
      <c r="G58" s="97"/>
      <c r="H58" s="94"/>
      <c r="I58" s="94"/>
      <c r="J58" s="95"/>
      <c r="K58" s="85"/>
      <c r="L58" s="86"/>
      <c r="M58" s="86"/>
      <c r="N58" s="87"/>
      <c r="O58" s="88"/>
    </row>
    <row r="59" spans="1:15" ht="17.100000000000001" customHeight="1" x14ac:dyDescent="0.25">
      <c r="A59" s="93"/>
      <c r="B59" s="94"/>
      <c r="C59" s="94"/>
      <c r="D59" s="94"/>
      <c r="E59" s="94"/>
      <c r="F59" s="95"/>
      <c r="G59" s="97"/>
      <c r="H59" s="94"/>
      <c r="I59" s="94"/>
      <c r="J59" s="95"/>
      <c r="K59" s="85"/>
      <c r="L59" s="86"/>
      <c r="M59" s="86"/>
      <c r="N59" s="87"/>
      <c r="O59" s="88"/>
    </row>
    <row r="60" spans="1:15" ht="17.100000000000001" customHeight="1" x14ac:dyDescent="0.25">
      <c r="A60" s="93"/>
      <c r="B60" s="94"/>
      <c r="C60" s="94"/>
      <c r="D60" s="94"/>
      <c r="E60" s="94"/>
      <c r="F60" s="95"/>
      <c r="G60" s="97"/>
      <c r="H60" s="94"/>
      <c r="I60" s="94"/>
      <c r="J60" s="95"/>
      <c r="K60" s="85"/>
      <c r="L60" s="86"/>
      <c r="M60" s="86"/>
      <c r="N60" s="87"/>
      <c r="O60" s="88"/>
    </row>
    <row r="61" spans="1:15" ht="17.100000000000001" customHeight="1" x14ac:dyDescent="0.25">
      <c r="A61" s="93"/>
      <c r="B61" s="94"/>
      <c r="C61" s="94"/>
      <c r="D61" s="94"/>
      <c r="E61" s="94"/>
      <c r="F61" s="95"/>
      <c r="G61" s="97"/>
      <c r="H61" s="94"/>
      <c r="I61" s="94"/>
      <c r="J61" s="95"/>
      <c r="K61" s="85"/>
      <c r="L61" s="86"/>
      <c r="M61" s="86"/>
      <c r="N61" s="87"/>
      <c r="O61" s="88"/>
    </row>
    <row r="62" spans="1:15" ht="17.100000000000001" customHeight="1" thickBot="1" x14ac:dyDescent="0.3">
      <c r="A62" s="93"/>
      <c r="B62" s="94"/>
      <c r="C62" s="94"/>
      <c r="D62" s="94"/>
      <c r="E62" s="94"/>
      <c r="F62" s="95"/>
      <c r="G62" s="97"/>
      <c r="H62" s="94"/>
      <c r="I62" s="94"/>
      <c r="J62" s="95"/>
      <c r="K62" s="85"/>
      <c r="L62" s="86"/>
      <c r="M62" s="86"/>
      <c r="N62" s="87"/>
      <c r="O62" s="89"/>
    </row>
    <row r="63" spans="1:15" ht="17.100000000000001" customHeight="1" thickBot="1" x14ac:dyDescent="0.3">
      <c r="A63" s="99"/>
      <c r="B63" s="100"/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1"/>
    </row>
    <row r="64" spans="1:15" ht="17.100000000000001" customHeight="1" x14ac:dyDescent="0.25">
      <c r="A64" s="102" t="s">
        <v>45</v>
      </c>
      <c r="B64" s="103"/>
      <c r="C64" s="103"/>
      <c r="D64" s="104"/>
      <c r="E64" s="108" t="s">
        <v>46</v>
      </c>
      <c r="F64" s="103"/>
      <c r="G64" s="103"/>
      <c r="H64" s="103"/>
      <c r="I64" s="103"/>
      <c r="J64" s="103"/>
      <c r="K64" s="110" t="s">
        <v>47</v>
      </c>
      <c r="L64" s="77"/>
      <c r="M64" s="77"/>
      <c r="N64" s="77"/>
      <c r="O64" s="114" t="s">
        <v>48</v>
      </c>
    </row>
    <row r="65" spans="1:19" ht="17.100000000000001" customHeight="1" x14ac:dyDescent="0.25">
      <c r="A65" s="105"/>
      <c r="B65" s="106"/>
      <c r="C65" s="106"/>
      <c r="D65" s="107"/>
      <c r="E65" s="109"/>
      <c r="F65" s="106"/>
      <c r="G65" s="106"/>
      <c r="H65" s="106"/>
      <c r="I65" s="106"/>
      <c r="J65" s="106"/>
      <c r="K65" s="111"/>
      <c r="L65" s="77"/>
      <c r="M65" s="77"/>
      <c r="N65" s="77"/>
      <c r="O65" s="115"/>
    </row>
    <row r="66" spans="1:19" ht="17.100000000000001" customHeight="1" x14ac:dyDescent="0.25">
      <c r="A66" s="117" t="s">
        <v>49</v>
      </c>
      <c r="B66" s="118"/>
      <c r="C66" s="118"/>
      <c r="D66" s="118"/>
      <c r="E66" s="118"/>
      <c r="F66" s="118"/>
      <c r="G66" s="118"/>
      <c r="H66" s="118"/>
      <c r="I66" s="118"/>
      <c r="J66" s="118"/>
      <c r="K66" s="111"/>
      <c r="L66" s="77"/>
      <c r="M66" s="77"/>
      <c r="N66" s="77"/>
      <c r="O66" s="115"/>
    </row>
    <row r="67" spans="1:19" ht="17.100000000000001" customHeight="1" x14ac:dyDescent="0.25">
      <c r="A67" s="119"/>
      <c r="B67" s="103"/>
      <c r="C67" s="103"/>
      <c r="D67" s="103"/>
      <c r="E67" s="103"/>
      <c r="F67" s="103"/>
      <c r="G67" s="103"/>
      <c r="H67" s="103"/>
      <c r="I67" s="103"/>
      <c r="J67" s="103"/>
      <c r="K67" s="111"/>
      <c r="L67" s="77"/>
      <c r="M67" s="77"/>
      <c r="N67" s="77"/>
      <c r="O67" s="115"/>
    </row>
    <row r="68" spans="1:19" ht="17.100000000000001" customHeight="1" x14ac:dyDescent="0.25">
      <c r="A68" s="119"/>
      <c r="B68" s="103"/>
      <c r="C68" s="103"/>
      <c r="D68" s="103"/>
      <c r="E68" s="103"/>
      <c r="F68" s="103"/>
      <c r="G68" s="103"/>
      <c r="H68" s="103"/>
      <c r="I68" s="103"/>
      <c r="J68" s="103"/>
      <c r="K68" s="111"/>
      <c r="L68" s="77"/>
      <c r="M68" s="77"/>
      <c r="N68" s="77"/>
      <c r="O68" s="115"/>
    </row>
    <row r="69" spans="1:19" ht="17.100000000000001" customHeight="1" x14ac:dyDescent="0.25">
      <c r="A69" s="119"/>
      <c r="B69" s="103"/>
      <c r="C69" s="103"/>
      <c r="D69" s="103"/>
      <c r="E69" s="103"/>
      <c r="F69" s="103"/>
      <c r="G69" s="103"/>
      <c r="H69" s="103"/>
      <c r="I69" s="103"/>
      <c r="J69" s="103"/>
      <c r="K69" s="111"/>
      <c r="L69" s="77"/>
      <c r="M69" s="77"/>
      <c r="N69" s="77"/>
      <c r="O69" s="115"/>
    </row>
    <row r="70" spans="1:19" ht="17.100000000000001" customHeight="1" thickBot="1" x14ac:dyDescent="0.3">
      <c r="A70" s="120"/>
      <c r="B70" s="121"/>
      <c r="C70" s="121"/>
      <c r="D70" s="121"/>
      <c r="E70" s="121"/>
      <c r="F70" s="121"/>
      <c r="G70" s="121"/>
      <c r="H70" s="121"/>
      <c r="I70" s="121"/>
      <c r="J70" s="121"/>
      <c r="K70" s="112"/>
      <c r="L70" s="113"/>
      <c r="M70" s="113"/>
      <c r="N70" s="113"/>
      <c r="O70" s="116"/>
    </row>
    <row r="71" spans="1:19" ht="14.1" customHeight="1" x14ac:dyDescent="0.25">
      <c r="A71" s="98"/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</row>
    <row r="72" spans="1:19" ht="14.1" customHeight="1" x14ac:dyDescent="0.25"/>
    <row r="73" spans="1:19" ht="14.1" customHeight="1" x14ac:dyDescent="0.25"/>
    <row r="74" spans="1:19" ht="14.1" customHeight="1" x14ac:dyDescent="0.25"/>
  </sheetData>
  <sortState xmlns:xlrd2="http://schemas.microsoft.com/office/spreadsheetml/2017/richdata2" ref="A32:N76">
    <sortCondition ref="E32:E76"/>
  </sortState>
  <mergeCells count="72">
    <mergeCell ref="A7:I7"/>
    <mergeCell ref="J7:N7"/>
    <mergeCell ref="O7:O13"/>
    <mergeCell ref="A8:I13"/>
    <mergeCell ref="J8:N8"/>
    <mergeCell ref="J9:N9"/>
    <mergeCell ref="J10:N10"/>
    <mergeCell ref="J11:N11"/>
    <mergeCell ref="J12:N12"/>
    <mergeCell ref="J13:N13"/>
    <mergeCell ref="A1:I6"/>
    <mergeCell ref="J1:O1"/>
    <mergeCell ref="J2:O2"/>
    <mergeCell ref="J3:L3"/>
    <mergeCell ref="M3:N3"/>
    <mergeCell ref="J4:L4"/>
    <mergeCell ref="M4:N4"/>
    <mergeCell ref="J5:L5"/>
    <mergeCell ref="M5:N5"/>
    <mergeCell ref="J6:L6"/>
    <mergeCell ref="M6:N6"/>
    <mergeCell ref="A14:A15"/>
    <mergeCell ref="B14:B15"/>
    <mergeCell ref="C14:C15"/>
    <mergeCell ref="D14:D15"/>
    <mergeCell ref="E14:E15"/>
    <mergeCell ref="F14:F15"/>
    <mergeCell ref="G14:G15"/>
    <mergeCell ref="H14:L14"/>
    <mergeCell ref="M14:M15"/>
    <mergeCell ref="N14:N15"/>
    <mergeCell ref="O14:O52"/>
    <mergeCell ref="A29:A30"/>
    <mergeCell ref="B29:B30"/>
    <mergeCell ref="C29:C30"/>
    <mergeCell ref="D29:D30"/>
    <mergeCell ref="E29:E30"/>
    <mergeCell ref="F29:F30"/>
    <mergeCell ref="G29:G30"/>
    <mergeCell ref="H29:L29"/>
    <mergeCell ref="M29:M30"/>
    <mergeCell ref="N29:N30"/>
    <mergeCell ref="B31:F31"/>
    <mergeCell ref="A38:A39"/>
    <mergeCell ref="B38:B39"/>
    <mergeCell ref="C38:C39"/>
    <mergeCell ref="D38:D39"/>
    <mergeCell ref="N38:N39"/>
    <mergeCell ref="B40:F40"/>
    <mergeCell ref="A45:G45"/>
    <mergeCell ref="J45:N45"/>
    <mergeCell ref="A46:N52"/>
    <mergeCell ref="E38:E39"/>
    <mergeCell ref="F38:F39"/>
    <mergeCell ref="G38:G39"/>
    <mergeCell ref="H38:L38"/>
    <mergeCell ref="M38:M39"/>
    <mergeCell ref="A71:J71"/>
    <mergeCell ref="K71:S71"/>
    <mergeCell ref="A63:O63"/>
    <mergeCell ref="A64:D65"/>
    <mergeCell ref="E64:J65"/>
    <mergeCell ref="K64:N70"/>
    <mergeCell ref="O64:O70"/>
    <mergeCell ref="A66:J70"/>
    <mergeCell ref="A53:O53"/>
    <mergeCell ref="A54:F54"/>
    <mergeCell ref="G54:J54"/>
    <mergeCell ref="K54:N62"/>
    <mergeCell ref="O54:O62"/>
    <mergeCell ref="A55:F62"/>
    <mergeCell ref="G55:J62"/>
  </mergeCells>
  <phoneticPr fontId="13" type="noConversion"/>
  <pageMargins left="0.25" right="0.25" top="0.75" bottom="0.75" header="0.3" footer="0.3"/>
  <pageSetup paperSize="9" scale="5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CD571-78AC-4AA0-B5B6-31ADA82436CA}">
  <dimension ref="A1:S115"/>
  <sheetViews>
    <sheetView tabSelected="1" topLeftCell="A88" zoomScale="55" zoomScaleNormal="55" workbookViewId="0">
      <selection activeCell="O105" sqref="A1:O111"/>
    </sheetView>
  </sheetViews>
  <sheetFormatPr defaultRowHeight="15" x14ac:dyDescent="0.25"/>
  <cols>
    <col min="2" max="3" width="10.7109375" customWidth="1"/>
    <col min="4" max="4" width="12.140625" customWidth="1"/>
    <col min="5" max="5" width="66.5703125" customWidth="1"/>
    <col min="6" max="6" width="6.42578125" customWidth="1"/>
    <col min="8" max="8" width="23.7109375" bestFit="1" customWidth="1"/>
    <col min="9" max="9" width="12.42578125" bestFit="1" customWidth="1"/>
    <col min="10" max="10" width="19" bestFit="1" customWidth="1"/>
    <col min="11" max="11" width="18.85546875" bestFit="1" customWidth="1"/>
    <col min="12" max="12" width="29.28515625" bestFit="1" customWidth="1"/>
    <col min="13" max="13" width="18" bestFit="1" customWidth="1"/>
    <col min="14" max="14" width="10.7109375" customWidth="1"/>
    <col min="15" max="15" width="4.7109375" customWidth="1"/>
  </cols>
  <sheetData>
    <row r="1" spans="1:15" ht="17.100000000000001" customHeight="1" x14ac:dyDescent="0.25">
      <c r="A1" s="146" t="s">
        <v>0</v>
      </c>
      <c r="B1" s="147"/>
      <c r="C1" s="147"/>
      <c r="D1" s="147"/>
      <c r="E1" s="147"/>
      <c r="F1" s="147"/>
      <c r="G1" s="147"/>
      <c r="H1" s="147"/>
      <c r="I1" s="148"/>
      <c r="J1" s="155" t="s">
        <v>1</v>
      </c>
      <c r="K1" s="155"/>
      <c r="L1" s="155"/>
      <c r="M1" s="155"/>
      <c r="N1" s="155"/>
      <c r="O1" s="156"/>
    </row>
    <row r="2" spans="1:15" ht="17.100000000000001" customHeight="1" x14ac:dyDescent="0.25">
      <c r="A2" s="149"/>
      <c r="B2" s="150"/>
      <c r="C2" s="150"/>
      <c r="D2" s="150"/>
      <c r="E2" s="150"/>
      <c r="F2" s="150"/>
      <c r="G2" s="150"/>
      <c r="H2" s="150"/>
      <c r="I2" s="151"/>
      <c r="J2" s="157" t="s">
        <v>2</v>
      </c>
      <c r="K2" s="157"/>
      <c r="L2" s="157"/>
      <c r="M2" s="157"/>
      <c r="N2" s="157"/>
      <c r="O2" s="158"/>
    </row>
    <row r="3" spans="1:15" ht="17.100000000000001" customHeight="1" x14ac:dyDescent="0.25">
      <c r="A3" s="149"/>
      <c r="B3" s="150"/>
      <c r="C3" s="150"/>
      <c r="D3" s="150"/>
      <c r="E3" s="150"/>
      <c r="F3" s="150"/>
      <c r="G3" s="150"/>
      <c r="H3" s="150"/>
      <c r="I3" s="151"/>
      <c r="J3" s="157" t="s">
        <v>3</v>
      </c>
      <c r="K3" s="157"/>
      <c r="L3" s="157"/>
      <c r="M3" s="157" t="s">
        <v>4</v>
      </c>
      <c r="N3" s="157"/>
      <c r="O3" s="1"/>
    </row>
    <row r="4" spans="1:15" ht="17.100000000000001" customHeight="1" x14ac:dyDescent="0.25">
      <c r="A4" s="149"/>
      <c r="B4" s="150"/>
      <c r="C4" s="150"/>
      <c r="D4" s="150"/>
      <c r="E4" s="150"/>
      <c r="F4" s="150"/>
      <c r="G4" s="150"/>
      <c r="H4" s="150"/>
      <c r="I4" s="151"/>
      <c r="J4" s="157" t="s">
        <v>5</v>
      </c>
      <c r="K4" s="157"/>
      <c r="L4" s="157"/>
      <c r="M4" s="157" t="s">
        <v>6</v>
      </c>
      <c r="N4" s="157"/>
      <c r="O4" s="2"/>
    </row>
    <row r="5" spans="1:15" ht="17.100000000000001" customHeight="1" x14ac:dyDescent="0.25">
      <c r="A5" s="149"/>
      <c r="B5" s="150"/>
      <c r="C5" s="150"/>
      <c r="D5" s="150"/>
      <c r="E5" s="150"/>
      <c r="F5" s="150"/>
      <c r="G5" s="150"/>
      <c r="H5" s="150"/>
      <c r="I5" s="151"/>
      <c r="J5" s="157" t="s">
        <v>7</v>
      </c>
      <c r="K5" s="157"/>
      <c r="L5" s="157"/>
      <c r="M5" s="157" t="s">
        <v>8</v>
      </c>
      <c r="N5" s="157"/>
      <c r="O5" s="1"/>
    </row>
    <row r="6" spans="1:15" ht="17.100000000000001" customHeight="1" x14ac:dyDescent="0.25">
      <c r="A6" s="152"/>
      <c r="B6" s="153"/>
      <c r="C6" s="153"/>
      <c r="D6" s="153"/>
      <c r="E6" s="153"/>
      <c r="F6" s="153"/>
      <c r="G6" s="153"/>
      <c r="H6" s="153"/>
      <c r="I6" s="154"/>
      <c r="J6" s="157" t="s">
        <v>9</v>
      </c>
      <c r="K6" s="157"/>
      <c r="L6" s="157"/>
      <c r="M6" s="157" t="s">
        <v>10</v>
      </c>
      <c r="N6" s="157"/>
      <c r="O6" s="1"/>
    </row>
    <row r="7" spans="1:15" ht="17.100000000000001" customHeight="1" x14ac:dyDescent="0.25">
      <c r="A7" s="159" t="s">
        <v>11</v>
      </c>
      <c r="B7" s="160"/>
      <c r="C7" s="160"/>
      <c r="D7" s="160"/>
      <c r="E7" s="160"/>
      <c r="F7" s="160"/>
      <c r="G7" s="160"/>
      <c r="H7" s="160"/>
      <c r="I7" s="161"/>
      <c r="J7" s="162" t="s">
        <v>51</v>
      </c>
      <c r="K7" s="163"/>
      <c r="L7" s="163"/>
      <c r="M7" s="163"/>
      <c r="N7" s="164"/>
      <c r="O7" s="88" t="s">
        <v>12</v>
      </c>
    </row>
    <row r="8" spans="1:15" ht="17.100000000000001" customHeight="1" x14ac:dyDescent="0.25">
      <c r="A8" s="117" t="s">
        <v>188</v>
      </c>
      <c r="B8" s="118"/>
      <c r="C8" s="118"/>
      <c r="D8" s="118"/>
      <c r="E8" s="118"/>
      <c r="F8" s="118"/>
      <c r="G8" s="118"/>
      <c r="H8" s="118"/>
      <c r="I8" s="132"/>
      <c r="J8" s="162" t="s">
        <v>13</v>
      </c>
      <c r="K8" s="163"/>
      <c r="L8" s="163"/>
      <c r="M8" s="163"/>
      <c r="N8" s="164"/>
      <c r="O8" s="88"/>
    </row>
    <row r="9" spans="1:15" ht="17.100000000000001" customHeight="1" x14ac:dyDescent="0.25">
      <c r="A9" s="119"/>
      <c r="B9" s="103"/>
      <c r="C9" s="103"/>
      <c r="D9" s="103"/>
      <c r="E9" s="103"/>
      <c r="F9" s="103"/>
      <c r="G9" s="103"/>
      <c r="H9" s="103"/>
      <c r="I9" s="104"/>
      <c r="J9" s="162" t="s">
        <v>14</v>
      </c>
      <c r="K9" s="163"/>
      <c r="L9" s="163"/>
      <c r="M9" s="163"/>
      <c r="N9" s="164"/>
      <c r="O9" s="88"/>
    </row>
    <row r="10" spans="1:15" ht="17.100000000000001" customHeight="1" x14ac:dyDescent="0.25">
      <c r="A10" s="119"/>
      <c r="B10" s="103"/>
      <c r="C10" s="103"/>
      <c r="D10" s="103"/>
      <c r="E10" s="103"/>
      <c r="F10" s="103"/>
      <c r="G10" s="103"/>
      <c r="H10" s="103"/>
      <c r="I10" s="104"/>
      <c r="J10" s="162" t="s">
        <v>15</v>
      </c>
      <c r="K10" s="163"/>
      <c r="L10" s="163"/>
      <c r="M10" s="163"/>
      <c r="N10" s="164"/>
      <c r="O10" s="88"/>
    </row>
    <row r="11" spans="1:15" ht="17.100000000000001" customHeight="1" x14ac:dyDescent="0.25">
      <c r="A11" s="119"/>
      <c r="B11" s="103"/>
      <c r="C11" s="103"/>
      <c r="D11" s="103"/>
      <c r="E11" s="103"/>
      <c r="F11" s="103"/>
      <c r="G11" s="103"/>
      <c r="H11" s="103"/>
      <c r="I11" s="104"/>
      <c r="J11" s="162" t="s">
        <v>50</v>
      </c>
      <c r="K11" s="163"/>
      <c r="L11" s="163"/>
      <c r="M11" s="163"/>
      <c r="N11" s="164"/>
      <c r="O11" s="88"/>
    </row>
    <row r="12" spans="1:15" ht="17.100000000000001" customHeight="1" x14ac:dyDescent="0.25">
      <c r="A12" s="119"/>
      <c r="B12" s="103"/>
      <c r="C12" s="103"/>
      <c r="D12" s="103"/>
      <c r="E12" s="103"/>
      <c r="F12" s="103"/>
      <c r="G12" s="103"/>
      <c r="H12" s="103"/>
      <c r="I12" s="104"/>
      <c r="J12" s="162" t="s">
        <v>187</v>
      </c>
      <c r="K12" s="163"/>
      <c r="L12" s="163"/>
      <c r="M12" s="163"/>
      <c r="N12" s="164"/>
      <c r="O12" s="88"/>
    </row>
    <row r="13" spans="1:15" ht="17.100000000000001" customHeight="1" x14ac:dyDescent="0.25">
      <c r="A13" s="105"/>
      <c r="B13" s="106"/>
      <c r="C13" s="106"/>
      <c r="D13" s="106"/>
      <c r="E13" s="106"/>
      <c r="F13" s="106"/>
      <c r="G13" s="106"/>
      <c r="H13" s="106"/>
      <c r="I13" s="107"/>
      <c r="J13" s="162" t="s">
        <v>186</v>
      </c>
      <c r="K13" s="163"/>
      <c r="L13" s="163"/>
      <c r="M13" s="163"/>
      <c r="N13" s="164"/>
      <c r="O13" s="88"/>
    </row>
    <row r="14" spans="1:15" ht="17.100000000000001" customHeight="1" x14ac:dyDescent="0.25">
      <c r="A14" s="136" t="s">
        <v>16</v>
      </c>
      <c r="B14" s="138" t="s">
        <v>17</v>
      </c>
      <c r="C14" s="138" t="s">
        <v>18</v>
      </c>
      <c r="D14" s="138" t="s">
        <v>19</v>
      </c>
      <c r="E14" s="138" t="s">
        <v>20</v>
      </c>
      <c r="F14" s="138" t="s">
        <v>21</v>
      </c>
      <c r="G14" s="138" t="s">
        <v>22</v>
      </c>
      <c r="H14" s="140" t="s">
        <v>23</v>
      </c>
      <c r="I14" s="140"/>
      <c r="J14" s="140"/>
      <c r="K14" s="140"/>
      <c r="L14" s="141"/>
      <c r="M14" s="138" t="s">
        <v>24</v>
      </c>
      <c r="N14" s="138" t="s">
        <v>25</v>
      </c>
      <c r="O14" s="88" t="s">
        <v>26</v>
      </c>
    </row>
    <row r="15" spans="1:15" ht="17.100000000000001" customHeight="1" x14ac:dyDescent="0.25">
      <c r="A15" s="137"/>
      <c r="B15" s="139"/>
      <c r="C15" s="139"/>
      <c r="D15" s="139"/>
      <c r="E15" s="139"/>
      <c r="F15" s="139"/>
      <c r="G15" s="139"/>
      <c r="H15" s="3" t="s">
        <v>27</v>
      </c>
      <c r="I15" s="4" t="s">
        <v>28</v>
      </c>
      <c r="J15" s="3" t="s">
        <v>29</v>
      </c>
      <c r="K15" s="4" t="s">
        <v>52</v>
      </c>
      <c r="L15" s="3" t="s">
        <v>30</v>
      </c>
      <c r="M15" s="139"/>
      <c r="N15" s="139"/>
      <c r="O15" s="88"/>
    </row>
    <row r="16" spans="1:15" ht="17.100000000000001" customHeight="1" x14ac:dyDescent="0.25">
      <c r="A16" s="5">
        <v>1</v>
      </c>
      <c r="B16" s="6"/>
      <c r="C16" s="7"/>
      <c r="D16" s="7"/>
      <c r="E16" s="8" t="s">
        <v>31</v>
      </c>
      <c r="F16" s="9"/>
      <c r="G16" s="9"/>
      <c r="H16" s="9"/>
      <c r="I16" s="9"/>
      <c r="J16" s="9"/>
      <c r="K16" s="9"/>
      <c r="L16" s="9"/>
      <c r="M16" s="21">
        <f>SUM(M17:M28)</f>
        <v>61802.960108032006</v>
      </c>
      <c r="N16" s="10">
        <f>SUM(N17:N28)</f>
        <v>1</v>
      </c>
      <c r="O16" s="88"/>
    </row>
    <row r="17" spans="1:15" ht="26.25" customHeight="1" x14ac:dyDescent="0.25">
      <c r="A17" s="17" t="s">
        <v>32</v>
      </c>
      <c r="B17" s="17" t="s">
        <v>33</v>
      </c>
      <c r="C17" s="11">
        <v>90776</v>
      </c>
      <c r="D17" s="11" t="s">
        <v>34</v>
      </c>
      <c r="E17" s="20" t="s">
        <v>63</v>
      </c>
      <c r="F17" s="13" t="s">
        <v>35</v>
      </c>
      <c r="G17" s="59">
        <f>117.5+30</f>
        <v>147.5</v>
      </c>
      <c r="H17" s="63">
        <v>47.89</v>
      </c>
      <c r="I17" s="14">
        <f t="shared" ref="I17:I28" si="0">H17*0.2232</f>
        <v>10.689048000000001</v>
      </c>
      <c r="J17" s="14">
        <f t="shared" ref="J17:J28" si="1">H17+I17</f>
        <v>58.579048</v>
      </c>
      <c r="K17" s="14">
        <f t="shared" ref="K17:K28" si="2">J17*(0.03%)</f>
        <v>1.7573714399999999E-2</v>
      </c>
      <c r="L17" s="14">
        <f t="shared" ref="L17:L28" si="3">J17-K17</f>
        <v>58.561474285599999</v>
      </c>
      <c r="M17" s="14">
        <f t="shared" ref="M17:M28" si="4">L17*G17</f>
        <v>8637.8174571260006</v>
      </c>
      <c r="N17" s="14">
        <f t="shared" ref="N17:N28" si="5">M17/M$16</f>
        <v>0.13976381458148662</v>
      </c>
      <c r="O17" s="135"/>
    </row>
    <row r="18" spans="1:15" ht="26.25" customHeight="1" x14ac:dyDescent="0.25">
      <c r="A18" s="17" t="s">
        <v>66</v>
      </c>
      <c r="B18" s="17" t="s">
        <v>33</v>
      </c>
      <c r="C18" s="11">
        <v>88267</v>
      </c>
      <c r="D18" s="11" t="s">
        <v>34</v>
      </c>
      <c r="E18" s="20" t="s">
        <v>55</v>
      </c>
      <c r="F18" s="13" t="s">
        <v>35</v>
      </c>
      <c r="G18" s="59">
        <f>114.5+30</f>
        <v>144.5</v>
      </c>
      <c r="H18" s="63">
        <v>36.11</v>
      </c>
      <c r="I18" s="14">
        <f t="shared" si="0"/>
        <v>8.0597519999999996</v>
      </c>
      <c r="J18" s="14">
        <f t="shared" si="1"/>
        <v>44.169752000000003</v>
      </c>
      <c r="K18" s="14">
        <f t="shared" si="2"/>
        <v>1.32509256E-2</v>
      </c>
      <c r="L18" s="14">
        <f t="shared" si="3"/>
        <v>44.156501074400005</v>
      </c>
      <c r="M18" s="14">
        <f t="shared" si="4"/>
        <v>6380.6144052508007</v>
      </c>
      <c r="N18" s="14">
        <f t="shared" si="5"/>
        <v>0.10324124271875396</v>
      </c>
      <c r="O18" s="135"/>
    </row>
    <row r="19" spans="1:15" ht="26.25" customHeight="1" x14ac:dyDescent="0.25">
      <c r="A19" s="17" t="s">
        <v>67</v>
      </c>
      <c r="B19" s="17" t="s">
        <v>33</v>
      </c>
      <c r="C19" s="11" t="s">
        <v>54</v>
      </c>
      <c r="D19" s="11" t="s">
        <v>34</v>
      </c>
      <c r="E19" s="20" t="s">
        <v>55</v>
      </c>
      <c r="F19" s="13" t="s">
        <v>35</v>
      </c>
      <c r="G19" s="59">
        <f>100+30</f>
        <v>130</v>
      </c>
      <c r="H19" s="63">
        <v>36.11</v>
      </c>
      <c r="I19" s="14">
        <f t="shared" si="0"/>
        <v>8.0597519999999996</v>
      </c>
      <c r="J19" s="14">
        <f t="shared" si="1"/>
        <v>44.169752000000003</v>
      </c>
      <c r="K19" s="14">
        <f t="shared" si="2"/>
        <v>1.32509256E-2</v>
      </c>
      <c r="L19" s="14">
        <f t="shared" si="3"/>
        <v>44.156501074400005</v>
      </c>
      <c r="M19" s="14">
        <f t="shared" si="4"/>
        <v>5740.3451396720002</v>
      </c>
      <c r="N19" s="14">
        <f t="shared" si="5"/>
        <v>9.2881394833481068E-2</v>
      </c>
      <c r="O19" s="135"/>
    </row>
    <row r="20" spans="1:15" ht="26.25" customHeight="1" x14ac:dyDescent="0.25">
      <c r="A20" s="17" t="s">
        <v>68</v>
      </c>
      <c r="B20" s="17" t="s">
        <v>33</v>
      </c>
      <c r="C20" s="11">
        <v>88248</v>
      </c>
      <c r="D20" s="11" t="s">
        <v>34</v>
      </c>
      <c r="E20" s="20" t="s">
        <v>57</v>
      </c>
      <c r="F20" s="13" t="s">
        <v>35</v>
      </c>
      <c r="G20" s="59">
        <f>110+45</f>
        <v>155</v>
      </c>
      <c r="H20" s="63">
        <v>29.77</v>
      </c>
      <c r="I20" s="14">
        <f t="shared" si="0"/>
        <v>6.6446640000000006</v>
      </c>
      <c r="J20" s="14">
        <f t="shared" si="1"/>
        <v>36.414664000000002</v>
      </c>
      <c r="K20" s="14">
        <f t="shared" si="2"/>
        <v>1.0924399199999999E-2</v>
      </c>
      <c r="L20" s="14">
        <f t="shared" si="3"/>
        <v>36.403739600800002</v>
      </c>
      <c r="M20" s="14">
        <f t="shared" si="4"/>
        <v>5642.5796381240007</v>
      </c>
      <c r="N20" s="14">
        <f t="shared" si="5"/>
        <v>9.1299504558693179E-2</v>
      </c>
      <c r="O20" s="135"/>
    </row>
    <row r="21" spans="1:15" ht="26.25" customHeight="1" x14ac:dyDescent="0.25">
      <c r="A21" s="17" t="s">
        <v>69</v>
      </c>
      <c r="B21" s="17" t="s">
        <v>33</v>
      </c>
      <c r="C21" s="11" t="s">
        <v>56</v>
      </c>
      <c r="D21" s="11" t="s">
        <v>34</v>
      </c>
      <c r="E21" s="20" t="s">
        <v>57</v>
      </c>
      <c r="F21" s="13" t="s">
        <v>35</v>
      </c>
      <c r="G21" s="59">
        <f>100+45</f>
        <v>145</v>
      </c>
      <c r="H21" s="63">
        <v>29.77</v>
      </c>
      <c r="I21" s="14">
        <f t="shared" si="0"/>
        <v>6.6446640000000006</v>
      </c>
      <c r="J21" s="14">
        <f t="shared" si="1"/>
        <v>36.414664000000002</v>
      </c>
      <c r="K21" s="14">
        <f t="shared" si="2"/>
        <v>1.0924399199999999E-2</v>
      </c>
      <c r="L21" s="14">
        <f t="shared" si="3"/>
        <v>36.403739600800002</v>
      </c>
      <c r="M21" s="14">
        <f t="shared" si="4"/>
        <v>5278.5422421160001</v>
      </c>
      <c r="N21" s="14">
        <f t="shared" si="5"/>
        <v>8.5409213942003293E-2</v>
      </c>
      <c r="O21" s="135"/>
    </row>
    <row r="22" spans="1:15" ht="26.25" customHeight="1" x14ac:dyDescent="0.25">
      <c r="A22" s="17" t="s">
        <v>70</v>
      </c>
      <c r="B22" s="17" t="s">
        <v>33</v>
      </c>
      <c r="C22" s="11">
        <v>88309</v>
      </c>
      <c r="D22" s="11" t="s">
        <v>34</v>
      </c>
      <c r="E22" s="20" t="s">
        <v>59</v>
      </c>
      <c r="F22" s="13" t="s">
        <v>35</v>
      </c>
      <c r="G22" s="59">
        <f>100+45</f>
        <v>145</v>
      </c>
      <c r="H22" s="63">
        <v>32.57</v>
      </c>
      <c r="I22" s="14">
        <f t="shared" si="0"/>
        <v>7.2696240000000003</v>
      </c>
      <c r="J22" s="14">
        <f t="shared" si="1"/>
        <v>39.839624000000001</v>
      </c>
      <c r="K22" s="14">
        <f t="shared" si="2"/>
        <v>1.1951887199999999E-2</v>
      </c>
      <c r="L22" s="14">
        <f t="shared" si="3"/>
        <v>39.827672112800002</v>
      </c>
      <c r="M22" s="14">
        <f t="shared" si="4"/>
        <v>5775.0124563560003</v>
      </c>
      <c r="N22" s="14">
        <f t="shared" si="5"/>
        <v>9.3442327782702284E-2</v>
      </c>
      <c r="O22" s="135"/>
    </row>
    <row r="23" spans="1:15" ht="26.25" customHeight="1" x14ac:dyDescent="0.25">
      <c r="A23" s="17" t="s">
        <v>71</v>
      </c>
      <c r="B23" s="17" t="s">
        <v>33</v>
      </c>
      <c r="C23" s="11" t="s">
        <v>58</v>
      </c>
      <c r="D23" s="11" t="s">
        <v>34</v>
      </c>
      <c r="E23" s="20" t="s">
        <v>59</v>
      </c>
      <c r="F23" s="13" t="s">
        <v>35</v>
      </c>
      <c r="G23" s="59">
        <f>100+45</f>
        <v>145</v>
      </c>
      <c r="H23" s="63">
        <v>32.57</v>
      </c>
      <c r="I23" s="14">
        <f t="shared" si="0"/>
        <v>7.2696240000000003</v>
      </c>
      <c r="J23" s="14">
        <f t="shared" si="1"/>
        <v>39.839624000000001</v>
      </c>
      <c r="K23" s="14">
        <f t="shared" si="2"/>
        <v>1.1951887199999999E-2</v>
      </c>
      <c r="L23" s="14">
        <f t="shared" si="3"/>
        <v>39.827672112800002</v>
      </c>
      <c r="M23" s="14">
        <f t="shared" si="4"/>
        <v>5775.0124563560003</v>
      </c>
      <c r="N23" s="14">
        <f t="shared" si="5"/>
        <v>9.3442327782702284E-2</v>
      </c>
      <c r="O23" s="135"/>
    </row>
    <row r="24" spans="1:15" ht="26.25" customHeight="1" x14ac:dyDescent="0.25">
      <c r="A24" s="17" t="s">
        <v>72</v>
      </c>
      <c r="B24" s="17" t="s">
        <v>33</v>
      </c>
      <c r="C24" s="11">
        <v>88242</v>
      </c>
      <c r="D24" s="11" t="s">
        <v>34</v>
      </c>
      <c r="E24" s="20" t="s">
        <v>61</v>
      </c>
      <c r="F24" s="13" t="s">
        <v>35</v>
      </c>
      <c r="G24" s="59">
        <f>100+30</f>
        <v>130</v>
      </c>
      <c r="H24" s="63">
        <v>30.38</v>
      </c>
      <c r="I24" s="14">
        <f t="shared" si="0"/>
        <v>6.7808159999999997</v>
      </c>
      <c r="J24" s="14">
        <f t="shared" si="1"/>
        <v>37.160815999999997</v>
      </c>
      <c r="K24" s="14">
        <f t="shared" si="2"/>
        <v>1.1148244799999998E-2</v>
      </c>
      <c r="L24" s="14">
        <f t="shared" si="3"/>
        <v>37.149667755199999</v>
      </c>
      <c r="M24" s="14">
        <f t="shared" si="4"/>
        <v>4829.4568081759999</v>
      </c>
      <c r="N24" s="14">
        <f t="shared" si="5"/>
        <v>7.8142807395213357E-2</v>
      </c>
      <c r="O24" s="135"/>
    </row>
    <row r="25" spans="1:15" ht="26.25" customHeight="1" x14ac:dyDescent="0.25">
      <c r="A25" s="17" t="s">
        <v>73</v>
      </c>
      <c r="B25" s="17" t="s">
        <v>33</v>
      </c>
      <c r="C25" s="11" t="s">
        <v>60</v>
      </c>
      <c r="D25" s="11" t="s">
        <v>34</v>
      </c>
      <c r="E25" s="20" t="s">
        <v>61</v>
      </c>
      <c r="F25" s="13" t="s">
        <v>35</v>
      </c>
      <c r="G25" s="59">
        <f>100+30</f>
        <v>130</v>
      </c>
      <c r="H25" s="63">
        <v>30.38</v>
      </c>
      <c r="I25" s="14">
        <f t="shared" si="0"/>
        <v>6.7808159999999997</v>
      </c>
      <c r="J25" s="14">
        <f t="shared" si="1"/>
        <v>37.160815999999997</v>
      </c>
      <c r="K25" s="14">
        <f t="shared" si="2"/>
        <v>1.1148244799999998E-2</v>
      </c>
      <c r="L25" s="14">
        <f t="shared" si="3"/>
        <v>37.149667755199999</v>
      </c>
      <c r="M25" s="14">
        <f t="shared" si="4"/>
        <v>4829.4568081759999</v>
      </c>
      <c r="N25" s="14">
        <f t="shared" si="5"/>
        <v>7.8142807395213357E-2</v>
      </c>
      <c r="O25" s="135"/>
    </row>
    <row r="26" spans="1:15" ht="26.25" customHeight="1" x14ac:dyDescent="0.25">
      <c r="A26" s="17" t="s">
        <v>74</v>
      </c>
      <c r="B26" s="17" t="s">
        <v>33</v>
      </c>
      <c r="C26" s="11" t="s">
        <v>60</v>
      </c>
      <c r="D26" s="11" t="s">
        <v>34</v>
      </c>
      <c r="E26" s="20" t="s">
        <v>61</v>
      </c>
      <c r="F26" s="13" t="s">
        <v>35</v>
      </c>
      <c r="G26" s="59">
        <f>100+30</f>
        <v>130</v>
      </c>
      <c r="H26" s="63">
        <v>30.38</v>
      </c>
      <c r="I26" s="14">
        <f t="shared" si="0"/>
        <v>6.7808159999999997</v>
      </c>
      <c r="J26" s="14">
        <f t="shared" si="1"/>
        <v>37.160815999999997</v>
      </c>
      <c r="K26" s="14">
        <f t="shared" si="2"/>
        <v>1.1148244799999998E-2</v>
      </c>
      <c r="L26" s="14">
        <f t="shared" si="3"/>
        <v>37.149667755199999</v>
      </c>
      <c r="M26" s="14">
        <f t="shared" si="4"/>
        <v>4829.4568081759999</v>
      </c>
      <c r="N26" s="14">
        <f t="shared" si="5"/>
        <v>7.8142807395213357E-2</v>
      </c>
      <c r="O26" s="135"/>
    </row>
    <row r="27" spans="1:15" ht="26.25" customHeight="1" x14ac:dyDescent="0.25">
      <c r="A27" s="17" t="s">
        <v>75</v>
      </c>
      <c r="B27" s="17" t="s">
        <v>33</v>
      </c>
      <c r="C27" s="11">
        <v>88241</v>
      </c>
      <c r="D27" s="11" t="s">
        <v>34</v>
      </c>
      <c r="E27" s="12" t="s">
        <v>65</v>
      </c>
      <c r="F27" s="13" t="s">
        <v>35</v>
      </c>
      <c r="G27" s="17">
        <v>91</v>
      </c>
      <c r="H27" s="63">
        <v>28.07</v>
      </c>
      <c r="I27" s="14">
        <f t="shared" si="0"/>
        <v>6.2652239999999999</v>
      </c>
      <c r="J27" s="14">
        <f t="shared" si="1"/>
        <v>34.335223999999997</v>
      </c>
      <c r="K27" s="14">
        <f t="shared" si="2"/>
        <v>1.0300567199999998E-2</v>
      </c>
      <c r="L27" s="14">
        <f t="shared" si="3"/>
        <v>34.324923432799999</v>
      </c>
      <c r="M27" s="14">
        <f t="shared" si="4"/>
        <v>3123.5680323848001</v>
      </c>
      <c r="N27" s="14">
        <f t="shared" si="5"/>
        <v>5.0540751234646061E-2</v>
      </c>
      <c r="O27" s="135"/>
    </row>
    <row r="28" spans="1:15" ht="26.25" customHeight="1" x14ac:dyDescent="0.25">
      <c r="A28" s="17" t="s">
        <v>76</v>
      </c>
      <c r="B28" s="17" t="s">
        <v>33</v>
      </c>
      <c r="C28" s="11" t="s">
        <v>64</v>
      </c>
      <c r="D28" s="11" t="s">
        <v>34</v>
      </c>
      <c r="E28" s="12" t="s">
        <v>65</v>
      </c>
      <c r="F28" s="13" t="s">
        <v>35</v>
      </c>
      <c r="G28" s="59">
        <v>28</v>
      </c>
      <c r="H28" s="63">
        <v>28.07</v>
      </c>
      <c r="I28" s="14">
        <f t="shared" si="0"/>
        <v>6.2652239999999999</v>
      </c>
      <c r="J28" s="14">
        <f t="shared" si="1"/>
        <v>34.335223999999997</v>
      </c>
      <c r="K28" s="14">
        <f t="shared" si="2"/>
        <v>1.0300567199999998E-2</v>
      </c>
      <c r="L28" s="14">
        <f t="shared" si="3"/>
        <v>34.324923432799999</v>
      </c>
      <c r="M28" s="14">
        <f t="shared" si="4"/>
        <v>961.09785611839993</v>
      </c>
      <c r="N28" s="14">
        <f t="shared" si="5"/>
        <v>1.5551000379891095E-2</v>
      </c>
      <c r="O28" s="135"/>
    </row>
    <row r="29" spans="1:15" x14ac:dyDescent="0.25">
      <c r="A29" s="136" t="s">
        <v>16</v>
      </c>
      <c r="B29" s="138" t="s">
        <v>17</v>
      </c>
      <c r="C29" s="138" t="s">
        <v>18</v>
      </c>
      <c r="D29" s="138" t="s">
        <v>19</v>
      </c>
      <c r="E29" s="138" t="s">
        <v>20</v>
      </c>
      <c r="F29" s="138" t="s">
        <v>21</v>
      </c>
      <c r="G29" s="138" t="s">
        <v>22</v>
      </c>
      <c r="H29" s="140" t="s">
        <v>23</v>
      </c>
      <c r="I29" s="140"/>
      <c r="J29" s="140"/>
      <c r="K29" s="140"/>
      <c r="L29" s="141"/>
      <c r="M29" s="138" t="s">
        <v>24</v>
      </c>
      <c r="N29" s="138" t="s">
        <v>25</v>
      </c>
      <c r="O29" s="135"/>
    </row>
    <row r="30" spans="1:15" ht="17.100000000000001" customHeight="1" x14ac:dyDescent="0.25">
      <c r="A30" s="137"/>
      <c r="B30" s="139"/>
      <c r="C30" s="139"/>
      <c r="D30" s="139"/>
      <c r="E30" s="139"/>
      <c r="F30" s="139"/>
      <c r="G30" s="139"/>
      <c r="H30" s="3" t="s">
        <v>27</v>
      </c>
      <c r="I30" s="26" t="s">
        <v>36</v>
      </c>
      <c r="J30" s="3" t="s">
        <v>29</v>
      </c>
      <c r="K30" s="4" t="s">
        <v>52</v>
      </c>
      <c r="L30" s="3" t="s">
        <v>30</v>
      </c>
      <c r="M30" s="139"/>
      <c r="N30" s="139"/>
      <c r="O30" s="88"/>
    </row>
    <row r="31" spans="1:15" ht="17.100000000000001" customHeight="1" x14ac:dyDescent="0.25">
      <c r="A31" s="15">
        <v>2</v>
      </c>
      <c r="B31" s="142" t="s">
        <v>37</v>
      </c>
      <c r="C31" s="142"/>
      <c r="D31" s="143"/>
      <c r="E31" s="143"/>
      <c r="F31" s="143"/>
      <c r="G31" s="16"/>
      <c r="H31" s="16"/>
      <c r="I31" s="16"/>
      <c r="J31" s="16"/>
      <c r="K31" s="16"/>
      <c r="L31" s="16"/>
      <c r="M31" s="22">
        <f>SUM(M32:M65)</f>
        <v>14014.532947629243</v>
      </c>
      <c r="N31" s="16"/>
      <c r="O31" s="135"/>
    </row>
    <row r="32" spans="1:15" s="19" customFormat="1" ht="17.100000000000001" customHeight="1" x14ac:dyDescent="0.2">
      <c r="A32" s="18" t="s">
        <v>185</v>
      </c>
      <c r="B32" s="18" t="s">
        <v>121</v>
      </c>
      <c r="C32" s="18">
        <v>43132</v>
      </c>
      <c r="D32" s="18" t="s">
        <v>34</v>
      </c>
      <c r="E32" s="25" t="s">
        <v>184</v>
      </c>
      <c r="F32" s="18" t="s">
        <v>183</v>
      </c>
      <c r="G32" s="18">
        <v>6</v>
      </c>
      <c r="H32" s="66">
        <v>16.5</v>
      </c>
      <c r="I32" s="14">
        <f t="shared" ref="I32:I63" si="6">H32*0.1532</f>
        <v>2.5278</v>
      </c>
      <c r="J32" s="14">
        <f t="shared" ref="J32:J63" si="7">H32+I32</f>
        <v>19.027799999999999</v>
      </c>
      <c r="K32" s="14">
        <f t="shared" ref="K32:K63" si="8">J32*(0.03%)</f>
        <v>5.7083399999999992E-3</v>
      </c>
      <c r="L32" s="14">
        <f t="shared" ref="L32:L63" si="9">J32-K32</f>
        <v>19.022091659999997</v>
      </c>
      <c r="M32" s="14">
        <f t="shared" ref="M32:M63" si="10">L32*G32</f>
        <v>114.13254995999998</v>
      </c>
      <c r="N32" s="14">
        <f t="shared" ref="N32:N63" si="11">M32/M31</f>
        <v>8.1438711076923277E-3</v>
      </c>
      <c r="O32" s="135"/>
    </row>
    <row r="33" spans="1:15" s="19" customFormat="1" ht="17.100000000000001" customHeight="1" x14ac:dyDescent="0.2">
      <c r="A33" s="18" t="s">
        <v>182</v>
      </c>
      <c r="B33" s="18" t="s">
        <v>121</v>
      </c>
      <c r="C33" s="18">
        <v>1379</v>
      </c>
      <c r="D33" s="18" t="s">
        <v>34</v>
      </c>
      <c r="E33" s="45" t="s">
        <v>181</v>
      </c>
      <c r="F33" s="18" t="s">
        <v>21</v>
      </c>
      <c r="G33" s="18">
        <v>2000</v>
      </c>
      <c r="H33" s="66">
        <v>0.6</v>
      </c>
      <c r="I33" s="14">
        <f t="shared" si="6"/>
        <v>9.1920000000000002E-2</v>
      </c>
      <c r="J33" s="14">
        <f t="shared" si="7"/>
        <v>0.69191999999999998</v>
      </c>
      <c r="K33" s="14">
        <f t="shared" si="8"/>
        <v>2.0757599999999998E-4</v>
      </c>
      <c r="L33" s="14">
        <f t="shared" si="9"/>
        <v>0.69171242399999999</v>
      </c>
      <c r="M33" s="14">
        <f t="shared" si="10"/>
        <v>1383.4248479999999</v>
      </c>
      <c r="N33" s="14">
        <f t="shared" si="11"/>
        <v>12.121212121212123</v>
      </c>
      <c r="O33" s="135"/>
    </row>
    <row r="34" spans="1:15" s="19" customFormat="1" ht="17.100000000000001" customHeight="1" x14ac:dyDescent="0.2">
      <c r="A34" s="18" t="s">
        <v>180</v>
      </c>
      <c r="B34" s="18" t="s">
        <v>121</v>
      </c>
      <c r="C34" s="18">
        <v>6754</v>
      </c>
      <c r="D34" s="18" t="s">
        <v>179</v>
      </c>
      <c r="E34" s="25" t="s">
        <v>178</v>
      </c>
      <c r="F34" s="18" t="s">
        <v>175</v>
      </c>
      <c r="G34" s="18">
        <v>1.7</v>
      </c>
      <c r="H34" s="66">
        <v>318.52999999999997</v>
      </c>
      <c r="I34" s="14">
        <f t="shared" si="6"/>
        <v>48.798795999999996</v>
      </c>
      <c r="J34" s="14">
        <f t="shared" si="7"/>
        <v>367.32879599999995</v>
      </c>
      <c r="K34" s="14">
        <f t="shared" si="8"/>
        <v>0.11019863879999997</v>
      </c>
      <c r="L34" s="14">
        <f t="shared" si="9"/>
        <v>367.21859736119995</v>
      </c>
      <c r="M34" s="14">
        <f t="shared" si="10"/>
        <v>624.27161551403992</v>
      </c>
      <c r="N34" s="14">
        <f t="shared" si="11"/>
        <v>0.45125083333333332</v>
      </c>
      <c r="O34" s="135"/>
    </row>
    <row r="35" spans="1:15" s="19" customFormat="1" ht="17.100000000000001" customHeight="1" x14ac:dyDescent="0.2">
      <c r="A35" s="18" t="s">
        <v>177</v>
      </c>
      <c r="B35" s="18" t="s">
        <v>121</v>
      </c>
      <c r="C35" s="18">
        <v>34357</v>
      </c>
      <c r="D35" s="18" t="s">
        <v>34</v>
      </c>
      <c r="E35" s="25" t="s">
        <v>176</v>
      </c>
      <c r="F35" s="18" t="s">
        <v>175</v>
      </c>
      <c r="G35" s="18">
        <v>6</v>
      </c>
      <c r="H35" s="66">
        <v>4.4000000000000004</v>
      </c>
      <c r="I35" s="14">
        <f t="shared" si="6"/>
        <v>0.67408000000000001</v>
      </c>
      <c r="J35" s="14">
        <f t="shared" si="7"/>
        <v>5.0740800000000004</v>
      </c>
      <c r="K35" s="14">
        <f t="shared" si="8"/>
        <v>1.522224E-3</v>
      </c>
      <c r="L35" s="14">
        <f t="shared" si="9"/>
        <v>5.072557776</v>
      </c>
      <c r="M35" s="14">
        <f t="shared" si="10"/>
        <v>30.435346656</v>
      </c>
      <c r="N35" s="14">
        <f t="shared" si="11"/>
        <v>4.8753372569949091E-2</v>
      </c>
      <c r="O35" s="135"/>
    </row>
    <row r="36" spans="1:15" s="19" customFormat="1" ht="17.100000000000001" customHeight="1" x14ac:dyDescent="0.2">
      <c r="A36" s="18" t="s">
        <v>174</v>
      </c>
      <c r="B36" s="18" t="s">
        <v>121</v>
      </c>
      <c r="C36" s="18">
        <v>7258</v>
      </c>
      <c r="D36" s="18" t="s">
        <v>34</v>
      </c>
      <c r="E36" s="25" t="s">
        <v>173</v>
      </c>
      <c r="F36" s="18" t="s">
        <v>21</v>
      </c>
      <c r="G36" s="18">
        <v>700</v>
      </c>
      <c r="H36" s="66">
        <v>0.67</v>
      </c>
      <c r="I36" s="14">
        <f t="shared" si="6"/>
        <v>0.10264400000000001</v>
      </c>
      <c r="J36" s="14">
        <f t="shared" si="7"/>
        <v>0.77264400000000011</v>
      </c>
      <c r="K36" s="14">
        <f t="shared" si="8"/>
        <v>2.3179320000000001E-4</v>
      </c>
      <c r="L36" s="14">
        <f t="shared" si="9"/>
        <v>0.77241220680000011</v>
      </c>
      <c r="M36" s="14">
        <f t="shared" si="10"/>
        <v>540.68854476000013</v>
      </c>
      <c r="N36" s="14">
        <f t="shared" si="11"/>
        <v>17.765151515151519</v>
      </c>
      <c r="O36" s="135"/>
    </row>
    <row r="37" spans="1:15" s="19" customFormat="1" ht="17.100000000000001" customHeight="1" x14ac:dyDescent="0.2">
      <c r="A37" s="18" t="s">
        <v>172</v>
      </c>
      <c r="B37" s="18" t="s">
        <v>121</v>
      </c>
      <c r="C37" s="18">
        <v>7271</v>
      </c>
      <c r="D37" s="18" t="s">
        <v>34</v>
      </c>
      <c r="E37" s="25" t="s">
        <v>171</v>
      </c>
      <c r="F37" s="18" t="s">
        <v>21</v>
      </c>
      <c r="G37" s="18">
        <v>500</v>
      </c>
      <c r="H37" s="66">
        <v>0.78</v>
      </c>
      <c r="I37" s="14">
        <f t="shared" si="6"/>
        <v>0.119496</v>
      </c>
      <c r="J37" s="14">
        <f t="shared" si="7"/>
        <v>0.89949600000000007</v>
      </c>
      <c r="K37" s="14">
        <f t="shared" si="8"/>
        <v>2.698488E-4</v>
      </c>
      <c r="L37" s="14">
        <f t="shared" si="9"/>
        <v>0.89922615120000005</v>
      </c>
      <c r="M37" s="14">
        <f t="shared" si="10"/>
        <v>449.6130756</v>
      </c>
      <c r="N37" s="14">
        <f t="shared" si="11"/>
        <v>0.83155650319829411</v>
      </c>
      <c r="O37" s="135"/>
    </row>
    <row r="38" spans="1:15" s="19" customFormat="1" ht="17.100000000000001" customHeight="1" x14ac:dyDescent="0.2">
      <c r="A38" s="18" t="s">
        <v>170</v>
      </c>
      <c r="B38" s="18" t="s">
        <v>121</v>
      </c>
      <c r="C38" s="18">
        <v>366</v>
      </c>
      <c r="D38" s="18" t="s">
        <v>34</v>
      </c>
      <c r="E38" s="57" t="s">
        <v>169</v>
      </c>
      <c r="F38" s="18" t="s">
        <v>164</v>
      </c>
      <c r="G38" s="18">
        <v>3</v>
      </c>
      <c r="H38" s="67">
        <v>65</v>
      </c>
      <c r="I38" s="14">
        <f t="shared" si="6"/>
        <v>9.9580000000000002</v>
      </c>
      <c r="J38" s="14">
        <f t="shared" si="7"/>
        <v>74.957999999999998</v>
      </c>
      <c r="K38" s="14">
        <f t="shared" si="8"/>
        <v>2.2487399999999998E-2</v>
      </c>
      <c r="L38" s="14">
        <f t="shared" si="9"/>
        <v>74.935512599999996</v>
      </c>
      <c r="M38" s="14">
        <f t="shared" si="10"/>
        <v>224.8065378</v>
      </c>
      <c r="N38" s="14">
        <f t="shared" si="11"/>
        <v>0.5</v>
      </c>
      <c r="O38" s="135"/>
    </row>
    <row r="39" spans="1:15" s="19" customFormat="1" ht="17.100000000000001" customHeight="1" x14ac:dyDescent="0.2">
      <c r="A39" s="18" t="s">
        <v>168</v>
      </c>
      <c r="B39" s="18" t="s">
        <v>121</v>
      </c>
      <c r="C39" s="18">
        <v>367</v>
      </c>
      <c r="D39" s="18" t="s">
        <v>34</v>
      </c>
      <c r="E39" s="24" t="s">
        <v>167</v>
      </c>
      <c r="F39" s="18" t="s">
        <v>164</v>
      </c>
      <c r="G39" s="18">
        <v>5</v>
      </c>
      <c r="H39" s="67">
        <v>65.84</v>
      </c>
      <c r="I39" s="14">
        <f t="shared" si="6"/>
        <v>10.086688000000001</v>
      </c>
      <c r="J39" s="14">
        <f t="shared" si="7"/>
        <v>75.926687999999999</v>
      </c>
      <c r="K39" s="14">
        <f t="shared" si="8"/>
        <v>2.2778006399999998E-2</v>
      </c>
      <c r="L39" s="14">
        <f t="shared" si="9"/>
        <v>75.903909993599996</v>
      </c>
      <c r="M39" s="14">
        <f t="shared" si="10"/>
        <v>379.51954996799998</v>
      </c>
      <c r="N39" s="14">
        <f t="shared" si="11"/>
        <v>1.688205128205128</v>
      </c>
      <c r="O39" s="135"/>
    </row>
    <row r="40" spans="1:15" s="19" customFormat="1" ht="17.100000000000001" customHeight="1" x14ac:dyDescent="0.2">
      <c r="A40" s="18" t="s">
        <v>166</v>
      </c>
      <c r="B40" s="18" t="s">
        <v>121</v>
      </c>
      <c r="C40" s="18">
        <v>4720</v>
      </c>
      <c r="D40" s="18" t="s">
        <v>34</v>
      </c>
      <c r="E40" s="56" t="s">
        <v>165</v>
      </c>
      <c r="F40" s="18" t="s">
        <v>164</v>
      </c>
      <c r="G40" s="18">
        <v>5</v>
      </c>
      <c r="H40" s="66">
        <v>80.39</v>
      </c>
      <c r="I40" s="14">
        <f t="shared" si="6"/>
        <v>12.315748000000001</v>
      </c>
      <c r="J40" s="14">
        <f t="shared" si="7"/>
        <v>92.705748</v>
      </c>
      <c r="K40" s="14">
        <f t="shared" si="8"/>
        <v>2.7811724399999998E-2</v>
      </c>
      <c r="L40" s="14">
        <f t="shared" si="9"/>
        <v>92.677936275600004</v>
      </c>
      <c r="M40" s="14">
        <f t="shared" si="10"/>
        <v>463.38968137800003</v>
      </c>
      <c r="N40" s="14">
        <f t="shared" si="11"/>
        <v>1.2209902794653709</v>
      </c>
      <c r="O40" s="135"/>
    </row>
    <row r="41" spans="1:15" s="19" customFormat="1" ht="16.5" customHeight="1" x14ac:dyDescent="0.2">
      <c r="A41" s="18" t="s">
        <v>163</v>
      </c>
      <c r="B41" s="18" t="s">
        <v>121</v>
      </c>
      <c r="C41" s="23">
        <v>779</v>
      </c>
      <c r="D41" s="18" t="s">
        <v>34</v>
      </c>
      <c r="E41" s="24" t="s">
        <v>162</v>
      </c>
      <c r="F41" s="18" t="s">
        <v>21</v>
      </c>
      <c r="G41" s="18">
        <v>20</v>
      </c>
      <c r="H41" s="67">
        <v>7.71</v>
      </c>
      <c r="I41" s="14">
        <f t="shared" si="6"/>
        <v>1.1811720000000001</v>
      </c>
      <c r="J41" s="14">
        <f t="shared" si="7"/>
        <v>8.891172000000001</v>
      </c>
      <c r="K41" s="14">
        <f t="shared" si="8"/>
        <v>2.6673515999999999E-3</v>
      </c>
      <c r="L41" s="14">
        <f t="shared" si="9"/>
        <v>8.8885046484000014</v>
      </c>
      <c r="M41" s="14">
        <f t="shared" si="10"/>
        <v>177.77009296800003</v>
      </c>
      <c r="N41" s="14">
        <f t="shared" si="11"/>
        <v>0.38362980470207741</v>
      </c>
      <c r="O41" s="135"/>
    </row>
    <row r="42" spans="1:15" s="19" customFormat="1" ht="17.100000000000001" customHeight="1" x14ac:dyDescent="0.2">
      <c r="A42" s="18" t="s">
        <v>161</v>
      </c>
      <c r="B42" s="18" t="s">
        <v>121</v>
      </c>
      <c r="C42" s="18">
        <v>4177</v>
      </c>
      <c r="D42" s="18" t="s">
        <v>34</v>
      </c>
      <c r="E42" s="24" t="s">
        <v>160</v>
      </c>
      <c r="F42" s="18" t="s">
        <v>21</v>
      </c>
      <c r="G42" s="18">
        <v>10</v>
      </c>
      <c r="H42" s="64">
        <v>6.3</v>
      </c>
      <c r="I42" s="14">
        <f t="shared" si="6"/>
        <v>0.96516000000000002</v>
      </c>
      <c r="J42" s="14">
        <f t="shared" si="7"/>
        <v>7.2651599999999998</v>
      </c>
      <c r="K42" s="14">
        <f t="shared" si="8"/>
        <v>2.1795479999999999E-3</v>
      </c>
      <c r="L42" s="14">
        <f t="shared" si="9"/>
        <v>7.2629804519999999</v>
      </c>
      <c r="M42" s="14">
        <f t="shared" si="10"/>
        <v>72.629804519999993</v>
      </c>
      <c r="N42" s="14">
        <f t="shared" si="11"/>
        <v>0.40856031128404657</v>
      </c>
      <c r="O42" s="135"/>
    </row>
    <row r="43" spans="1:15" s="19" customFormat="1" ht="17.100000000000001" customHeight="1" x14ac:dyDescent="0.2">
      <c r="A43" s="18" t="s">
        <v>159</v>
      </c>
      <c r="B43" s="18" t="s">
        <v>121</v>
      </c>
      <c r="C43" s="68">
        <v>13415</v>
      </c>
      <c r="D43" s="18" t="s">
        <v>34</v>
      </c>
      <c r="E43" s="69" t="s">
        <v>195</v>
      </c>
      <c r="F43" s="18" t="s">
        <v>21</v>
      </c>
      <c r="G43" s="18">
        <v>15</v>
      </c>
      <c r="H43" s="65">
        <v>62.9</v>
      </c>
      <c r="I43" s="14">
        <f t="shared" si="6"/>
        <v>9.6362799999999993</v>
      </c>
      <c r="J43" s="14">
        <f t="shared" si="7"/>
        <v>72.536280000000005</v>
      </c>
      <c r="K43" s="14">
        <f t="shared" si="8"/>
        <v>2.1760884000000001E-2</v>
      </c>
      <c r="L43" s="14">
        <f t="shared" si="9"/>
        <v>72.514519116000002</v>
      </c>
      <c r="M43" s="14">
        <f t="shared" si="10"/>
        <v>1087.7177867400001</v>
      </c>
      <c r="N43" s="14">
        <f t="shared" si="11"/>
        <v>14.976190476190478</v>
      </c>
      <c r="O43" s="135"/>
    </row>
    <row r="44" spans="1:15" s="19" customFormat="1" ht="17.100000000000001" customHeight="1" x14ac:dyDescent="0.2">
      <c r="A44" s="18" t="s">
        <v>158</v>
      </c>
      <c r="B44" s="18" t="s">
        <v>121</v>
      </c>
      <c r="C44" s="23">
        <v>44945</v>
      </c>
      <c r="D44" s="18" t="s">
        <v>34</v>
      </c>
      <c r="E44" s="24" t="s">
        <v>157</v>
      </c>
      <c r="F44" s="18" t="s">
        <v>21</v>
      </c>
      <c r="G44" s="18">
        <v>20</v>
      </c>
      <c r="H44" s="67">
        <v>10.93</v>
      </c>
      <c r="I44" s="14">
        <f t="shared" si="6"/>
        <v>1.6744760000000001</v>
      </c>
      <c r="J44" s="14">
        <f t="shared" si="7"/>
        <v>12.604476</v>
      </c>
      <c r="K44" s="14">
        <f t="shared" si="8"/>
        <v>3.7813427999999999E-3</v>
      </c>
      <c r="L44" s="14">
        <f t="shared" si="9"/>
        <v>12.6006946572</v>
      </c>
      <c r="M44" s="14">
        <f t="shared" si="10"/>
        <v>252.01389314400001</v>
      </c>
      <c r="N44" s="14">
        <f t="shared" si="11"/>
        <v>0.23169051404345523</v>
      </c>
      <c r="O44" s="135"/>
    </row>
    <row r="45" spans="1:15" x14ac:dyDescent="0.25">
      <c r="A45" s="18" t="s">
        <v>156</v>
      </c>
      <c r="B45" s="18" t="s">
        <v>121</v>
      </c>
      <c r="C45" s="18">
        <v>11681</v>
      </c>
      <c r="D45" s="18" t="s">
        <v>34</v>
      </c>
      <c r="E45" s="55" t="s">
        <v>155</v>
      </c>
      <c r="F45" s="18" t="s">
        <v>21</v>
      </c>
      <c r="G45" s="18">
        <v>10</v>
      </c>
      <c r="H45" s="66">
        <v>8.34</v>
      </c>
      <c r="I45" s="14">
        <f t="shared" si="6"/>
        <v>1.2776879999999999</v>
      </c>
      <c r="J45" s="14">
        <f t="shared" si="7"/>
        <v>9.6176879999999993</v>
      </c>
      <c r="K45" s="14">
        <f t="shared" si="8"/>
        <v>2.8853063999999995E-3</v>
      </c>
      <c r="L45" s="14">
        <f t="shared" si="9"/>
        <v>9.6148026935999997</v>
      </c>
      <c r="M45" s="14">
        <f t="shared" si="10"/>
        <v>96.148026935999994</v>
      </c>
      <c r="N45" s="14">
        <f t="shared" si="11"/>
        <v>0.38151875571820676</v>
      </c>
      <c r="O45" s="135"/>
    </row>
    <row r="46" spans="1:15" s="19" customFormat="1" ht="17.100000000000001" customHeight="1" x14ac:dyDescent="0.2">
      <c r="A46" s="18" t="s">
        <v>154</v>
      </c>
      <c r="B46" s="18" t="s">
        <v>121</v>
      </c>
      <c r="C46" s="18">
        <v>3148</v>
      </c>
      <c r="D46" s="18" t="s">
        <v>34</v>
      </c>
      <c r="E46" s="19" t="s">
        <v>153</v>
      </c>
      <c r="F46" s="18" t="s">
        <v>21</v>
      </c>
      <c r="G46" s="18">
        <v>10</v>
      </c>
      <c r="H46" s="66">
        <v>8.07</v>
      </c>
      <c r="I46" s="14">
        <f t="shared" si="6"/>
        <v>1.236324</v>
      </c>
      <c r="J46" s="14">
        <f t="shared" si="7"/>
        <v>9.306324</v>
      </c>
      <c r="K46" s="14">
        <f t="shared" si="8"/>
        <v>2.7918971999999998E-3</v>
      </c>
      <c r="L46" s="14">
        <f t="shared" si="9"/>
        <v>9.3035321028000002</v>
      </c>
      <c r="M46" s="14">
        <f t="shared" si="10"/>
        <v>93.035321027999998</v>
      </c>
      <c r="N46" s="14">
        <f t="shared" si="11"/>
        <v>0.96762589928057563</v>
      </c>
      <c r="O46" s="135"/>
    </row>
    <row r="47" spans="1:15" s="19" customFormat="1" ht="17.100000000000001" customHeight="1" x14ac:dyDescent="0.2">
      <c r="A47" s="18" t="s">
        <v>152</v>
      </c>
      <c r="B47" s="18" t="s">
        <v>121</v>
      </c>
      <c r="C47" s="23">
        <v>1368</v>
      </c>
      <c r="D47" s="18" t="s">
        <v>34</v>
      </c>
      <c r="E47" s="24" t="s">
        <v>151</v>
      </c>
      <c r="F47" s="18" t="s">
        <v>21</v>
      </c>
      <c r="G47" s="18">
        <v>15</v>
      </c>
      <c r="H47" s="70">
        <v>88.9</v>
      </c>
      <c r="I47" s="14">
        <f t="shared" si="6"/>
        <v>13.619480000000001</v>
      </c>
      <c r="J47" s="14">
        <f t="shared" si="7"/>
        <v>102.51948</v>
      </c>
      <c r="K47" s="14">
        <f t="shared" si="8"/>
        <v>3.0755843999999997E-2</v>
      </c>
      <c r="L47" s="14">
        <f t="shared" si="9"/>
        <v>102.488724156</v>
      </c>
      <c r="M47" s="14">
        <f t="shared" si="10"/>
        <v>1537.3308623400001</v>
      </c>
      <c r="N47" s="14">
        <f t="shared" si="11"/>
        <v>16.524163568773236</v>
      </c>
      <c r="O47" s="135"/>
    </row>
    <row r="48" spans="1:15" s="19" customFormat="1" ht="17.100000000000001" customHeight="1" x14ac:dyDescent="0.2">
      <c r="A48" s="18" t="s">
        <v>150</v>
      </c>
      <c r="B48" s="18" t="s">
        <v>121</v>
      </c>
      <c r="C48" s="23">
        <v>142</v>
      </c>
      <c r="D48" s="18" t="s">
        <v>34</v>
      </c>
      <c r="E48" s="24" t="s">
        <v>149</v>
      </c>
      <c r="F48" s="18" t="s">
        <v>21</v>
      </c>
      <c r="G48" s="18">
        <v>60</v>
      </c>
      <c r="H48" s="63">
        <v>34.86</v>
      </c>
      <c r="I48" s="14">
        <f t="shared" si="6"/>
        <v>5.3405519999999997</v>
      </c>
      <c r="J48" s="14">
        <f t="shared" si="7"/>
        <v>40.200552000000002</v>
      </c>
      <c r="K48" s="14">
        <f t="shared" si="8"/>
        <v>1.2060165599999999E-2</v>
      </c>
      <c r="L48" s="14">
        <f t="shared" si="9"/>
        <v>40.188491834400004</v>
      </c>
      <c r="M48" s="14">
        <f t="shared" si="10"/>
        <v>2411.3095100640003</v>
      </c>
      <c r="N48" s="14">
        <f t="shared" si="11"/>
        <v>1.5685039370078742</v>
      </c>
      <c r="O48" s="135"/>
    </row>
    <row r="49" spans="1:15" s="19" customFormat="1" ht="17.100000000000001" customHeight="1" x14ac:dyDescent="0.2">
      <c r="A49" s="18" t="s">
        <v>148</v>
      </c>
      <c r="B49" s="18" t="s">
        <v>121</v>
      </c>
      <c r="C49" s="18">
        <v>65</v>
      </c>
      <c r="D49" s="18" t="s">
        <v>34</v>
      </c>
      <c r="E49" s="45" t="s">
        <v>147</v>
      </c>
      <c r="F49" s="18" t="s">
        <v>21</v>
      </c>
      <c r="G49" s="18">
        <v>15</v>
      </c>
      <c r="H49" s="66">
        <v>0.74</v>
      </c>
      <c r="I49" s="14">
        <f t="shared" si="6"/>
        <v>0.113368</v>
      </c>
      <c r="J49" s="14">
        <f t="shared" si="7"/>
        <v>0.85336800000000002</v>
      </c>
      <c r="K49" s="14">
        <f t="shared" si="8"/>
        <v>2.5601039999999996E-4</v>
      </c>
      <c r="L49" s="14">
        <f t="shared" si="9"/>
        <v>0.85311198960000001</v>
      </c>
      <c r="M49" s="14">
        <f t="shared" si="10"/>
        <v>12.796679844</v>
      </c>
      <c r="N49" s="14">
        <f t="shared" si="11"/>
        <v>5.3069420539300048E-3</v>
      </c>
      <c r="O49" s="135"/>
    </row>
    <row r="50" spans="1:15" s="19" customFormat="1" ht="17.100000000000001" customHeight="1" x14ac:dyDescent="0.2">
      <c r="A50" s="18" t="s">
        <v>146</v>
      </c>
      <c r="B50" s="18" t="s">
        <v>121</v>
      </c>
      <c r="C50" s="18">
        <v>108</v>
      </c>
      <c r="D50" s="18" t="s">
        <v>34</v>
      </c>
      <c r="E50" s="55" t="s">
        <v>145</v>
      </c>
      <c r="F50" s="18" t="s">
        <v>21</v>
      </c>
      <c r="G50" s="18">
        <v>10</v>
      </c>
      <c r="H50" s="66">
        <v>1.49</v>
      </c>
      <c r="I50" s="14">
        <f t="shared" si="6"/>
        <v>0.228268</v>
      </c>
      <c r="J50" s="14">
        <f t="shared" si="7"/>
        <v>1.7182679999999999</v>
      </c>
      <c r="K50" s="14">
        <f t="shared" si="8"/>
        <v>5.1548039999999994E-4</v>
      </c>
      <c r="L50" s="14">
        <f t="shared" si="9"/>
        <v>1.7177525195999999</v>
      </c>
      <c r="M50" s="14">
        <f t="shared" si="10"/>
        <v>17.177525195999998</v>
      </c>
      <c r="N50" s="14">
        <f t="shared" si="11"/>
        <v>1.3423423423423422</v>
      </c>
      <c r="O50" s="135"/>
    </row>
    <row r="51" spans="1:15" s="19" customFormat="1" ht="17.100000000000001" customHeight="1" x14ac:dyDescent="0.2">
      <c r="A51" s="18" t="s">
        <v>144</v>
      </c>
      <c r="B51" s="18" t="s">
        <v>121</v>
      </c>
      <c r="C51" s="18">
        <v>818</v>
      </c>
      <c r="D51" s="18" t="s">
        <v>34</v>
      </c>
      <c r="E51" s="45" t="s">
        <v>143</v>
      </c>
      <c r="F51" s="18" t="s">
        <v>21</v>
      </c>
      <c r="G51" s="18">
        <v>10</v>
      </c>
      <c r="H51" s="66">
        <v>5.66</v>
      </c>
      <c r="I51" s="14">
        <f t="shared" si="6"/>
        <v>0.86711199999999999</v>
      </c>
      <c r="J51" s="14">
        <f t="shared" si="7"/>
        <v>6.5271119999999998</v>
      </c>
      <c r="K51" s="14">
        <f t="shared" si="8"/>
        <v>1.9581335999999997E-3</v>
      </c>
      <c r="L51" s="14">
        <f t="shared" si="9"/>
        <v>6.5251538664000002</v>
      </c>
      <c r="M51" s="14">
        <f t="shared" si="10"/>
        <v>65.251538664000009</v>
      </c>
      <c r="N51" s="14">
        <f t="shared" si="11"/>
        <v>3.7986577181208063</v>
      </c>
      <c r="O51" s="135"/>
    </row>
    <row r="52" spans="1:15" s="19" customFormat="1" ht="17.100000000000001" customHeight="1" x14ac:dyDescent="0.2">
      <c r="A52" s="18" t="s">
        <v>142</v>
      </c>
      <c r="B52" s="18" t="s">
        <v>121</v>
      </c>
      <c r="C52" s="18">
        <v>3503</v>
      </c>
      <c r="D52" s="18" t="s">
        <v>34</v>
      </c>
      <c r="E52" s="45" t="s">
        <v>141</v>
      </c>
      <c r="F52" s="18" t="s">
        <v>21</v>
      </c>
      <c r="G52" s="18">
        <v>5</v>
      </c>
      <c r="H52" s="66">
        <v>6.22</v>
      </c>
      <c r="I52" s="14">
        <f t="shared" si="6"/>
        <v>0.95290399999999997</v>
      </c>
      <c r="J52" s="14">
        <f t="shared" si="7"/>
        <v>7.1729039999999999</v>
      </c>
      <c r="K52" s="14">
        <f t="shared" si="8"/>
        <v>2.1518711999999997E-3</v>
      </c>
      <c r="L52" s="14">
        <f t="shared" si="9"/>
        <v>7.1707521288000002</v>
      </c>
      <c r="M52" s="14">
        <f t="shared" si="10"/>
        <v>35.853760644000005</v>
      </c>
      <c r="N52" s="14">
        <f t="shared" si="11"/>
        <v>0.54946996466431097</v>
      </c>
      <c r="O52" s="135"/>
    </row>
    <row r="53" spans="1:15" s="19" customFormat="1" ht="17.100000000000001" customHeight="1" x14ac:dyDescent="0.2">
      <c r="A53" s="18" t="s">
        <v>140</v>
      </c>
      <c r="B53" s="18" t="s">
        <v>121</v>
      </c>
      <c r="C53" s="18">
        <v>3531</v>
      </c>
      <c r="D53" s="18" t="s">
        <v>34</v>
      </c>
      <c r="E53" s="45" t="s">
        <v>139</v>
      </c>
      <c r="F53" s="18" t="s">
        <v>21</v>
      </c>
      <c r="G53" s="18">
        <v>10</v>
      </c>
      <c r="H53" s="66">
        <v>3.13</v>
      </c>
      <c r="I53" s="14">
        <f t="shared" si="6"/>
        <v>0.479516</v>
      </c>
      <c r="J53" s="14">
        <f t="shared" si="7"/>
        <v>3.6095159999999997</v>
      </c>
      <c r="K53" s="14">
        <f t="shared" si="8"/>
        <v>1.0828547999999999E-3</v>
      </c>
      <c r="L53" s="14">
        <f t="shared" si="9"/>
        <v>3.6084331451999998</v>
      </c>
      <c r="M53" s="14">
        <f t="shared" si="10"/>
        <v>36.084331452000001</v>
      </c>
      <c r="N53" s="14">
        <f t="shared" si="11"/>
        <v>1.0064308681672025</v>
      </c>
      <c r="O53" s="135"/>
    </row>
    <row r="54" spans="1:15" s="19" customFormat="1" ht="17.100000000000001" customHeight="1" x14ac:dyDescent="0.2">
      <c r="A54" s="18" t="s">
        <v>138</v>
      </c>
      <c r="B54" s="18" t="s">
        <v>121</v>
      </c>
      <c r="C54" s="18">
        <v>3529</v>
      </c>
      <c r="D54" s="18" t="s">
        <v>34</v>
      </c>
      <c r="E54" s="55" t="s">
        <v>137</v>
      </c>
      <c r="F54" s="18" t="s">
        <v>21</v>
      </c>
      <c r="G54" s="18">
        <v>10</v>
      </c>
      <c r="H54" s="66">
        <v>0.6</v>
      </c>
      <c r="I54" s="14">
        <f t="shared" si="6"/>
        <v>9.1920000000000002E-2</v>
      </c>
      <c r="J54" s="14">
        <f t="shared" si="7"/>
        <v>0.69191999999999998</v>
      </c>
      <c r="K54" s="14">
        <f t="shared" si="8"/>
        <v>2.0757599999999998E-4</v>
      </c>
      <c r="L54" s="14">
        <f t="shared" si="9"/>
        <v>0.69171242399999999</v>
      </c>
      <c r="M54" s="14">
        <f t="shared" si="10"/>
        <v>6.9171242399999997</v>
      </c>
      <c r="N54" s="14">
        <f t="shared" si="11"/>
        <v>0.19169329073482427</v>
      </c>
      <c r="O54" s="135"/>
    </row>
    <row r="55" spans="1:15" s="19" customFormat="1" ht="17.100000000000001" customHeight="1" x14ac:dyDescent="0.2">
      <c r="A55" s="18" t="s">
        <v>136</v>
      </c>
      <c r="B55" s="18" t="s">
        <v>121</v>
      </c>
      <c r="C55" s="18">
        <v>3536</v>
      </c>
      <c r="D55" s="18" t="s">
        <v>34</v>
      </c>
      <c r="E55" s="45" t="s">
        <v>135</v>
      </c>
      <c r="F55" s="18" t="s">
        <v>21</v>
      </c>
      <c r="G55" s="18">
        <v>10</v>
      </c>
      <c r="H55" s="66">
        <v>2.0099999999999998</v>
      </c>
      <c r="I55" s="14">
        <f t="shared" si="6"/>
        <v>0.30793199999999998</v>
      </c>
      <c r="J55" s="14">
        <f t="shared" si="7"/>
        <v>2.3179319999999999</v>
      </c>
      <c r="K55" s="14">
        <f t="shared" si="8"/>
        <v>6.9537959999999986E-4</v>
      </c>
      <c r="L55" s="14">
        <f t="shared" si="9"/>
        <v>2.3172366203999997</v>
      </c>
      <c r="M55" s="14">
        <f t="shared" si="10"/>
        <v>23.172366203999996</v>
      </c>
      <c r="N55" s="14">
        <f t="shared" si="11"/>
        <v>3.3499999999999996</v>
      </c>
      <c r="O55" s="135"/>
    </row>
    <row r="56" spans="1:15" s="19" customFormat="1" ht="17.100000000000001" customHeight="1" x14ac:dyDescent="0.2">
      <c r="A56" s="18" t="s">
        <v>134</v>
      </c>
      <c r="B56" s="18" t="s">
        <v>121</v>
      </c>
      <c r="C56" s="18">
        <v>3903</v>
      </c>
      <c r="D56" s="18" t="s">
        <v>34</v>
      </c>
      <c r="E56" s="45" t="s">
        <v>133</v>
      </c>
      <c r="F56" s="18" t="s">
        <v>21</v>
      </c>
      <c r="G56" s="18">
        <v>10</v>
      </c>
      <c r="H56" s="66">
        <v>1.66</v>
      </c>
      <c r="I56" s="14">
        <f t="shared" si="6"/>
        <v>0.25431199999999998</v>
      </c>
      <c r="J56" s="14">
        <f t="shared" si="7"/>
        <v>1.9143119999999998</v>
      </c>
      <c r="K56" s="14">
        <f t="shared" si="8"/>
        <v>5.7429359999999991E-4</v>
      </c>
      <c r="L56" s="14">
        <f t="shared" si="9"/>
        <v>1.9137377063999998</v>
      </c>
      <c r="M56" s="14">
        <f t="shared" si="10"/>
        <v>19.137377063999999</v>
      </c>
      <c r="N56" s="14">
        <f t="shared" si="11"/>
        <v>0.82587064676616928</v>
      </c>
      <c r="O56" s="135"/>
    </row>
    <row r="57" spans="1:15" s="19" customFormat="1" ht="17.100000000000001" customHeight="1" x14ac:dyDescent="0.2">
      <c r="A57" s="18" t="s">
        <v>132</v>
      </c>
      <c r="B57" s="18" t="s">
        <v>121</v>
      </c>
      <c r="C57" s="18">
        <v>3863</v>
      </c>
      <c r="D57" s="18" t="s">
        <v>34</v>
      </c>
      <c r="E57" s="45" t="s">
        <v>131</v>
      </c>
      <c r="F57" s="18" t="s">
        <v>21</v>
      </c>
      <c r="G57" s="18">
        <v>20</v>
      </c>
      <c r="H57" s="66">
        <v>3.62</v>
      </c>
      <c r="I57" s="14">
        <f t="shared" si="6"/>
        <v>0.55458400000000008</v>
      </c>
      <c r="J57" s="14">
        <f t="shared" si="7"/>
        <v>4.1745840000000003</v>
      </c>
      <c r="K57" s="14">
        <f t="shared" si="8"/>
        <v>1.2523752000000001E-3</v>
      </c>
      <c r="L57" s="14">
        <f t="shared" si="9"/>
        <v>4.1733316248000003</v>
      </c>
      <c r="M57" s="14">
        <f t="shared" si="10"/>
        <v>83.466632496000003</v>
      </c>
      <c r="N57" s="14">
        <f t="shared" si="11"/>
        <v>4.3614457831325302</v>
      </c>
      <c r="O57" s="135"/>
    </row>
    <row r="58" spans="1:15" s="19" customFormat="1" ht="17.100000000000001" customHeight="1" x14ac:dyDescent="0.2">
      <c r="A58" s="18" t="s">
        <v>130</v>
      </c>
      <c r="B58" s="18" t="s">
        <v>121</v>
      </c>
      <c r="C58" s="18">
        <v>3864</v>
      </c>
      <c r="D58" s="18" t="s">
        <v>34</v>
      </c>
      <c r="E58" s="45" t="s">
        <v>129</v>
      </c>
      <c r="F58" s="18" t="s">
        <v>21</v>
      </c>
      <c r="G58" s="18">
        <v>7</v>
      </c>
      <c r="H58" s="66">
        <v>11.09</v>
      </c>
      <c r="I58" s="14">
        <f t="shared" si="6"/>
        <v>1.6989879999999999</v>
      </c>
      <c r="J58" s="14">
        <f t="shared" si="7"/>
        <v>12.788988</v>
      </c>
      <c r="K58" s="14">
        <f t="shared" si="8"/>
        <v>3.8366963999999998E-3</v>
      </c>
      <c r="L58" s="14">
        <f t="shared" si="9"/>
        <v>12.785151303599999</v>
      </c>
      <c r="M58" s="14">
        <f t="shared" si="10"/>
        <v>89.496059125199992</v>
      </c>
      <c r="N58" s="14">
        <f t="shared" si="11"/>
        <v>1.0722375690607733</v>
      </c>
      <c r="O58" s="135"/>
    </row>
    <row r="59" spans="1:15" s="19" customFormat="1" ht="17.100000000000001" customHeight="1" x14ac:dyDescent="0.2">
      <c r="A59" s="18" t="s">
        <v>128</v>
      </c>
      <c r="B59" s="18" t="s">
        <v>121</v>
      </c>
      <c r="C59" s="18">
        <v>7143</v>
      </c>
      <c r="D59" s="18" t="s">
        <v>34</v>
      </c>
      <c r="E59" s="45" t="s">
        <v>127</v>
      </c>
      <c r="F59" s="18" t="s">
        <v>21</v>
      </c>
      <c r="G59" s="18">
        <v>8</v>
      </c>
      <c r="H59" s="66">
        <v>25.71</v>
      </c>
      <c r="I59" s="14">
        <f t="shared" si="6"/>
        <v>3.9387720000000002</v>
      </c>
      <c r="J59" s="14">
        <f t="shared" si="7"/>
        <v>29.648772000000001</v>
      </c>
      <c r="K59" s="14">
        <f t="shared" si="8"/>
        <v>8.8946315999999994E-3</v>
      </c>
      <c r="L59" s="14">
        <f t="shared" si="9"/>
        <v>29.639877368400001</v>
      </c>
      <c r="M59" s="14">
        <f t="shared" si="10"/>
        <v>237.1190189472</v>
      </c>
      <c r="N59" s="14">
        <f t="shared" si="11"/>
        <v>2.6494911760917175</v>
      </c>
      <c r="O59" s="135"/>
    </row>
    <row r="60" spans="1:15" s="19" customFormat="1" ht="17.100000000000001" customHeight="1" x14ac:dyDescent="0.2">
      <c r="A60" s="18" t="s">
        <v>126</v>
      </c>
      <c r="B60" s="18" t="s">
        <v>121</v>
      </c>
      <c r="C60" s="18">
        <v>9873</v>
      </c>
      <c r="D60" s="18" t="s">
        <v>34</v>
      </c>
      <c r="E60" s="45" t="s">
        <v>125</v>
      </c>
      <c r="F60" s="18" t="s">
        <v>119</v>
      </c>
      <c r="G60" s="18">
        <v>18</v>
      </c>
      <c r="H60" s="66">
        <v>21.1</v>
      </c>
      <c r="I60" s="14">
        <f t="shared" si="6"/>
        <v>3.2325200000000001</v>
      </c>
      <c r="J60" s="14">
        <f t="shared" si="7"/>
        <v>24.332520000000002</v>
      </c>
      <c r="K60" s="14">
        <f t="shared" si="8"/>
        <v>7.2997560000000001E-3</v>
      </c>
      <c r="L60" s="14">
        <f t="shared" si="9"/>
        <v>24.325220244000004</v>
      </c>
      <c r="M60" s="14">
        <f t="shared" si="10"/>
        <v>437.85396439200008</v>
      </c>
      <c r="N60" s="14">
        <f t="shared" si="11"/>
        <v>1.8465577596266047</v>
      </c>
      <c r="O60" s="135"/>
    </row>
    <row r="61" spans="1:15" s="19" customFormat="1" ht="17.100000000000001" customHeight="1" x14ac:dyDescent="0.2">
      <c r="A61" s="18" t="s">
        <v>124</v>
      </c>
      <c r="B61" s="18" t="s">
        <v>121</v>
      </c>
      <c r="C61" s="18">
        <v>9871</v>
      </c>
      <c r="D61" s="18" t="s">
        <v>34</v>
      </c>
      <c r="E61" s="45" t="s">
        <v>123</v>
      </c>
      <c r="F61" s="18" t="s">
        <v>119</v>
      </c>
      <c r="G61" s="18">
        <v>18</v>
      </c>
      <c r="H61" s="66">
        <v>34.96</v>
      </c>
      <c r="I61" s="14">
        <f t="shared" si="6"/>
        <v>5.3558720000000006</v>
      </c>
      <c r="J61" s="14">
        <f t="shared" si="7"/>
        <v>40.315871999999999</v>
      </c>
      <c r="K61" s="14">
        <f t="shared" si="8"/>
        <v>1.2094761599999998E-2</v>
      </c>
      <c r="L61" s="14">
        <f t="shared" si="9"/>
        <v>40.303777238400002</v>
      </c>
      <c r="M61" s="14">
        <f t="shared" si="10"/>
        <v>725.46799029120007</v>
      </c>
      <c r="N61" s="14">
        <f t="shared" si="11"/>
        <v>1.6568720379146917</v>
      </c>
      <c r="O61" s="135"/>
    </row>
    <row r="62" spans="1:15" s="19" customFormat="1" ht="17.100000000000001" customHeight="1" x14ac:dyDescent="0.2">
      <c r="A62" s="18" t="s">
        <v>122</v>
      </c>
      <c r="B62" s="18" t="s">
        <v>121</v>
      </c>
      <c r="C62" s="18">
        <v>9872</v>
      </c>
      <c r="D62" s="18" t="s">
        <v>34</v>
      </c>
      <c r="E62" s="45" t="s">
        <v>120</v>
      </c>
      <c r="F62" s="18" t="s">
        <v>119</v>
      </c>
      <c r="G62" s="18">
        <v>18</v>
      </c>
      <c r="H62" s="66">
        <v>48.63</v>
      </c>
      <c r="I62" s="14">
        <f t="shared" si="6"/>
        <v>7.4501160000000004</v>
      </c>
      <c r="J62" s="14">
        <f t="shared" si="7"/>
        <v>56.080116000000004</v>
      </c>
      <c r="K62" s="14">
        <f t="shared" si="8"/>
        <v>1.6824034799999998E-2</v>
      </c>
      <c r="L62" s="14">
        <f t="shared" si="9"/>
        <v>56.063291965200001</v>
      </c>
      <c r="M62" s="14">
        <f t="shared" si="10"/>
        <v>1009.1392553736</v>
      </c>
      <c r="N62" s="14">
        <f t="shared" si="11"/>
        <v>1.3910183066361554</v>
      </c>
      <c r="O62" s="135"/>
    </row>
    <row r="63" spans="1:15" s="19" customFormat="1" ht="17.100000000000001" customHeight="1" x14ac:dyDescent="0.2">
      <c r="A63" s="18" t="s">
        <v>196</v>
      </c>
      <c r="B63" s="18" t="s">
        <v>121</v>
      </c>
      <c r="C63" s="18" t="s">
        <v>118</v>
      </c>
      <c r="D63" s="18" t="s">
        <v>108</v>
      </c>
      <c r="E63" s="45" t="s">
        <v>117</v>
      </c>
      <c r="F63" s="18" t="s">
        <v>21</v>
      </c>
      <c r="G63" s="18">
        <v>10</v>
      </c>
      <c r="H63" s="65">
        <v>110.8</v>
      </c>
      <c r="I63" s="14">
        <f t="shared" si="6"/>
        <v>16.97456</v>
      </c>
      <c r="J63" s="14">
        <f t="shared" si="7"/>
        <v>127.77455999999999</v>
      </c>
      <c r="K63" s="14">
        <f t="shared" si="8"/>
        <v>3.8332367999999992E-2</v>
      </c>
      <c r="L63" s="14">
        <f t="shared" si="9"/>
        <v>127.73622763199999</v>
      </c>
      <c r="M63" s="14">
        <f t="shared" si="10"/>
        <v>1277.3622763199999</v>
      </c>
      <c r="N63" s="14">
        <f t="shared" si="11"/>
        <v>1.2657938629561083</v>
      </c>
      <c r="O63" s="135"/>
    </row>
    <row r="64" spans="1:15" s="19" customFormat="1" ht="17.100000000000001" customHeight="1" x14ac:dyDescent="0.2">
      <c r="A64" s="18"/>
      <c r="B64" s="18"/>
      <c r="C64" s="18"/>
      <c r="D64" s="18"/>
      <c r="E64" s="45"/>
      <c r="F64" s="18"/>
      <c r="G64" s="18"/>
      <c r="H64" s="42"/>
      <c r="I64" s="14"/>
      <c r="J64" s="14"/>
      <c r="K64" s="14"/>
      <c r="L64" s="14"/>
      <c r="M64" s="14"/>
      <c r="N64" s="14"/>
      <c r="O64" s="135"/>
    </row>
    <row r="65" spans="1:15" s="19" customFormat="1" ht="17.100000000000001" customHeight="1" x14ac:dyDescent="0.2">
      <c r="A65" s="18"/>
      <c r="B65" s="18"/>
      <c r="C65" s="23"/>
      <c r="D65" s="18"/>
      <c r="E65" s="24"/>
      <c r="F65" s="18"/>
      <c r="G65" s="18"/>
      <c r="H65" s="27"/>
      <c r="I65" s="14"/>
      <c r="J65" s="14"/>
      <c r="K65" s="14"/>
      <c r="L65" s="14"/>
      <c r="M65" s="14"/>
      <c r="N65" s="14"/>
      <c r="O65" s="135"/>
    </row>
    <row r="66" spans="1:15" s="28" customFormat="1" ht="17.100000000000001" customHeight="1" x14ac:dyDescent="0.25">
      <c r="A66" s="144" t="s">
        <v>16</v>
      </c>
      <c r="B66" s="122" t="s">
        <v>17</v>
      </c>
      <c r="C66" s="122" t="s">
        <v>18</v>
      </c>
      <c r="D66" s="122" t="s">
        <v>19</v>
      </c>
      <c r="E66" s="122" t="s">
        <v>20</v>
      </c>
      <c r="F66" s="122" t="s">
        <v>21</v>
      </c>
      <c r="G66" s="122" t="s">
        <v>22</v>
      </c>
      <c r="H66" s="133" t="s">
        <v>23</v>
      </c>
      <c r="I66" s="133"/>
      <c r="J66" s="133"/>
      <c r="K66" s="133"/>
      <c r="L66" s="134"/>
      <c r="M66" s="122" t="s">
        <v>24</v>
      </c>
      <c r="N66" s="122" t="s">
        <v>25</v>
      </c>
      <c r="O66" s="88"/>
    </row>
    <row r="67" spans="1:15" s="28" customFormat="1" ht="17.100000000000001" customHeight="1" x14ac:dyDescent="0.25">
      <c r="A67" s="145"/>
      <c r="B67" s="123"/>
      <c r="C67" s="123"/>
      <c r="D67" s="123"/>
      <c r="E67" s="123"/>
      <c r="F67" s="123"/>
      <c r="G67" s="123"/>
      <c r="H67" s="4" t="s">
        <v>27</v>
      </c>
      <c r="I67" s="4" t="s">
        <v>28</v>
      </c>
      <c r="J67" s="4" t="s">
        <v>29</v>
      </c>
      <c r="K67" s="4" t="s">
        <v>53</v>
      </c>
      <c r="L67" s="4" t="s">
        <v>30</v>
      </c>
      <c r="M67" s="123"/>
      <c r="N67" s="123"/>
      <c r="O67" s="88"/>
    </row>
    <row r="68" spans="1:15" s="29" customFormat="1" ht="17.100000000000001" customHeight="1" x14ac:dyDescent="0.2">
      <c r="A68" s="30">
        <v>3</v>
      </c>
      <c r="B68" s="124" t="s">
        <v>38</v>
      </c>
      <c r="C68" s="125"/>
      <c r="D68" s="125"/>
      <c r="E68" s="125"/>
      <c r="F68" s="126"/>
      <c r="G68" s="31"/>
      <c r="H68" s="31"/>
      <c r="I68" s="31"/>
      <c r="J68" s="31"/>
      <c r="K68" s="31"/>
      <c r="L68" s="31"/>
      <c r="M68" s="32">
        <f>SUM(M69:M84)</f>
        <v>28469.721498746534</v>
      </c>
      <c r="N68" s="31"/>
      <c r="O68" s="88"/>
    </row>
    <row r="69" spans="1:15" s="29" customFormat="1" ht="26.25" customHeight="1" x14ac:dyDescent="0.2">
      <c r="A69" s="33" t="s">
        <v>77</v>
      </c>
      <c r="B69" s="33" t="s">
        <v>33</v>
      </c>
      <c r="C69" s="33" t="s">
        <v>58</v>
      </c>
      <c r="D69" s="33" t="s">
        <v>34</v>
      </c>
      <c r="E69" s="34" t="s">
        <v>59</v>
      </c>
      <c r="F69" s="35" t="s">
        <v>35</v>
      </c>
      <c r="G69" s="33">
        <v>100</v>
      </c>
      <c r="H69" s="63">
        <v>32.57</v>
      </c>
      <c r="I69" s="37">
        <f>H69*0.2232</f>
        <v>7.2696240000000003</v>
      </c>
      <c r="J69" s="37">
        <f>H69+I69</f>
        <v>39.839624000000001</v>
      </c>
      <c r="K69" s="37">
        <f>J69*(0.03%)</f>
        <v>1.1951887199999999E-2</v>
      </c>
      <c r="L69" s="37">
        <f>J69-K69</f>
        <v>39.827672112800002</v>
      </c>
      <c r="M69" s="37">
        <f>L69*G69</f>
        <v>3982.7672112800001</v>
      </c>
      <c r="N69" s="37">
        <f>M69/M$16</f>
        <v>6.4442984677725718E-2</v>
      </c>
      <c r="O69" s="135"/>
    </row>
    <row r="70" spans="1:15" s="29" customFormat="1" ht="26.25" customHeight="1" x14ac:dyDescent="0.2">
      <c r="A70" s="59" t="s">
        <v>194</v>
      </c>
      <c r="B70" s="59" t="s">
        <v>33</v>
      </c>
      <c r="C70" s="59">
        <v>88241</v>
      </c>
      <c r="D70" s="59" t="s">
        <v>34</v>
      </c>
      <c r="E70" s="61" t="s">
        <v>65</v>
      </c>
      <c r="F70" s="62" t="s">
        <v>35</v>
      </c>
      <c r="G70" s="59">
        <v>180</v>
      </c>
      <c r="H70" s="63">
        <v>28.07</v>
      </c>
      <c r="I70" s="14">
        <f>H70*0.2232</f>
        <v>6.2652239999999999</v>
      </c>
      <c r="J70" s="14">
        <f>H70+I70</f>
        <v>34.335223999999997</v>
      </c>
      <c r="K70" s="14">
        <f>J70*(0.03%)</f>
        <v>1.0300567199999998E-2</v>
      </c>
      <c r="L70" s="14">
        <f>J70-K70</f>
        <v>34.324923432799999</v>
      </c>
      <c r="M70" s="14">
        <f>L70*G70</f>
        <v>6178.4862179040001</v>
      </c>
      <c r="N70" s="37">
        <f>M70/M$16</f>
        <v>9.9970716727871334E-2</v>
      </c>
      <c r="O70" s="135"/>
    </row>
    <row r="71" spans="1:15" s="29" customFormat="1" ht="23.25" customHeight="1" x14ac:dyDescent="0.2">
      <c r="A71" s="33" t="s">
        <v>82</v>
      </c>
      <c r="B71" s="33" t="s">
        <v>33</v>
      </c>
      <c r="C71" s="33" t="s">
        <v>60</v>
      </c>
      <c r="D71" s="33" t="s">
        <v>34</v>
      </c>
      <c r="E71" s="34" t="s">
        <v>61</v>
      </c>
      <c r="F71" s="35" t="s">
        <v>35</v>
      </c>
      <c r="G71" s="60">
        <v>100</v>
      </c>
      <c r="H71" s="63">
        <v>30.38</v>
      </c>
      <c r="I71" s="37">
        <f>H71*0.2232</f>
        <v>6.7808159999999997</v>
      </c>
      <c r="J71" s="37">
        <f>H71+I71</f>
        <v>37.160815999999997</v>
      </c>
      <c r="K71" s="37">
        <f>J71*(0.03%)</f>
        <v>1.1148244799999998E-2</v>
      </c>
      <c r="L71" s="37">
        <f>J71-K71</f>
        <v>37.149667755199999</v>
      </c>
      <c r="M71" s="37">
        <f>L71*G71</f>
        <v>3714.9667755199998</v>
      </c>
      <c r="N71" s="37">
        <f>M71/M$16</f>
        <v>6.0109851842471813E-2</v>
      </c>
      <c r="O71" s="135"/>
    </row>
    <row r="72" spans="1:15" s="29" customFormat="1" ht="23.25" customHeight="1" x14ac:dyDescent="0.2">
      <c r="A72" s="11" t="s">
        <v>78</v>
      </c>
      <c r="B72" s="11" t="s">
        <v>33</v>
      </c>
      <c r="C72" s="11">
        <v>88310</v>
      </c>
      <c r="D72" s="11" t="s">
        <v>34</v>
      </c>
      <c r="E72" s="20" t="s">
        <v>83</v>
      </c>
      <c r="F72" s="13" t="s">
        <v>35</v>
      </c>
      <c r="G72" s="59">
        <f>45+60</f>
        <v>105</v>
      </c>
      <c r="H72" s="63">
        <v>35.880000000000003</v>
      </c>
      <c r="I72" s="14">
        <f>H72*0.2232</f>
        <v>8.0084160000000004</v>
      </c>
      <c r="J72" s="14">
        <f>H72+I72</f>
        <v>43.888416000000007</v>
      </c>
      <c r="K72" s="14">
        <f>J72*(0.03%)</f>
        <v>1.3166524800000001E-2</v>
      </c>
      <c r="L72" s="14">
        <f>J72-K72</f>
        <v>43.875249475200008</v>
      </c>
      <c r="M72" s="14">
        <f>L72*G72</f>
        <v>4606.9011948960006</v>
      </c>
      <c r="N72" s="14">
        <f>M72/M$16</f>
        <v>7.4541756363175893E-2</v>
      </c>
      <c r="O72" s="135"/>
    </row>
    <row r="73" spans="1:15" s="29" customFormat="1" ht="23.25" customHeight="1" x14ac:dyDescent="0.2">
      <c r="A73" s="11" t="s">
        <v>116</v>
      </c>
      <c r="B73" s="17" t="s">
        <v>33</v>
      </c>
      <c r="C73" s="52">
        <v>93588</v>
      </c>
      <c r="D73" s="52" t="s">
        <v>34</v>
      </c>
      <c r="E73" s="54" t="s">
        <v>115</v>
      </c>
      <c r="F73" s="53" t="s">
        <v>114</v>
      </c>
      <c r="G73" s="52">
        <f>13*17</f>
        <v>221</v>
      </c>
      <c r="H73" s="71">
        <v>3.19</v>
      </c>
      <c r="I73" s="51">
        <f>H73*0.2232</f>
        <v>0.71200799999999997</v>
      </c>
      <c r="J73" s="51">
        <f>H73+I73</f>
        <v>3.9020079999999999</v>
      </c>
      <c r="K73" s="51">
        <f>J73*(0.03%)</f>
        <v>1.1706023999999999E-3</v>
      </c>
      <c r="L73" s="51">
        <f>J73-K73</f>
        <v>3.9008373975999997</v>
      </c>
      <c r="M73" s="51">
        <f>L73*G73</f>
        <v>862.08506486959993</v>
      </c>
      <c r="N73" s="51">
        <f>M73/M72</f>
        <v>0.18712905452035883</v>
      </c>
      <c r="O73" s="135"/>
    </row>
    <row r="74" spans="1:15" s="29" customFormat="1" ht="23.25" customHeight="1" x14ac:dyDescent="0.2">
      <c r="A74" s="165" t="s">
        <v>113</v>
      </c>
      <c r="B74" s="166"/>
      <c r="C74" s="166"/>
      <c r="D74" s="166"/>
      <c r="E74" s="166"/>
      <c r="F74" s="166"/>
      <c r="G74" s="166"/>
      <c r="H74" s="166"/>
      <c r="I74" s="166"/>
      <c r="J74" s="166"/>
      <c r="K74" s="166"/>
      <c r="L74" s="166"/>
      <c r="M74" s="166"/>
      <c r="N74" s="167"/>
      <c r="O74" s="135"/>
    </row>
    <row r="75" spans="1:15" s="29" customFormat="1" ht="23.25" customHeight="1" x14ac:dyDescent="0.2">
      <c r="A75" s="11" t="s">
        <v>112</v>
      </c>
      <c r="B75" s="11" t="s">
        <v>33</v>
      </c>
      <c r="C75" s="73">
        <v>100701</v>
      </c>
      <c r="D75" s="48" t="s">
        <v>34</v>
      </c>
      <c r="E75" s="49" t="s">
        <v>111</v>
      </c>
      <c r="F75" s="48" t="s">
        <v>95</v>
      </c>
      <c r="G75" s="48">
        <f>1*2.7*1.6</f>
        <v>4.32</v>
      </c>
      <c r="H75" s="72">
        <v>566.45000000000005</v>
      </c>
      <c r="I75" s="46">
        <f>H75*0.2232</f>
        <v>126.43164000000002</v>
      </c>
      <c r="J75" s="46">
        <f>H75+I75</f>
        <v>692.88164000000006</v>
      </c>
      <c r="K75" s="47">
        <f>J75*(0.03%)</f>
        <v>0.20786449200000001</v>
      </c>
      <c r="L75" s="46">
        <f>J75-K75</f>
        <v>692.67377550800006</v>
      </c>
      <c r="M75" s="46">
        <f>L75*G75</f>
        <v>2992.3507101945606</v>
      </c>
      <c r="N75" s="46">
        <f>M75/M68</f>
        <v>0.10510642720289019</v>
      </c>
      <c r="O75" s="135"/>
    </row>
    <row r="76" spans="1:15" s="29" customFormat="1" ht="23.25" customHeight="1" x14ac:dyDescent="0.2">
      <c r="A76" s="11" t="s">
        <v>110</v>
      </c>
      <c r="B76" s="11" t="s">
        <v>33</v>
      </c>
      <c r="C76" s="48" t="s">
        <v>109</v>
      </c>
      <c r="D76" s="48" t="s">
        <v>108</v>
      </c>
      <c r="E76" s="49" t="s">
        <v>107</v>
      </c>
      <c r="F76" s="48" t="s">
        <v>95</v>
      </c>
      <c r="G76" s="48">
        <v>1</v>
      </c>
      <c r="H76" s="74">
        <v>1549.26</v>
      </c>
      <c r="I76" s="46">
        <f>H76*0.2232</f>
        <v>345.79483199999999</v>
      </c>
      <c r="J76" s="46">
        <f>H76+I76</f>
        <v>1895.054832</v>
      </c>
      <c r="K76" s="47">
        <f>J76*(0.03%)</f>
        <v>0.56851644959999992</v>
      </c>
      <c r="L76" s="46">
        <f>J76-K76</f>
        <v>1894.4863155503999</v>
      </c>
      <c r="M76" s="46">
        <f>L76*G76</f>
        <v>1894.4863155503999</v>
      </c>
      <c r="N76" s="46">
        <f>M76/M69</f>
        <v>0.47567086275713844</v>
      </c>
      <c r="O76" s="135"/>
    </row>
    <row r="77" spans="1:15" s="29" customFormat="1" ht="23.25" customHeight="1" x14ac:dyDescent="0.2">
      <c r="A77" s="11" t="s">
        <v>106</v>
      </c>
      <c r="B77" s="11" t="s">
        <v>33</v>
      </c>
      <c r="C77" s="48">
        <v>100746</v>
      </c>
      <c r="D77" s="48" t="s">
        <v>34</v>
      </c>
      <c r="E77" s="49" t="s">
        <v>102</v>
      </c>
      <c r="F77" s="48" t="s">
        <v>95</v>
      </c>
      <c r="G77" s="48">
        <f>G75*2</f>
        <v>8.64</v>
      </c>
      <c r="H77" s="75">
        <v>29.83</v>
      </c>
      <c r="I77" s="46">
        <f>H77*0.2232</f>
        <v>6.6580560000000002</v>
      </c>
      <c r="J77" s="46">
        <f>H77+I77</f>
        <v>36.488056</v>
      </c>
      <c r="K77" s="47">
        <f>J77*(0.03%)</f>
        <v>1.0946416799999999E-2</v>
      </c>
      <c r="L77" s="46">
        <f>J77-K77</f>
        <v>36.477109583199997</v>
      </c>
      <c r="M77" s="46">
        <f>L77*G77</f>
        <v>315.162226798848</v>
      </c>
      <c r="N77" s="46">
        <f>M77/M68</f>
        <v>1.1070084644583684E-2</v>
      </c>
      <c r="O77" s="135"/>
    </row>
    <row r="78" spans="1:15" s="29" customFormat="1" ht="23.25" customHeight="1" x14ac:dyDescent="0.2">
      <c r="A78" s="165" t="s">
        <v>105</v>
      </c>
      <c r="B78" s="166"/>
      <c r="C78" s="166"/>
      <c r="D78" s="166"/>
      <c r="E78" s="166"/>
      <c r="F78" s="166"/>
      <c r="G78" s="166"/>
      <c r="H78" s="166"/>
      <c r="I78" s="166"/>
      <c r="J78" s="166"/>
      <c r="K78" s="166"/>
      <c r="L78" s="166"/>
      <c r="M78" s="166"/>
      <c r="N78" s="167"/>
      <c r="O78" s="135"/>
    </row>
    <row r="79" spans="1:15" s="29" customFormat="1" ht="23.25" customHeight="1" x14ac:dyDescent="0.2">
      <c r="A79" s="11" t="s">
        <v>104</v>
      </c>
      <c r="B79" s="11" t="s">
        <v>33</v>
      </c>
      <c r="C79" s="48" t="s">
        <v>97</v>
      </c>
      <c r="D79" s="48" t="s">
        <v>34</v>
      </c>
      <c r="E79" s="49" t="s">
        <v>96</v>
      </c>
      <c r="F79" s="48" t="s">
        <v>95</v>
      </c>
      <c r="G79" s="48">
        <v>182</v>
      </c>
      <c r="H79" s="75">
        <v>14.4</v>
      </c>
      <c r="I79" s="46">
        <f>H79*0.2232</f>
        <v>3.21408</v>
      </c>
      <c r="J79" s="46">
        <f>H79+I79</f>
        <v>17.614080000000001</v>
      </c>
      <c r="K79" s="47">
        <f>J79*(0.03%)</f>
        <v>5.2842239999999997E-3</v>
      </c>
      <c r="L79" s="46">
        <f>J79-K79</f>
        <v>17.608795776000001</v>
      </c>
      <c r="M79" s="46">
        <f>L79*G79</f>
        <v>3204.8008312320003</v>
      </c>
      <c r="N79" s="46">
        <f>M79/M68</f>
        <v>0.11256874540810317</v>
      </c>
      <c r="O79" s="135"/>
    </row>
    <row r="80" spans="1:15" s="29" customFormat="1" ht="23.25" customHeight="1" x14ac:dyDescent="0.2">
      <c r="A80" s="11" t="s">
        <v>103</v>
      </c>
      <c r="B80" s="11" t="s">
        <v>33</v>
      </c>
      <c r="C80" s="48">
        <v>100746</v>
      </c>
      <c r="D80" s="48" t="s">
        <v>34</v>
      </c>
      <c r="E80" s="49" t="s">
        <v>102</v>
      </c>
      <c r="F80" s="48" t="s">
        <v>95</v>
      </c>
      <c r="G80" s="48">
        <v>9.1999999999999993</v>
      </c>
      <c r="H80" s="75">
        <v>29.83</v>
      </c>
      <c r="I80" s="46">
        <f>H80*0.2232</f>
        <v>6.6580560000000002</v>
      </c>
      <c r="J80" s="46">
        <f>H80+I80</f>
        <v>36.488056</v>
      </c>
      <c r="K80" s="47">
        <f>J80*(0.03%)</f>
        <v>1.0946416799999999E-2</v>
      </c>
      <c r="L80" s="46">
        <f>J80-K80</f>
        <v>36.477109583199997</v>
      </c>
      <c r="M80" s="46">
        <f>L80*G80</f>
        <v>335.58940816543992</v>
      </c>
      <c r="N80" s="46">
        <f>M80/M68</f>
        <v>1.1787590130806698E-2</v>
      </c>
      <c r="O80" s="135"/>
    </row>
    <row r="81" spans="1:15" s="29" customFormat="1" ht="23.25" customHeight="1" x14ac:dyDescent="0.2">
      <c r="A81" s="11" t="s">
        <v>101</v>
      </c>
      <c r="B81" s="11" t="s">
        <v>33</v>
      </c>
      <c r="C81" s="48">
        <v>88485</v>
      </c>
      <c r="D81" s="50" t="s">
        <v>34</v>
      </c>
      <c r="E81" s="49" t="s">
        <v>100</v>
      </c>
      <c r="F81" s="48" t="s">
        <v>95</v>
      </c>
      <c r="G81" s="48">
        <v>42</v>
      </c>
      <c r="H81" s="75">
        <v>4.91</v>
      </c>
      <c r="I81" s="46">
        <f>H81*0.2232</f>
        <v>1.095912</v>
      </c>
      <c r="J81" s="46">
        <f>H81+I81</f>
        <v>6.0059120000000004</v>
      </c>
      <c r="K81" s="47">
        <f>J81*(0.03%)</f>
        <v>1.8017736E-3</v>
      </c>
      <c r="L81" s="46">
        <f>J81-K81</f>
        <v>6.0041102264000008</v>
      </c>
      <c r="M81" s="46">
        <f>L81*G81</f>
        <v>252.17262950880004</v>
      </c>
      <c r="N81" s="46">
        <f>M81/M80</f>
        <v>0.75143202786806429</v>
      </c>
      <c r="O81" s="135"/>
    </row>
    <row r="82" spans="1:15" s="29" customFormat="1" ht="23.25" customHeight="1" x14ac:dyDescent="0.2">
      <c r="A82" s="165" t="s">
        <v>99</v>
      </c>
      <c r="B82" s="166"/>
      <c r="C82" s="166"/>
      <c r="D82" s="166"/>
      <c r="E82" s="166"/>
      <c r="F82" s="166"/>
      <c r="G82" s="166"/>
      <c r="H82" s="166"/>
      <c r="I82" s="166"/>
      <c r="J82" s="166"/>
      <c r="K82" s="166"/>
      <c r="L82" s="166"/>
      <c r="M82" s="166"/>
      <c r="N82" s="167"/>
      <c r="O82" s="135"/>
    </row>
    <row r="83" spans="1:15" s="29" customFormat="1" ht="23.25" customHeight="1" x14ac:dyDescent="0.2">
      <c r="A83" s="11" t="s">
        <v>98</v>
      </c>
      <c r="B83" s="11" t="s">
        <v>33</v>
      </c>
      <c r="C83" s="48" t="s">
        <v>97</v>
      </c>
      <c r="D83" s="48" t="s">
        <v>34</v>
      </c>
      <c r="E83" s="49" t="s">
        <v>96</v>
      </c>
      <c r="F83" s="48" t="s">
        <v>95</v>
      </c>
      <c r="G83" s="73">
        <f>5.85+1.53</f>
        <v>7.38</v>
      </c>
      <c r="H83" s="72">
        <v>14.4</v>
      </c>
      <c r="I83" s="46">
        <f>H83*0.2232</f>
        <v>3.21408</v>
      </c>
      <c r="J83" s="46">
        <f>H83+I83</f>
        <v>17.614080000000001</v>
      </c>
      <c r="K83" s="47">
        <f>J83*(0.03%)</f>
        <v>5.2842239999999997E-3</v>
      </c>
      <c r="L83" s="46">
        <f>J83-K83</f>
        <v>17.608795776000001</v>
      </c>
      <c r="M83" s="46">
        <f>L83*G83</f>
        <v>129.95291282688001</v>
      </c>
      <c r="N83" s="46">
        <f>M83/M68</f>
        <v>4.5646007753395688E-3</v>
      </c>
      <c r="O83" s="135"/>
    </row>
    <row r="84" spans="1:15" s="29" customFormat="1" ht="23.25" customHeight="1" x14ac:dyDescent="0.2">
      <c r="A84" s="33"/>
      <c r="B84" s="33"/>
      <c r="C84" s="33"/>
      <c r="D84" s="33"/>
      <c r="E84" s="34"/>
      <c r="F84" s="35"/>
      <c r="G84" s="33"/>
      <c r="H84" s="36"/>
      <c r="I84" s="37"/>
      <c r="J84" s="37"/>
      <c r="K84" s="37"/>
      <c r="L84" s="37"/>
      <c r="M84" s="37"/>
      <c r="N84" s="37"/>
      <c r="O84" s="135"/>
    </row>
    <row r="85" spans="1:15" s="41" customFormat="1" ht="17.100000000000001" customHeight="1" x14ac:dyDescent="0.2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135"/>
    </row>
    <row r="86" spans="1:15" s="41" customFormat="1" ht="17.100000000000001" customHeight="1" x14ac:dyDescent="0.2">
      <c r="A86" s="127"/>
      <c r="B86" s="128"/>
      <c r="C86" s="128"/>
      <c r="D86" s="128"/>
      <c r="E86" s="128"/>
      <c r="F86" s="128"/>
      <c r="G86" s="128"/>
      <c r="H86" s="39" t="s">
        <v>39</v>
      </c>
      <c r="I86" s="40"/>
      <c r="J86" s="129">
        <f>M16+M31+M68</f>
        <v>104287.21455440778</v>
      </c>
      <c r="K86" s="130"/>
      <c r="L86" s="130"/>
      <c r="M86" s="130"/>
      <c r="N86" s="131"/>
      <c r="O86" s="88"/>
    </row>
    <row r="87" spans="1:15" ht="17.100000000000001" customHeight="1" x14ac:dyDescent="0.25">
      <c r="A87" s="102" t="s">
        <v>94</v>
      </c>
      <c r="B87" s="103"/>
      <c r="C87" s="103"/>
      <c r="D87" s="103"/>
      <c r="E87" s="103"/>
      <c r="F87" s="103"/>
      <c r="G87" s="103"/>
      <c r="H87" s="118"/>
      <c r="I87" s="118"/>
      <c r="J87" s="118"/>
      <c r="K87" s="118"/>
      <c r="L87" s="118"/>
      <c r="M87" s="118"/>
      <c r="N87" s="132"/>
      <c r="O87" s="88"/>
    </row>
    <row r="88" spans="1:15" ht="17.100000000000001" customHeight="1" x14ac:dyDescent="0.25">
      <c r="A88" s="119"/>
      <c r="B88" s="103"/>
      <c r="C88" s="103"/>
      <c r="D88" s="103"/>
      <c r="E88" s="103"/>
      <c r="F88" s="103"/>
      <c r="G88" s="103"/>
      <c r="H88" s="103"/>
      <c r="I88" s="103"/>
      <c r="J88" s="103"/>
      <c r="K88" s="103"/>
      <c r="L88" s="103"/>
      <c r="M88" s="103"/>
      <c r="N88" s="104"/>
      <c r="O88" s="88"/>
    </row>
    <row r="89" spans="1:15" ht="17.100000000000001" customHeight="1" x14ac:dyDescent="0.25">
      <c r="A89" s="119"/>
      <c r="B89" s="103"/>
      <c r="C89" s="103"/>
      <c r="D89" s="103"/>
      <c r="E89" s="103"/>
      <c r="F89" s="103"/>
      <c r="G89" s="103"/>
      <c r="H89" s="103"/>
      <c r="I89" s="103"/>
      <c r="J89" s="103"/>
      <c r="K89" s="103"/>
      <c r="L89" s="103"/>
      <c r="M89" s="103"/>
      <c r="N89" s="104"/>
      <c r="O89" s="88"/>
    </row>
    <row r="90" spans="1:15" ht="17.100000000000001" customHeight="1" x14ac:dyDescent="0.25">
      <c r="A90" s="119"/>
      <c r="B90" s="103"/>
      <c r="C90" s="103"/>
      <c r="D90" s="103"/>
      <c r="E90" s="103"/>
      <c r="F90" s="103"/>
      <c r="G90" s="103"/>
      <c r="H90" s="103"/>
      <c r="I90" s="103"/>
      <c r="J90" s="103"/>
      <c r="K90" s="103"/>
      <c r="L90" s="103"/>
      <c r="M90" s="103"/>
      <c r="N90" s="104"/>
      <c r="O90" s="88"/>
    </row>
    <row r="91" spans="1:15" ht="17.100000000000001" customHeight="1" x14ac:dyDescent="0.25">
      <c r="A91" s="119"/>
      <c r="B91" s="103"/>
      <c r="C91" s="103"/>
      <c r="D91" s="103"/>
      <c r="E91" s="103"/>
      <c r="F91" s="103"/>
      <c r="G91" s="103"/>
      <c r="H91" s="103"/>
      <c r="I91" s="103"/>
      <c r="J91" s="103"/>
      <c r="K91" s="103"/>
      <c r="L91" s="103"/>
      <c r="M91" s="103"/>
      <c r="N91" s="104"/>
      <c r="O91" s="88"/>
    </row>
    <row r="92" spans="1:15" ht="17.100000000000001" customHeight="1" x14ac:dyDescent="0.25">
      <c r="A92" s="119"/>
      <c r="B92" s="103"/>
      <c r="C92" s="103"/>
      <c r="D92" s="103"/>
      <c r="E92" s="103"/>
      <c r="F92" s="103"/>
      <c r="G92" s="103"/>
      <c r="H92" s="103"/>
      <c r="I92" s="103"/>
      <c r="J92" s="103"/>
      <c r="K92" s="103"/>
      <c r="L92" s="103"/>
      <c r="M92" s="103"/>
      <c r="N92" s="104"/>
      <c r="O92" s="88"/>
    </row>
    <row r="93" spans="1:15" ht="17.100000000000001" customHeight="1" x14ac:dyDescent="0.25">
      <c r="A93" s="105"/>
      <c r="B93" s="106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7"/>
      <c r="O93" s="88"/>
    </row>
    <row r="94" spans="1:15" ht="17.100000000000001" customHeight="1" x14ac:dyDescent="0.25">
      <c r="A94" s="76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8"/>
    </row>
    <row r="95" spans="1:15" ht="17.100000000000001" customHeight="1" x14ac:dyDescent="0.25">
      <c r="A95" s="79" t="s">
        <v>40</v>
      </c>
      <c r="B95" s="80"/>
      <c r="C95" s="80"/>
      <c r="D95" s="80"/>
      <c r="E95" s="80"/>
      <c r="F95" s="80"/>
      <c r="G95" s="81" t="s">
        <v>41</v>
      </c>
      <c r="H95" s="81"/>
      <c r="I95" s="81"/>
      <c r="J95" s="81"/>
      <c r="K95" s="82"/>
      <c r="L95" s="83"/>
      <c r="M95" s="83"/>
      <c r="N95" s="84"/>
      <c r="O95" s="88" t="s">
        <v>42</v>
      </c>
    </row>
    <row r="96" spans="1:15" ht="17.100000000000001" customHeight="1" x14ac:dyDescent="0.25">
      <c r="A96" s="90" t="s">
        <v>43</v>
      </c>
      <c r="B96" s="91"/>
      <c r="C96" s="91"/>
      <c r="D96" s="91"/>
      <c r="E96" s="91"/>
      <c r="F96" s="92"/>
      <c r="G96" s="96" t="s">
        <v>44</v>
      </c>
      <c r="H96" s="91"/>
      <c r="I96" s="91"/>
      <c r="J96" s="92"/>
      <c r="K96" s="85"/>
      <c r="L96" s="86"/>
      <c r="M96" s="86"/>
      <c r="N96" s="87"/>
      <c r="O96" s="88"/>
    </row>
    <row r="97" spans="1:19" ht="17.100000000000001" customHeight="1" x14ac:dyDescent="0.25">
      <c r="A97" s="93"/>
      <c r="B97" s="94"/>
      <c r="C97" s="94"/>
      <c r="D97" s="94"/>
      <c r="E97" s="94"/>
      <c r="F97" s="95"/>
      <c r="G97" s="97"/>
      <c r="H97" s="94"/>
      <c r="I97" s="94"/>
      <c r="J97" s="95"/>
      <c r="K97" s="85"/>
      <c r="L97" s="86"/>
      <c r="M97" s="86"/>
      <c r="N97" s="87"/>
      <c r="O97" s="88"/>
    </row>
    <row r="98" spans="1:19" ht="17.100000000000001" customHeight="1" x14ac:dyDescent="0.25">
      <c r="A98" s="93"/>
      <c r="B98" s="94"/>
      <c r="C98" s="94"/>
      <c r="D98" s="94"/>
      <c r="E98" s="94"/>
      <c r="F98" s="95"/>
      <c r="G98" s="97"/>
      <c r="H98" s="94"/>
      <c r="I98" s="94"/>
      <c r="J98" s="95"/>
      <c r="K98" s="85"/>
      <c r="L98" s="86"/>
      <c r="M98" s="86"/>
      <c r="N98" s="87"/>
      <c r="O98" s="88"/>
    </row>
    <row r="99" spans="1:19" ht="17.100000000000001" customHeight="1" x14ac:dyDescent="0.25">
      <c r="A99" s="93"/>
      <c r="B99" s="94"/>
      <c r="C99" s="94"/>
      <c r="D99" s="94"/>
      <c r="E99" s="94"/>
      <c r="F99" s="95"/>
      <c r="G99" s="97"/>
      <c r="H99" s="94"/>
      <c r="I99" s="94"/>
      <c r="J99" s="95"/>
      <c r="K99" s="85"/>
      <c r="L99" s="86"/>
      <c r="M99" s="86"/>
      <c r="N99" s="87"/>
      <c r="O99" s="88"/>
    </row>
    <row r="100" spans="1:19" ht="17.100000000000001" customHeight="1" x14ac:dyDescent="0.25">
      <c r="A100" s="93"/>
      <c r="B100" s="94"/>
      <c r="C100" s="94"/>
      <c r="D100" s="94"/>
      <c r="E100" s="94"/>
      <c r="F100" s="95"/>
      <c r="G100" s="97"/>
      <c r="H100" s="94"/>
      <c r="I100" s="94"/>
      <c r="J100" s="95"/>
      <c r="K100" s="85"/>
      <c r="L100" s="86"/>
      <c r="M100" s="86"/>
      <c r="N100" s="87"/>
      <c r="O100" s="88"/>
    </row>
    <row r="101" spans="1:19" ht="17.100000000000001" customHeight="1" x14ac:dyDescent="0.25">
      <c r="A101" s="93"/>
      <c r="B101" s="94"/>
      <c r="C101" s="94"/>
      <c r="D101" s="94"/>
      <c r="E101" s="94"/>
      <c r="F101" s="95"/>
      <c r="G101" s="97"/>
      <c r="H101" s="94"/>
      <c r="I101" s="94"/>
      <c r="J101" s="95"/>
      <c r="K101" s="85"/>
      <c r="L101" s="86"/>
      <c r="M101" s="86"/>
      <c r="N101" s="87"/>
      <c r="O101" s="88"/>
    </row>
    <row r="102" spans="1:19" ht="17.100000000000001" customHeight="1" x14ac:dyDescent="0.25">
      <c r="A102" s="93"/>
      <c r="B102" s="94"/>
      <c r="C102" s="94"/>
      <c r="D102" s="94"/>
      <c r="E102" s="94"/>
      <c r="F102" s="95"/>
      <c r="G102" s="97"/>
      <c r="H102" s="94"/>
      <c r="I102" s="94"/>
      <c r="J102" s="95"/>
      <c r="K102" s="85"/>
      <c r="L102" s="86"/>
      <c r="M102" s="86"/>
      <c r="N102" s="87"/>
      <c r="O102" s="88"/>
    </row>
    <row r="103" spans="1:19" ht="17.100000000000001" customHeight="1" thickBot="1" x14ac:dyDescent="0.3">
      <c r="A103" s="93"/>
      <c r="B103" s="94"/>
      <c r="C103" s="94"/>
      <c r="D103" s="94"/>
      <c r="E103" s="94"/>
      <c r="F103" s="95"/>
      <c r="G103" s="97"/>
      <c r="H103" s="94"/>
      <c r="I103" s="94"/>
      <c r="J103" s="95"/>
      <c r="K103" s="85"/>
      <c r="L103" s="86"/>
      <c r="M103" s="86"/>
      <c r="N103" s="87"/>
      <c r="O103" s="89"/>
    </row>
    <row r="104" spans="1:19" ht="17.100000000000001" customHeight="1" thickBot="1" x14ac:dyDescent="0.3">
      <c r="A104" s="99"/>
      <c r="B104" s="100"/>
      <c r="C104" s="100"/>
      <c r="D104" s="100"/>
      <c r="E104" s="100"/>
      <c r="F104" s="100"/>
      <c r="G104" s="100"/>
      <c r="H104" s="100"/>
      <c r="I104" s="100"/>
      <c r="J104" s="100"/>
      <c r="K104" s="100"/>
      <c r="L104" s="100"/>
      <c r="M104" s="100"/>
      <c r="N104" s="100"/>
      <c r="O104" s="101"/>
    </row>
    <row r="105" spans="1:19" ht="17.100000000000001" customHeight="1" x14ac:dyDescent="0.25">
      <c r="A105" s="102" t="s">
        <v>45</v>
      </c>
      <c r="B105" s="103"/>
      <c r="C105" s="103"/>
      <c r="D105" s="104"/>
      <c r="E105" s="108" t="s">
        <v>46</v>
      </c>
      <c r="F105" s="103"/>
      <c r="G105" s="103"/>
      <c r="H105" s="103"/>
      <c r="I105" s="103"/>
      <c r="J105" s="103"/>
      <c r="K105" s="110" t="s">
        <v>47</v>
      </c>
      <c r="L105" s="77"/>
      <c r="M105" s="77"/>
      <c r="N105" s="77"/>
      <c r="O105" s="114" t="s">
        <v>48</v>
      </c>
    </row>
    <row r="106" spans="1:19" ht="17.100000000000001" customHeight="1" x14ac:dyDescent="0.25">
      <c r="A106" s="105"/>
      <c r="B106" s="106"/>
      <c r="C106" s="106"/>
      <c r="D106" s="107"/>
      <c r="E106" s="109"/>
      <c r="F106" s="106"/>
      <c r="G106" s="106"/>
      <c r="H106" s="106"/>
      <c r="I106" s="106"/>
      <c r="J106" s="106"/>
      <c r="K106" s="111"/>
      <c r="L106" s="77"/>
      <c r="M106" s="77"/>
      <c r="N106" s="77"/>
      <c r="O106" s="115"/>
    </row>
    <row r="107" spans="1:19" ht="17.100000000000001" customHeight="1" x14ac:dyDescent="0.25">
      <c r="A107" s="117" t="s">
        <v>49</v>
      </c>
      <c r="B107" s="118"/>
      <c r="C107" s="118"/>
      <c r="D107" s="118"/>
      <c r="E107" s="118"/>
      <c r="F107" s="118"/>
      <c r="G107" s="118"/>
      <c r="H107" s="118"/>
      <c r="I107" s="118"/>
      <c r="J107" s="118"/>
      <c r="K107" s="111"/>
      <c r="L107" s="77"/>
      <c r="M107" s="77"/>
      <c r="N107" s="77"/>
      <c r="O107" s="115"/>
    </row>
    <row r="108" spans="1:19" ht="17.100000000000001" customHeight="1" x14ac:dyDescent="0.25">
      <c r="A108" s="119"/>
      <c r="B108" s="103"/>
      <c r="C108" s="103"/>
      <c r="D108" s="103"/>
      <c r="E108" s="103"/>
      <c r="F108" s="103"/>
      <c r="G108" s="103"/>
      <c r="H108" s="103"/>
      <c r="I108" s="103"/>
      <c r="J108" s="103"/>
      <c r="K108" s="111"/>
      <c r="L108" s="77"/>
      <c r="M108" s="77"/>
      <c r="N108" s="77"/>
      <c r="O108" s="115"/>
    </row>
    <row r="109" spans="1:19" ht="17.100000000000001" customHeight="1" x14ac:dyDescent="0.25">
      <c r="A109" s="119"/>
      <c r="B109" s="103"/>
      <c r="C109" s="103"/>
      <c r="D109" s="103"/>
      <c r="E109" s="103"/>
      <c r="F109" s="103"/>
      <c r="G109" s="103"/>
      <c r="H109" s="103"/>
      <c r="I109" s="103"/>
      <c r="J109" s="103"/>
      <c r="K109" s="111"/>
      <c r="L109" s="77"/>
      <c r="M109" s="77"/>
      <c r="N109" s="77"/>
      <c r="O109" s="115"/>
    </row>
    <row r="110" spans="1:19" ht="17.100000000000001" customHeight="1" x14ac:dyDescent="0.25">
      <c r="A110" s="119"/>
      <c r="B110" s="103"/>
      <c r="C110" s="103"/>
      <c r="D110" s="103"/>
      <c r="E110" s="103"/>
      <c r="F110" s="103"/>
      <c r="G110" s="103"/>
      <c r="H110" s="103"/>
      <c r="I110" s="103"/>
      <c r="J110" s="103"/>
      <c r="K110" s="111"/>
      <c r="L110" s="77"/>
      <c r="M110" s="77"/>
      <c r="N110" s="77"/>
      <c r="O110" s="115"/>
    </row>
    <row r="111" spans="1:19" ht="17.100000000000001" customHeight="1" thickBot="1" x14ac:dyDescent="0.3">
      <c r="A111" s="120"/>
      <c r="B111" s="121"/>
      <c r="C111" s="121"/>
      <c r="D111" s="121"/>
      <c r="E111" s="121"/>
      <c r="F111" s="121"/>
      <c r="G111" s="121"/>
      <c r="H111" s="121"/>
      <c r="I111" s="121"/>
      <c r="J111" s="121"/>
      <c r="K111" s="112"/>
      <c r="L111" s="113"/>
      <c r="M111" s="113"/>
      <c r="N111" s="113"/>
      <c r="O111" s="116"/>
    </row>
    <row r="112" spans="1:19" ht="14.1" customHeight="1" x14ac:dyDescent="0.25">
      <c r="A112" s="98"/>
      <c r="B112" s="98"/>
      <c r="C112" s="98"/>
      <c r="D112" s="98"/>
      <c r="E112" s="98"/>
      <c r="F112" s="98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</row>
    <row r="113" ht="14.1" customHeight="1" x14ac:dyDescent="0.25"/>
    <row r="114" ht="14.1" customHeight="1" x14ac:dyDescent="0.25"/>
    <row r="115" ht="14.1" customHeight="1" x14ac:dyDescent="0.25"/>
  </sheetData>
  <mergeCells count="75">
    <mergeCell ref="A94:O94"/>
    <mergeCell ref="A95:F95"/>
    <mergeCell ref="G95:J95"/>
    <mergeCell ref="K95:N103"/>
    <mergeCell ref="O95:O103"/>
    <mergeCell ref="A96:F103"/>
    <mergeCell ref="G96:J103"/>
    <mergeCell ref="A112:J112"/>
    <mergeCell ref="K112:S112"/>
    <mergeCell ref="A104:O104"/>
    <mergeCell ref="A105:D106"/>
    <mergeCell ref="E105:J106"/>
    <mergeCell ref="K105:N111"/>
    <mergeCell ref="O105:O111"/>
    <mergeCell ref="A107:J111"/>
    <mergeCell ref="A78:N78"/>
    <mergeCell ref="A82:N82"/>
    <mergeCell ref="O14:O93"/>
    <mergeCell ref="A29:A30"/>
    <mergeCell ref="B29:B30"/>
    <mergeCell ref="C29:C30"/>
    <mergeCell ref="D29:D30"/>
    <mergeCell ref="E29:E30"/>
    <mergeCell ref="F29:F30"/>
    <mergeCell ref="N66:N67"/>
    <mergeCell ref="B68:F68"/>
    <mergeCell ref="A86:G86"/>
    <mergeCell ref="J86:N86"/>
    <mergeCell ref="A87:N93"/>
    <mergeCell ref="E66:E67"/>
    <mergeCell ref="F66:F67"/>
    <mergeCell ref="A66:A67"/>
    <mergeCell ref="B66:B67"/>
    <mergeCell ref="C66:C67"/>
    <mergeCell ref="D66:D67"/>
    <mergeCell ref="A74:N74"/>
    <mergeCell ref="G66:G67"/>
    <mergeCell ref="H66:L66"/>
    <mergeCell ref="M66:M67"/>
    <mergeCell ref="G29:G30"/>
    <mergeCell ref="H29:L29"/>
    <mergeCell ref="M29:M30"/>
    <mergeCell ref="N29:N30"/>
    <mergeCell ref="B31:F31"/>
    <mergeCell ref="A14:A15"/>
    <mergeCell ref="B14:B15"/>
    <mergeCell ref="C14:C15"/>
    <mergeCell ref="D14:D15"/>
    <mergeCell ref="E14:E15"/>
    <mergeCell ref="F14:F15"/>
    <mergeCell ref="G14:G15"/>
    <mergeCell ref="H14:L14"/>
    <mergeCell ref="M14:M15"/>
    <mergeCell ref="N14:N15"/>
    <mergeCell ref="J4:L4"/>
    <mergeCell ref="M4:N4"/>
    <mergeCell ref="J5:L5"/>
    <mergeCell ref="M5:N5"/>
    <mergeCell ref="J6:L6"/>
    <mergeCell ref="J13:N13"/>
    <mergeCell ref="M6:N6"/>
    <mergeCell ref="A7:I7"/>
    <mergeCell ref="J7:N7"/>
    <mergeCell ref="O7:O13"/>
    <mergeCell ref="A8:I13"/>
    <mergeCell ref="J8:N8"/>
    <mergeCell ref="J9:N9"/>
    <mergeCell ref="J10:N10"/>
    <mergeCell ref="J11:N11"/>
    <mergeCell ref="J12:N12"/>
    <mergeCell ref="A1:I6"/>
    <mergeCell ref="J1:O1"/>
    <mergeCell ref="J2:O2"/>
    <mergeCell ref="J3:L3"/>
    <mergeCell ref="M3:N3"/>
  </mergeCells>
  <phoneticPr fontId="13" type="noConversion"/>
  <hyperlinks>
    <hyperlink ref="E46" r:id="rId1" display="VALVULA DE DESCARGA EM METAL CROMADO PARA MICTORIO COM ACIONAMENTO POR PRESSAO E FECHAMENTO AUTOMATICO" xr:uid="{246B6F77-F31C-4664-9134-71833F7B99F3}"/>
  </hyperlinks>
  <pageMargins left="0.25" right="0.25" top="0.75" bottom="0.75" header="0.3" footer="0.3"/>
  <pageSetup paperSize="9" scale="53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D8A88-8B1E-482F-AB90-3BA836D4A30B}">
  <dimension ref="B1:P18"/>
  <sheetViews>
    <sheetView workbookViewId="0">
      <selection activeCell="P2" sqref="P2"/>
    </sheetView>
  </sheetViews>
  <sheetFormatPr defaultRowHeight="15" x14ac:dyDescent="0.25"/>
  <cols>
    <col min="16" max="16" width="18.140625" customWidth="1"/>
  </cols>
  <sheetData>
    <row r="1" spans="2:16" x14ac:dyDescent="0.25">
      <c r="I1" t="s">
        <v>189</v>
      </c>
      <c r="K1" t="s">
        <v>190</v>
      </c>
      <c r="O1" t="s">
        <v>192</v>
      </c>
      <c r="P1" t="s">
        <v>193</v>
      </c>
    </row>
    <row r="2" spans="2:16" x14ac:dyDescent="0.25">
      <c r="B2" t="str">
        <f>'1 a 12'!E17</f>
        <v>ENCARREGADO GERAL COM ENCARGOS COMPLEMENTARES</v>
      </c>
      <c r="I2">
        <f>'1 a 12'!G17</f>
        <v>85</v>
      </c>
      <c r="K2">
        <f>'13 a 30'!G17</f>
        <v>147.5</v>
      </c>
      <c r="M2">
        <f>I2+K2</f>
        <v>232.5</v>
      </c>
      <c r="O2">
        <f>M2</f>
        <v>232.5</v>
      </c>
    </row>
    <row r="3" spans="2:16" x14ac:dyDescent="0.25">
      <c r="B3" t="str">
        <f>'1 a 12'!E18</f>
        <v>ENCANADOR OU BOMBEIRO HIDRÁULICO COM ENCARGOS COMPLEMENTARES</v>
      </c>
      <c r="I3">
        <f>'1 a 12'!G18</f>
        <v>85</v>
      </c>
      <c r="K3">
        <f>'13 a 30'!G18</f>
        <v>144.5</v>
      </c>
      <c r="M3">
        <f t="shared" ref="M3:M13" si="0">I3+K3</f>
        <v>229.5</v>
      </c>
      <c r="O3">
        <f t="shared" ref="O3:O12" si="1">M3</f>
        <v>229.5</v>
      </c>
    </row>
    <row r="4" spans="2:16" x14ac:dyDescent="0.25">
      <c r="B4" t="str">
        <f>'1 a 12'!E19</f>
        <v>ENCANADOR OU BOMBEIRO HIDRÁULICO COM ENCARGOS COMPLEMENTARES</v>
      </c>
      <c r="I4">
        <f>'1 a 12'!G19</f>
        <v>80</v>
      </c>
      <c r="K4">
        <f>'13 a 30'!G19</f>
        <v>130</v>
      </c>
      <c r="M4">
        <f t="shared" si="0"/>
        <v>210</v>
      </c>
      <c r="O4">
        <f t="shared" si="1"/>
        <v>210</v>
      </c>
    </row>
    <row r="5" spans="2:16" x14ac:dyDescent="0.25">
      <c r="B5" t="str">
        <f>'1 a 12'!E20</f>
        <v>AUXILIAR DE ENCANADOR OU BOMBEIRO HIDRÁULICO COM ENCARGOS COMPLEMENTARES</v>
      </c>
      <c r="I5">
        <f>'1 a 12'!G20</f>
        <v>80</v>
      </c>
      <c r="K5">
        <f>'13 a 30'!G20</f>
        <v>155</v>
      </c>
      <c r="M5">
        <f t="shared" si="0"/>
        <v>235</v>
      </c>
      <c r="O5">
        <f t="shared" si="1"/>
        <v>235</v>
      </c>
    </row>
    <row r="6" spans="2:16" x14ac:dyDescent="0.25">
      <c r="B6" t="str">
        <f>'1 a 12'!E21</f>
        <v>AUXILIAR DE ENCANADOR OU BOMBEIRO HIDRÁULICO COM ENCARGOS COMPLEMENTARES</v>
      </c>
      <c r="I6">
        <f>'1 a 12'!G21</f>
        <v>80</v>
      </c>
      <c r="K6">
        <f>'13 a 30'!G21</f>
        <v>145</v>
      </c>
      <c r="M6">
        <f t="shared" si="0"/>
        <v>225</v>
      </c>
      <c r="O6">
        <f t="shared" si="1"/>
        <v>225</v>
      </c>
    </row>
    <row r="7" spans="2:16" x14ac:dyDescent="0.25">
      <c r="B7" t="str">
        <f>'1 a 12'!E22</f>
        <v>PEDREIRO COM ENCARGOS COMPLEMENTARES</v>
      </c>
      <c r="I7">
        <f>'1 a 12'!G22</f>
        <v>80</v>
      </c>
      <c r="K7">
        <f>'13 a 30'!G22</f>
        <v>145</v>
      </c>
      <c r="M7">
        <f t="shared" si="0"/>
        <v>225</v>
      </c>
      <c r="O7">
        <f t="shared" si="1"/>
        <v>225</v>
      </c>
    </row>
    <row r="8" spans="2:16" x14ac:dyDescent="0.25">
      <c r="B8" t="str">
        <f>'1 a 12'!E23</f>
        <v>PEDREIRO COM ENCARGOS COMPLEMENTARES</v>
      </c>
      <c r="I8">
        <f>'1 a 12'!G23</f>
        <v>80</v>
      </c>
      <c r="K8">
        <f>'13 a 30'!G23</f>
        <v>145</v>
      </c>
      <c r="M8">
        <f t="shared" si="0"/>
        <v>225</v>
      </c>
      <c r="O8">
        <f t="shared" si="1"/>
        <v>225</v>
      </c>
    </row>
    <row r="9" spans="2:16" x14ac:dyDescent="0.25">
      <c r="B9" t="str">
        <f>'1 a 12'!E24</f>
        <v>AJUDANTE DE PEDREIRO COM ENCARGOS COMPLEMENTARES</v>
      </c>
      <c r="I9">
        <f>'1 a 12'!G24</f>
        <v>80</v>
      </c>
      <c r="K9">
        <f>'13 a 30'!G24</f>
        <v>130</v>
      </c>
      <c r="M9">
        <f t="shared" si="0"/>
        <v>210</v>
      </c>
      <c r="O9">
        <f t="shared" si="1"/>
        <v>210</v>
      </c>
    </row>
    <row r="10" spans="2:16" x14ac:dyDescent="0.25">
      <c r="B10" t="str">
        <f>'1 a 12'!E25</f>
        <v>AJUDANTE DE PEDREIRO COM ENCARGOS COMPLEMENTARES</v>
      </c>
      <c r="I10">
        <f>'1 a 12'!G25</f>
        <v>80</v>
      </c>
      <c r="K10">
        <f>'13 a 30'!G25</f>
        <v>130</v>
      </c>
      <c r="M10">
        <f t="shared" si="0"/>
        <v>210</v>
      </c>
      <c r="O10">
        <f t="shared" si="1"/>
        <v>210</v>
      </c>
    </row>
    <row r="11" spans="2:16" x14ac:dyDescent="0.25">
      <c r="B11" t="str">
        <f>'1 a 12'!E26</f>
        <v>AJUDANTE DE PEDREIRO COM ENCARGOS COMPLEMENTARES</v>
      </c>
      <c r="I11">
        <f>'1 a 12'!G26</f>
        <v>80</v>
      </c>
      <c r="K11">
        <f>'13 a 30'!G26</f>
        <v>130</v>
      </c>
      <c r="M11">
        <f t="shared" si="0"/>
        <v>210</v>
      </c>
      <c r="O11">
        <f t="shared" si="1"/>
        <v>210</v>
      </c>
    </row>
    <row r="12" spans="2:16" x14ac:dyDescent="0.25">
      <c r="B12" t="str">
        <f>'1 a 12'!E27</f>
        <v>AJUDANTE DE OPERAÇÃO EM GERAL COM ENCARGOS COMPLEMENTARES</v>
      </c>
      <c r="I12">
        <f>'1 a 12'!G27</f>
        <v>80</v>
      </c>
      <c r="K12">
        <f>'13 a 30'!G27</f>
        <v>91</v>
      </c>
      <c r="M12">
        <f t="shared" si="0"/>
        <v>171</v>
      </c>
      <c r="O12">
        <f t="shared" si="1"/>
        <v>171</v>
      </c>
    </row>
    <row r="13" spans="2:16" x14ac:dyDescent="0.25">
      <c r="B13" t="str">
        <f>'1 a 12'!E28</f>
        <v>AJUDANTE DE OPERAÇÃO EM GERAL COM ENCARGOS COMPLEMENTARES</v>
      </c>
      <c r="I13">
        <f>'1 a 12'!G28</f>
        <v>80</v>
      </c>
      <c r="K13">
        <f>'13 a 30'!G28</f>
        <v>28</v>
      </c>
      <c r="M13">
        <f t="shared" si="0"/>
        <v>108</v>
      </c>
      <c r="N13" t="s">
        <v>191</v>
      </c>
      <c r="O13" s="58">
        <v>108</v>
      </c>
    </row>
    <row r="16" spans="2:16" x14ac:dyDescent="0.25">
      <c r="B16" t="str">
        <f>'1 a 12'!E41</f>
        <v>PEDREIRO COM ENCARGOS COMPLEMENTARES</v>
      </c>
      <c r="I16">
        <f>'1 a 12'!G41</f>
        <v>80</v>
      </c>
      <c r="K16">
        <f>'13 a 30'!G69</f>
        <v>100</v>
      </c>
      <c r="M16">
        <f>K16+I16</f>
        <v>180</v>
      </c>
      <c r="O16">
        <f>M16</f>
        <v>180</v>
      </c>
    </row>
    <row r="17" spans="2:15" x14ac:dyDescent="0.25">
      <c r="B17" t="str">
        <f>'1 a 12'!E42</f>
        <v>AJUDANTE DE PEDREIRO COM ENCARGOS COMPLEMENTARES</v>
      </c>
      <c r="I17">
        <f>'1 a 12'!G42</f>
        <v>80</v>
      </c>
      <c r="K17">
        <f>'13 a 30'!G71</f>
        <v>100</v>
      </c>
      <c r="M17">
        <f t="shared" ref="M17:M18" si="2">K17+I17</f>
        <v>180</v>
      </c>
      <c r="O17">
        <f t="shared" ref="O17:O18" si="3">M17</f>
        <v>180</v>
      </c>
    </row>
    <row r="18" spans="2:15" x14ac:dyDescent="0.25">
      <c r="B18" t="str">
        <f>'1 a 12'!E43</f>
        <v>PINTOR COM ENCARGOS COMPLEMENTARES</v>
      </c>
      <c r="I18">
        <f>'1 a 12'!G43</f>
        <v>0</v>
      </c>
      <c r="K18">
        <f>'13 a 30'!G72</f>
        <v>105</v>
      </c>
      <c r="M18">
        <f t="shared" si="2"/>
        <v>105</v>
      </c>
      <c r="O18">
        <f t="shared" si="3"/>
        <v>105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B24"/>
  <sheetViews>
    <sheetView topLeftCell="A19" workbookViewId="0">
      <selection activeCell="B8" sqref="B8"/>
    </sheetView>
  </sheetViews>
  <sheetFormatPr defaultRowHeight="15" x14ac:dyDescent="0.25"/>
  <cols>
    <col min="2" max="2" width="46.28515625" bestFit="1" customWidth="1"/>
  </cols>
  <sheetData>
    <row r="3" spans="2:2" x14ac:dyDescent="0.25">
      <c r="B3" t="s">
        <v>84</v>
      </c>
    </row>
    <row r="4" spans="2:2" x14ac:dyDescent="0.25">
      <c r="B4" t="s">
        <v>85</v>
      </c>
    </row>
    <row r="5" spans="2:2" x14ac:dyDescent="0.25">
      <c r="B5" t="s">
        <v>86</v>
      </c>
    </row>
    <row r="6" spans="2:2" x14ac:dyDescent="0.25">
      <c r="B6" t="s">
        <v>87</v>
      </c>
    </row>
    <row r="7" spans="2:2" x14ac:dyDescent="0.25">
      <c r="B7">
        <v>1</v>
      </c>
    </row>
    <row r="8" spans="2:2" x14ac:dyDescent="0.25">
      <c r="B8" t="s">
        <v>88</v>
      </c>
    </row>
    <row r="9" spans="2:2" x14ac:dyDescent="0.25">
      <c r="B9" s="44">
        <v>20</v>
      </c>
    </row>
    <row r="10" spans="2:2" x14ac:dyDescent="0.25">
      <c r="B10" s="44">
        <v>40</v>
      </c>
    </row>
    <row r="11" spans="2:2" x14ac:dyDescent="0.25">
      <c r="B11">
        <v>7</v>
      </c>
    </row>
    <row r="12" spans="2:2" x14ac:dyDescent="0.25">
      <c r="B12" t="s">
        <v>89</v>
      </c>
    </row>
    <row r="13" spans="2:2" x14ac:dyDescent="0.25">
      <c r="B13" s="44">
        <v>45</v>
      </c>
    </row>
    <row r="14" spans="2:2" x14ac:dyDescent="0.25">
      <c r="B14" s="44">
        <v>315</v>
      </c>
    </row>
    <row r="15" spans="2:2" x14ac:dyDescent="0.25">
      <c r="B15">
        <v>7</v>
      </c>
    </row>
    <row r="16" spans="2:2" x14ac:dyDescent="0.25">
      <c r="B16" t="s">
        <v>90</v>
      </c>
    </row>
    <row r="17" spans="2:2" x14ac:dyDescent="0.25">
      <c r="B17" s="44">
        <v>45</v>
      </c>
    </row>
    <row r="18" spans="2:2" x14ac:dyDescent="0.25">
      <c r="B18" s="44">
        <v>315</v>
      </c>
    </row>
    <row r="19" spans="2:2" x14ac:dyDescent="0.25">
      <c r="B19">
        <v>7</v>
      </c>
    </row>
    <row r="20" spans="2:2" x14ac:dyDescent="0.25">
      <c r="B20" t="s">
        <v>91</v>
      </c>
    </row>
    <row r="21" spans="2:2" x14ac:dyDescent="0.25">
      <c r="B21" s="44">
        <v>690</v>
      </c>
    </row>
    <row r="22" spans="2:2" x14ac:dyDescent="0.25">
      <c r="B22" s="44">
        <v>4830</v>
      </c>
    </row>
    <row r="23" spans="2:2" x14ac:dyDescent="0.25">
      <c r="B23">
        <v>7</v>
      </c>
    </row>
    <row r="24" spans="2:2" x14ac:dyDescent="0.25">
      <c r="B24" t="s">
        <v>92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8C476279ECFF49B7018EB20C51517F" ma:contentTypeVersion="12" ma:contentTypeDescription="Crie um novo documento." ma:contentTypeScope="" ma:versionID="34a0628b53b29352da2689cb67653714">
  <xsd:schema xmlns:xsd="http://www.w3.org/2001/XMLSchema" xmlns:xs="http://www.w3.org/2001/XMLSchema" xmlns:p="http://schemas.microsoft.com/office/2006/metadata/properties" xmlns:ns1="http://schemas.microsoft.com/sharepoint/v3" xmlns:ns2="0e7c8a86-84e5-4d34-8d3b-2e08d231c207" xmlns:ns3="1d1dcbf2-98b8-40e7-8092-e982a632e348" targetNamespace="http://schemas.microsoft.com/office/2006/metadata/properties" ma:root="true" ma:fieldsID="226731e1c54f699cb1f59e9a6e85886a" ns1:_="" ns2:_="" ns3:_="">
    <xsd:import namespace="http://schemas.microsoft.com/sharepoint/v3"/>
    <xsd:import namespace="0e7c8a86-84e5-4d34-8d3b-2e08d231c207"/>
    <xsd:import namespace="1d1dcbf2-98b8-40e7-8092-e982a632e3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7c8a86-84e5-4d34-8d3b-2e08d231c2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1691ea95-0c2d-4cc1-8ba1-2cbd03c807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1dcbf2-98b8-40e7-8092-e982a632e34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c2901c6-92c3-4448-8229-dbefe5f23788}" ma:internalName="TaxCatchAll" ma:showField="CatchAllData" ma:web="1d1dcbf2-98b8-40e7-8092-e982a632e3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7c8a86-84e5-4d34-8d3b-2e08d231c207">
      <Terms xmlns="http://schemas.microsoft.com/office/infopath/2007/PartnerControls"/>
    </lcf76f155ced4ddcb4097134ff3c332f>
    <TaxCatchAll xmlns="1d1dcbf2-98b8-40e7-8092-e982a632e348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015A3C77-8F5A-46C6-A458-642EC7895A8E}"/>
</file>

<file path=customXml/itemProps2.xml><?xml version="1.0" encoding="utf-8"?>
<ds:datastoreItem xmlns:ds="http://schemas.openxmlformats.org/officeDocument/2006/customXml" ds:itemID="{12A4D50F-8949-49E7-9612-3229031380A4}"/>
</file>

<file path=customXml/itemProps3.xml><?xml version="1.0" encoding="utf-8"?>
<ds:datastoreItem xmlns:ds="http://schemas.openxmlformats.org/officeDocument/2006/customXml" ds:itemID="{8884E40F-78E2-4D42-A24B-87DCA28695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2</vt:i4>
      </vt:variant>
    </vt:vector>
  </HeadingPairs>
  <TitlesOfParts>
    <vt:vector size="6" baseType="lpstr">
      <vt:lpstr>1 a 12</vt:lpstr>
      <vt:lpstr>13 a 30</vt:lpstr>
      <vt:lpstr>Planilha3</vt:lpstr>
      <vt:lpstr>Planilha1</vt:lpstr>
      <vt:lpstr>'1 a 12'!Area_de_impressao</vt:lpstr>
      <vt:lpstr>'13 a 30'!Area_de_impressao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Anivaldo Junior</dc:creator>
  <cp:lastModifiedBy>Ivan</cp:lastModifiedBy>
  <cp:lastPrinted>2024-07-22T10:50:46Z</cp:lastPrinted>
  <dcterms:created xsi:type="dcterms:W3CDTF">2022-01-02T19:12:46Z</dcterms:created>
  <dcterms:modified xsi:type="dcterms:W3CDTF">2024-07-22T10:50:52Z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0x0101006F8C476279ECFF49B7018EB20C51517F</vt:lpwstr>
  </property>
</Properties>
</file>