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9-Outubro-24\"/>
    </mc:Choice>
  </mc:AlternateContent>
  <xr:revisionPtr revIDLastSave="0" documentId="13_ncr:1_{FC56953E-1F08-471B-BF7A-4629404F5F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Vidros" sheetId="2" r:id="rId2"/>
  </sheets>
  <definedNames>
    <definedName name="_xlnm.Print_Area" localSheetId="0">'São Carlos'!$A$1:$O$147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6" i="1" l="1"/>
  <c r="I116" i="1"/>
  <c r="J116" i="1" s="1"/>
  <c r="G111" i="1"/>
  <c r="I111" i="1"/>
  <c r="J111" i="1" s="1"/>
  <c r="G106" i="1"/>
  <c r="I106" i="1"/>
  <c r="J106" i="1" s="1"/>
  <c r="G118" i="1"/>
  <c r="I119" i="1"/>
  <c r="J119" i="1" s="1"/>
  <c r="I118" i="1"/>
  <c r="J118" i="1" s="1"/>
  <c r="K116" i="1" l="1"/>
  <c r="L116" i="1" s="1"/>
  <c r="M116" i="1" s="1"/>
  <c r="K111" i="1"/>
  <c r="L111" i="1" s="1"/>
  <c r="M111" i="1" s="1"/>
  <c r="K106" i="1"/>
  <c r="L106" i="1" s="1"/>
  <c r="M106" i="1" s="1"/>
  <c r="K118" i="1"/>
  <c r="L118" i="1" s="1"/>
  <c r="M118" i="1" s="1"/>
  <c r="K119" i="1"/>
  <c r="L119" i="1" s="1"/>
  <c r="M119" i="1" s="1"/>
  <c r="I96" i="1" l="1"/>
  <c r="J96" i="1" s="1"/>
  <c r="I100" i="1"/>
  <c r="J100" i="1" s="1"/>
  <c r="I99" i="1"/>
  <c r="J99" i="1" s="1"/>
  <c r="I98" i="1"/>
  <c r="J98" i="1" s="1"/>
  <c r="I115" i="1"/>
  <c r="J115" i="1" s="1"/>
  <c r="I114" i="1"/>
  <c r="J114" i="1" s="1"/>
  <c r="I113" i="1"/>
  <c r="J113" i="1" s="1"/>
  <c r="I110" i="1"/>
  <c r="J110" i="1" s="1"/>
  <c r="I109" i="1"/>
  <c r="J109" i="1" s="1"/>
  <c r="I108" i="1"/>
  <c r="J108" i="1" s="1"/>
  <c r="I104" i="1"/>
  <c r="J104" i="1" s="1"/>
  <c r="K17" i="2"/>
  <c r="K16" i="2"/>
  <c r="I19" i="2"/>
  <c r="I18" i="2"/>
  <c r="G93" i="1"/>
  <c r="I93" i="1"/>
  <c r="J93" i="1" s="1"/>
  <c r="I84" i="1"/>
  <c r="J84" i="1" s="1"/>
  <c r="K96" i="1" l="1"/>
  <c r="L96" i="1" s="1"/>
  <c r="M96" i="1" s="1"/>
  <c r="K100" i="1"/>
  <c r="L100" i="1" s="1"/>
  <c r="M100" i="1" s="1"/>
  <c r="K99" i="1"/>
  <c r="L99" i="1" s="1"/>
  <c r="M99" i="1" s="1"/>
  <c r="K98" i="1"/>
  <c r="L98" i="1" s="1"/>
  <c r="M98" i="1" s="1"/>
  <c r="N106" i="1" s="1"/>
  <c r="K113" i="1"/>
  <c r="L113" i="1" s="1"/>
  <c r="M113" i="1" s="1"/>
  <c r="K114" i="1"/>
  <c r="L114" i="1" s="1"/>
  <c r="M114" i="1" s="1"/>
  <c r="K115" i="1"/>
  <c r="L115" i="1" s="1"/>
  <c r="M115" i="1" s="1"/>
  <c r="K110" i="1"/>
  <c r="L110" i="1" s="1"/>
  <c r="M110" i="1" s="1"/>
  <c r="K109" i="1"/>
  <c r="L109" i="1" s="1"/>
  <c r="M109" i="1" s="1"/>
  <c r="K108" i="1"/>
  <c r="L108" i="1" s="1"/>
  <c r="M108" i="1" s="1"/>
  <c r="K104" i="1"/>
  <c r="L104" i="1" s="1"/>
  <c r="M104" i="1" s="1"/>
  <c r="K93" i="1"/>
  <c r="L93" i="1" s="1"/>
  <c r="M93" i="1" s="1"/>
  <c r="K84" i="1"/>
  <c r="L84" i="1" s="1"/>
  <c r="M84" i="1" s="1"/>
  <c r="N116" i="1" l="1"/>
  <c r="G83" i="1"/>
  <c r="I83" i="1"/>
  <c r="J83" i="1" s="1"/>
  <c r="G82" i="1"/>
  <c r="I82" i="1"/>
  <c r="J82" i="1" s="1"/>
  <c r="I81" i="1"/>
  <c r="J81" i="1" s="1"/>
  <c r="K81" i="1" s="1"/>
  <c r="I80" i="1"/>
  <c r="J80" i="1" s="1"/>
  <c r="K80" i="1" s="1"/>
  <c r="G79" i="1"/>
  <c r="I79" i="1"/>
  <c r="J79" i="1" s="1"/>
  <c r="I78" i="1"/>
  <c r="J78" i="1" s="1"/>
  <c r="G78" i="1"/>
  <c r="G77" i="1"/>
  <c r="I77" i="1"/>
  <c r="J77" i="1" s="1"/>
  <c r="G76" i="1"/>
  <c r="I76" i="1"/>
  <c r="J76" i="1" s="1"/>
  <c r="K83" i="1" l="1"/>
  <c r="L83" i="1" s="1"/>
  <c r="M83" i="1" s="1"/>
  <c r="K82" i="1"/>
  <c r="L82" i="1" s="1"/>
  <c r="M82" i="1" s="1"/>
  <c r="L81" i="1"/>
  <c r="M81" i="1" s="1"/>
  <c r="L80" i="1"/>
  <c r="M80" i="1" s="1"/>
  <c r="K79" i="1"/>
  <c r="L79" i="1" s="1"/>
  <c r="M79" i="1" s="1"/>
  <c r="K78" i="1"/>
  <c r="L78" i="1" s="1"/>
  <c r="M78" i="1" s="1"/>
  <c r="K77" i="1"/>
  <c r="L77" i="1" s="1"/>
  <c r="M77" i="1" s="1"/>
  <c r="K76" i="1"/>
  <c r="L76" i="1" s="1"/>
  <c r="M76" i="1" s="1"/>
  <c r="N77" i="1" l="1"/>
  <c r="N80" i="1"/>
  <c r="N81" i="1"/>
  <c r="N82" i="1"/>
  <c r="N78" i="1"/>
  <c r="N79" i="1"/>
  <c r="N83" i="1"/>
  <c r="N84" i="1"/>
  <c r="I75" i="1" l="1"/>
  <c r="J75" i="1" s="1"/>
  <c r="I74" i="1"/>
  <c r="J74" i="1" s="1"/>
  <c r="I73" i="1"/>
  <c r="J73" i="1" s="1"/>
  <c r="I72" i="1"/>
  <c r="J72" i="1" s="1"/>
  <c r="I71" i="1"/>
  <c r="J71" i="1" s="1"/>
  <c r="K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K63" i="1" s="1"/>
  <c r="I62" i="1"/>
  <c r="J62" i="1" s="1"/>
  <c r="I61" i="1"/>
  <c r="J61" i="1" s="1"/>
  <c r="I59" i="1"/>
  <c r="J59" i="1" s="1"/>
  <c r="I60" i="1"/>
  <c r="J60" i="1" s="1"/>
  <c r="K60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2" i="1"/>
  <c r="J42" i="1" s="1"/>
  <c r="I40" i="1"/>
  <c r="J40" i="1" s="1"/>
  <c r="I39" i="1"/>
  <c r="J39" i="1" s="1"/>
  <c r="I37" i="1"/>
  <c r="J37" i="1" s="1"/>
  <c r="I38" i="1"/>
  <c r="J38" i="1" s="1"/>
  <c r="K38" i="1" s="1"/>
  <c r="I41" i="1"/>
  <c r="J41" i="1" s="1"/>
  <c r="I43" i="1"/>
  <c r="J43" i="1" s="1"/>
  <c r="I44" i="1"/>
  <c r="J44" i="1" s="1"/>
  <c r="K44" i="1" s="1"/>
  <c r="G38" i="1"/>
  <c r="G36" i="1"/>
  <c r="I36" i="1"/>
  <c r="J36" i="1" s="1"/>
  <c r="I35" i="1"/>
  <c r="J35" i="1" s="1"/>
  <c r="I34" i="1"/>
  <c r="J34" i="1" s="1"/>
  <c r="I33" i="1"/>
  <c r="J33" i="1" s="1"/>
  <c r="I32" i="1"/>
  <c r="J32" i="1" s="1"/>
  <c r="K46" i="1" l="1"/>
  <c r="L46" i="1" s="1"/>
  <c r="M46" i="1" s="1"/>
  <c r="K59" i="1"/>
  <c r="L59" i="1" s="1"/>
  <c r="M59" i="1" s="1"/>
  <c r="K61" i="1"/>
  <c r="L61" i="1" s="1"/>
  <c r="M61" i="1" s="1"/>
  <c r="L63" i="1"/>
  <c r="M63" i="1" s="1"/>
  <c r="K75" i="1"/>
  <c r="L75" i="1" s="1"/>
  <c r="M75" i="1" s="1"/>
  <c r="K74" i="1"/>
  <c r="L74" i="1" s="1"/>
  <c r="M74" i="1" s="1"/>
  <c r="K73" i="1"/>
  <c r="L73" i="1" s="1"/>
  <c r="M73" i="1" s="1"/>
  <c r="K72" i="1"/>
  <c r="L72" i="1" s="1"/>
  <c r="M72" i="1" s="1"/>
  <c r="L71" i="1"/>
  <c r="M71" i="1" s="1"/>
  <c r="K70" i="1"/>
  <c r="L70" i="1" s="1"/>
  <c r="M70" i="1" s="1"/>
  <c r="K69" i="1"/>
  <c r="L69" i="1" s="1"/>
  <c r="M69" i="1" s="1"/>
  <c r="K68" i="1"/>
  <c r="L68" i="1" s="1"/>
  <c r="M68" i="1" s="1"/>
  <c r="K67" i="1"/>
  <c r="L67" i="1" s="1"/>
  <c r="M67" i="1" s="1"/>
  <c r="K66" i="1"/>
  <c r="L66" i="1" s="1"/>
  <c r="M66" i="1" s="1"/>
  <c r="K65" i="1"/>
  <c r="L65" i="1" s="1"/>
  <c r="M65" i="1" s="1"/>
  <c r="K64" i="1"/>
  <c r="L64" i="1" s="1"/>
  <c r="M64" i="1" s="1"/>
  <c r="N64" i="1" s="1"/>
  <c r="K62" i="1"/>
  <c r="L62" i="1" s="1"/>
  <c r="M62" i="1" s="1"/>
  <c r="L60" i="1"/>
  <c r="M60" i="1" s="1"/>
  <c r="K58" i="1"/>
  <c r="L58" i="1" s="1"/>
  <c r="M58" i="1" s="1"/>
  <c r="K57" i="1"/>
  <c r="L57" i="1" s="1"/>
  <c r="M57" i="1" s="1"/>
  <c r="K56" i="1"/>
  <c r="L56" i="1" s="1"/>
  <c r="M56" i="1" s="1"/>
  <c r="K55" i="1"/>
  <c r="L55" i="1" s="1"/>
  <c r="M55" i="1" s="1"/>
  <c r="K54" i="1"/>
  <c r="L54" i="1" s="1"/>
  <c r="M54" i="1" s="1"/>
  <c r="K53" i="1"/>
  <c r="L53" i="1" s="1"/>
  <c r="M53" i="1" s="1"/>
  <c r="K52" i="1"/>
  <c r="L52" i="1" s="1"/>
  <c r="M52" i="1" s="1"/>
  <c r="K51" i="1"/>
  <c r="L51" i="1" s="1"/>
  <c r="M51" i="1" s="1"/>
  <c r="K50" i="1"/>
  <c r="L50" i="1" s="1"/>
  <c r="M50" i="1" s="1"/>
  <c r="K49" i="1"/>
  <c r="L49" i="1" s="1"/>
  <c r="M49" i="1" s="1"/>
  <c r="K48" i="1"/>
  <c r="L48" i="1" s="1"/>
  <c r="M48" i="1" s="1"/>
  <c r="K47" i="1"/>
  <c r="L47" i="1" s="1"/>
  <c r="M47" i="1" s="1"/>
  <c r="K45" i="1"/>
  <c r="L45" i="1" s="1"/>
  <c r="M45" i="1" s="1"/>
  <c r="K42" i="1"/>
  <c r="L42" i="1" s="1"/>
  <c r="M42" i="1" s="1"/>
  <c r="K40" i="1"/>
  <c r="L40" i="1" s="1"/>
  <c r="M40" i="1" s="1"/>
  <c r="K39" i="1"/>
  <c r="L39" i="1" s="1"/>
  <c r="M39" i="1" s="1"/>
  <c r="K41" i="1"/>
  <c r="L41" i="1" s="1"/>
  <c r="M41" i="1" s="1"/>
  <c r="K43" i="1"/>
  <c r="L43" i="1" s="1"/>
  <c r="M43" i="1" s="1"/>
  <c r="N43" i="1" s="1"/>
  <c r="K37" i="1"/>
  <c r="L37" i="1" s="1"/>
  <c r="M37" i="1" s="1"/>
  <c r="L44" i="1"/>
  <c r="M44" i="1" s="1"/>
  <c r="L38" i="1"/>
  <c r="M38" i="1" s="1"/>
  <c r="K36" i="1"/>
  <c r="L36" i="1" s="1"/>
  <c r="M36" i="1" s="1"/>
  <c r="K35" i="1"/>
  <c r="L35" i="1" s="1"/>
  <c r="M35" i="1" s="1"/>
  <c r="K34" i="1"/>
  <c r="L34" i="1" s="1"/>
  <c r="M34" i="1" s="1"/>
  <c r="K33" i="1"/>
  <c r="L33" i="1" s="1"/>
  <c r="M33" i="1" s="1"/>
  <c r="K32" i="1"/>
  <c r="L32" i="1" s="1"/>
  <c r="M32" i="1" s="1"/>
  <c r="H4" i="2"/>
  <c r="H13" i="2" s="1"/>
  <c r="H5" i="2"/>
  <c r="H6" i="2"/>
  <c r="H7" i="2"/>
  <c r="H8" i="2"/>
  <c r="H9" i="2"/>
  <c r="H10" i="2"/>
  <c r="H11" i="2"/>
  <c r="H12" i="2"/>
  <c r="N47" i="1" l="1"/>
  <c r="N62" i="1"/>
  <c r="N72" i="1"/>
  <c r="N45" i="1"/>
  <c r="N40" i="1"/>
  <c r="N56" i="1"/>
  <c r="N50" i="1"/>
  <c r="N52" i="1"/>
  <c r="N37" i="1"/>
  <c r="N66" i="1"/>
  <c r="N69" i="1"/>
  <c r="N59" i="1"/>
  <c r="N42" i="1"/>
  <c r="N53" i="1"/>
  <c r="N57" i="1"/>
  <c r="N67" i="1"/>
  <c r="N70" i="1"/>
  <c r="N73" i="1"/>
  <c r="N63" i="1"/>
  <c r="N75" i="1"/>
  <c r="N76" i="1"/>
  <c r="N33" i="1"/>
  <c r="N34" i="1"/>
  <c r="N41" i="1"/>
  <c r="N48" i="1"/>
  <c r="N51" i="1"/>
  <c r="N54" i="1"/>
  <c r="N58" i="1"/>
  <c r="N65" i="1"/>
  <c r="N68" i="1"/>
  <c r="N74" i="1"/>
  <c r="N61" i="1"/>
  <c r="N46" i="1"/>
  <c r="N38" i="1"/>
  <c r="N35" i="1"/>
  <c r="N44" i="1"/>
  <c r="N39" i="1"/>
  <c r="N49" i="1"/>
  <c r="N55" i="1"/>
  <c r="N60" i="1"/>
  <c r="N71" i="1"/>
  <c r="N36" i="1"/>
  <c r="I105" i="1"/>
  <c r="J105" i="1" s="1"/>
  <c r="I103" i="1"/>
  <c r="J103" i="1" s="1"/>
  <c r="K103" i="1" s="1"/>
  <c r="K105" i="1" l="1"/>
  <c r="L105" i="1" s="1"/>
  <c r="M105" i="1" s="1"/>
  <c r="L103" i="1"/>
  <c r="M103" i="1" s="1"/>
  <c r="I101" i="1" l="1"/>
  <c r="J101" i="1" s="1"/>
  <c r="I95" i="1"/>
  <c r="J95" i="1" s="1"/>
  <c r="K101" i="1" l="1"/>
  <c r="L101" i="1" s="1"/>
  <c r="M101" i="1" s="1"/>
  <c r="K95" i="1"/>
  <c r="L95" i="1" s="1"/>
  <c r="M95" i="1" s="1"/>
  <c r="I92" i="1" l="1"/>
  <c r="J92" i="1" s="1"/>
  <c r="I90" i="1"/>
  <c r="J90" i="1" s="1"/>
  <c r="I91" i="1"/>
  <c r="J91" i="1" s="1"/>
  <c r="K91" i="1" s="1"/>
  <c r="K92" i="1" l="1"/>
  <c r="L92" i="1" s="1"/>
  <c r="M92" i="1" s="1"/>
  <c r="N93" i="1" s="1"/>
  <c r="K90" i="1"/>
  <c r="L90" i="1" s="1"/>
  <c r="M90" i="1" s="1"/>
  <c r="L91" i="1"/>
  <c r="M91" i="1" s="1"/>
  <c r="M89" i="1" l="1"/>
  <c r="M31" i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111" i="1" l="1"/>
  <c r="N113" i="1"/>
  <c r="N108" i="1"/>
  <c r="N105" i="1"/>
  <c r="N103" i="1"/>
  <c r="N119" i="1"/>
  <c r="N118" i="1"/>
  <c r="N99" i="1"/>
  <c r="N100" i="1"/>
  <c r="N98" i="1"/>
  <c r="N96" i="1"/>
  <c r="N114" i="1"/>
  <c r="N115" i="1"/>
  <c r="N104" i="1"/>
  <c r="N109" i="1"/>
  <c r="N110" i="1"/>
  <c r="N101" i="1"/>
  <c r="N95" i="1"/>
  <c r="N90" i="1"/>
  <c r="N92" i="1"/>
  <c r="N91" i="1"/>
  <c r="N19" i="1"/>
  <c r="N18" i="1"/>
  <c r="N23" i="1"/>
  <c r="N21" i="1"/>
  <c r="N26" i="1"/>
  <c r="N20" i="1"/>
  <c r="N27" i="1"/>
  <c r="N25" i="1"/>
  <c r="N24" i="1"/>
  <c r="N28" i="1"/>
  <c r="N22" i="1"/>
  <c r="N17" i="1"/>
  <c r="J122" i="1"/>
  <c r="N16" i="1" l="1"/>
</calcChain>
</file>

<file path=xl/sharedStrings.xml><?xml version="1.0" encoding="utf-8"?>
<sst xmlns="http://schemas.openxmlformats.org/spreadsheetml/2006/main" count="563" uniqueCount="262">
  <si>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</si>
  <si>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</si>
  <si>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</si>
  <si>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</si>
  <si>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</si>
  <si>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</si>
  <si>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</si>
  <si>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</si>
  <si>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</si>
  <si>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</si>
  <si>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</si>
  <si>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</si>
  <si>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</si>
  <si>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</si>
  <si>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</si>
  <si>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</si>
  <si>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</si>
  <si>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</si>
  <si>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</si>
  <si>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</si>
  <si>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</si>
  <si>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</si>
  <si>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</si>
  <si>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</si>
  <si>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</si>
  <si>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</si>
  <si>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</si>
  <si>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</si>
  <si>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</si>
  <si>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</si>
  <si>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</si>
  <si>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</si>
  <si>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</si>
  <si>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</si>
  <si>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</si>
  <si>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</si>
  <si>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</si>
  <si>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</si>
  <si>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</si>
  <si>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</si>
  <si>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</si>
  <si>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</si>
  <si>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</si>
  <si>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</si>
  <si>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</si>
  <si>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</si>
  <si>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</si>
  <si>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</si>
  <si>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</si>
  <si>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</si>
  <si>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</si>
  <si>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</si>
  <si>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</si>
  <si>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</si>
  <si>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</si>
  <si>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</si>
  <si>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</si>
  <si>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</si>
  <si>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</si>
  <si>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</si>
  <si>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</si>
  <si>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</si>
  <si>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</si>
  <si>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</si>
  <si>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</si>
  <si>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</si>
  <si>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</si>
  <si>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</si>
  <si>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</si>
  <si>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</si>
  <si>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</si>
  <si>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</si>
  <si>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</si>
  <si>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</si>
  <si>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</si>
  <si>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</si>
  <si>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</si>
  <si>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</si>
  <si>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</si>
  <si>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</si>
  <si>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m²</t>
  </si>
  <si>
    <t>FDE</t>
  </si>
  <si>
    <t>PINTURA COM TINTA ALQUÍDICA DE ACABAMENTO (ESMALTE SINTÉTICO BRILHANTE) APLICADA A ROLO OU PINCEL SOBRE SUPERFÍCIES METÁLICAS (EXCETO PERFIL) EXECUTADO EM OBRA (POR DEMÃO). AF_01/2020</t>
  </si>
  <si>
    <t>3.4</t>
  </si>
  <si>
    <t>3.5</t>
  </si>
  <si>
    <t>3.6</t>
  </si>
  <si>
    <t>3.7</t>
  </si>
  <si>
    <t>3.8</t>
  </si>
  <si>
    <t>3.9</t>
  </si>
  <si>
    <t>Insumos</t>
  </si>
  <si>
    <t>2.5</t>
  </si>
  <si>
    <t>CIMENTO PORTLAND COMPOSTO CP II-32</t>
  </si>
  <si>
    <t>KG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</si>
  <si>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</si>
  <si>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</si>
  <si>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</si>
  <si>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</si>
  <si>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</si>
  <si>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</si>
  <si>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</si>
  <si>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</si>
  <si>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</si>
  <si>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</si>
  <si>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</si>
  <si>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</si>
  <si>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</si>
  <si>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</si>
  <si>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</si>
  <si>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</si>
  <si>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</si>
  <si>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3.10</t>
  </si>
  <si>
    <t>3.11</t>
  </si>
  <si>
    <t>8.01.02</t>
  </si>
  <si>
    <t>ALUGUEL CAÇAMBA 4M3</t>
  </si>
  <si>
    <t>3.12</t>
  </si>
  <si>
    <t>3.13</t>
  </si>
  <si>
    <t>ARAME RECOZIDO 16 BWG, D = 1,65 MM (0,016 KG/M) OU 18 BWG, D = 1,25 MM (0,01 KG/M)</t>
  </si>
  <si>
    <t>ORSE</t>
  </si>
  <si>
    <t>14.30.110</t>
  </si>
  <si>
    <t>Divisória cega tipo naval, acabamento em laminado fenólico melamínico, com espessura de 3,5 cm</t>
  </si>
  <si>
    <t>Porta para divisória, dim. 820 x 2110 x 35mm, Naval ou similar - Rev. 01</t>
  </si>
  <si>
    <t>UNID</t>
  </si>
  <si>
    <t>2.38</t>
  </si>
  <si>
    <t>ASSENTO SANITARIO DE PLASTICO, TIPO CONVENCIONAL</t>
  </si>
  <si>
    <t>FITA VEDA ROSCA EM ROLOS DE 18 MM X 50 M (L X C)</t>
  </si>
  <si>
    <t>JOELHO PVC, SOLDAVEL, 90 GRAUS, 25 MM, PARA AGUA FRIA PREDIAL</t>
  </si>
  <si>
    <t>TE SOLDAVEL, PVC, 90 GRAUS, 25 MM, PARA AGUA FRIA PREDIAL (NBR 5648)</t>
  </si>
  <si>
    <t>TORNEIRA METALICA CROMADA DE MESA PARA LAVATORIO, BICA ALTA, COM AREJADOR (REF 1195)</t>
  </si>
  <si>
    <t>TORNEIRA METALICA CROMADA PARA JARDIM / TANQUE, COM BICO PLASTICO, CANO LONGO, DE PAREDE, PADRAO POPULAR / USO GERAL , 1/2 " OU 3/4 " (REF 1153 / 1130)</t>
  </si>
  <si>
    <t>SIFAO / TUBO SINFONADO EXTENSIVEL/SANFONADO, UNIVERSAL/ SIMPLES, ENTRE *50 A 70* CM, DE PLASTICO BRANCO</t>
  </si>
  <si>
    <t>LIXA D'AGUA EM FOLHA, GRAO 100</t>
  </si>
  <si>
    <t>JOELHO PVC, SOLDAVEL, 90 GRAUS, 32 MM, COR MARROM, PARA AGUA FRIA PREDIAL</t>
  </si>
  <si>
    <t>2.35</t>
  </si>
  <si>
    <t>LUVA PVC SOLDAVEL, 25 MM, PARA AGUA FRIA PREDIAL</t>
  </si>
  <si>
    <t>2.36</t>
  </si>
  <si>
    <t>TUBO PVC, SOLDAVEL, DN 25 MM, AGUA FRIA (NBR-5648)</t>
  </si>
  <si>
    <t>REGISTRO OU REGULADOR DE GAS COZINHA, VAZAO DE 2 KG/H, 2,8 KPA</t>
  </si>
  <si>
    <t>ADITIVO ADESIVO LIQUIDO PARA ARGAMASSAS DE REVESTIMENTOS CIMENTICIOS</t>
  </si>
  <si>
    <t>L</t>
  </si>
  <si>
    <t xml:space="preserve"> 88489 </t>
  </si>
  <si>
    <t>APLICAÇÃO MANUAL DE PINTURA COM TINTA LÁTEX ACRÍLICA EM PAREDES, DUAS DEMÃOS. AF_06/2014</t>
  </si>
  <si>
    <t>APLICAÇÃO DE FUNDO SELADOR ACRÍLICO EM PAREDES, UMA DEMÃO. AF_06/2014</t>
  </si>
  <si>
    <t>FISICA</t>
  </si>
  <si>
    <t>AT2 (31/41)</t>
  </si>
  <si>
    <t>DCAM</t>
  </si>
  <si>
    <t>PSICO</t>
  </si>
  <si>
    <t>CENTRO/CHAVEIRO</t>
  </si>
  <si>
    <t>DAC</t>
  </si>
  <si>
    <t>DGERO</t>
  </si>
  <si>
    <t>Local</t>
  </si>
  <si>
    <t>Quant.</t>
  </si>
  <si>
    <t>largura (cm)</t>
  </si>
  <si>
    <t>Comprimento (Cm)</t>
  </si>
  <si>
    <t>total m²</t>
  </si>
  <si>
    <t>Vidro 3mm</t>
  </si>
  <si>
    <t>PEDRA BRITADA N. 0, OU PEDRISCO (4,8 A 9,5 MM) POSTO PEDREIRA/FORNECEDOR, SEM FRETE</t>
  </si>
  <si>
    <t>m3</t>
  </si>
  <si>
    <t>AREIA GROSSA - POSTO JAZIDA/FORNECEDOR (RETIRADO NA JAZIDA, SEM TRANSPORTE)</t>
  </si>
  <si>
    <t>2.6</t>
  </si>
  <si>
    <t>ACO CA-50, 8,0 MM, VERGALHAO</t>
  </si>
  <si>
    <t>ABRACADEIRA, GALVANIZADA/ZINCADA, ROSCA SEM FIM, PARAFUSO INOX, LARGURA FITA *12,6 A *14 MM, D = 2" A 2 1/2"</t>
  </si>
  <si>
    <t>2.4</t>
  </si>
  <si>
    <t>MANGUEIRA PARA GAS - GLP, PVC, TRANCADA, DIAMETRO DE 3/8", COMPRIMENTO DE 1M (NORMATIZADA)</t>
  </si>
  <si>
    <t>2.22</t>
  </si>
  <si>
    <t>PREGO DE ACO POLIDO COM CABECA 15 X 15 (1 1/4 X 13)</t>
  </si>
  <si>
    <t>PREGO DE ACO POLIDO COM CABECA 12 X 12</t>
  </si>
  <si>
    <t>PREGO DE ACO POLIDO COM CABECA 17 X 21 (2 X 11)</t>
  </si>
  <si>
    <t>2.2</t>
  </si>
  <si>
    <t>2.8</t>
  </si>
  <si>
    <t>ADITIVO PLASTIFICANTE E ESTABILIZADOR PARA ARGAMASSAS DE ASSENTAMENTO E REBOCO, LIQUIDO E ISENTO DE CLORETOS</t>
  </si>
  <si>
    <t>M</t>
  </si>
  <si>
    <t>Fita de sinalização amarela e preta - ROLO 200 MTR</t>
  </si>
  <si>
    <t>2.13</t>
  </si>
  <si>
    <t>2.14</t>
  </si>
  <si>
    <t>ADESIVO PLASTICO PARA PVC, FRASCO COM *850* GR</t>
  </si>
  <si>
    <t>2.33</t>
  </si>
  <si>
    <t>VALVULA DE DESCARGA EM METAL CROMADO PARA MICTORIO COM ACIONAMENTO POR PRESSAO E FECHAMENTO AUTOMATICO</t>
  </si>
  <si>
    <t>TORNEIRA METALICA CROMADA CANO CURTO, SEM BICO, SEM AREJADOR, DE PAREDE, PARA TANQUE E USO GERAL, 1/2" OU 3/4" (REF 1143)</t>
  </si>
  <si>
    <t>ENGATE/RABICHO FLEXIVEL PLASTICO (PVC OU ABS) BRANCO 1/2 " X 40 CM</t>
  </si>
  <si>
    <t>6.95.47</t>
  </si>
  <si>
    <t>REPARO P/VALVULA DESCARGA HIDRA LISA II</t>
  </si>
  <si>
    <t>2.31</t>
  </si>
  <si>
    <t>REGISTRO DE ESFERA, PVC, COM VOLANTE, VS, SOLDAVEL, DN 25 MM, COM CORPO DIVIDIDO</t>
  </si>
  <si>
    <t>ADAPTADOR PVC SOLDAVEL CURTO COM BOLSA E ROSCA, 25 MM X 3/4", PARA AGUA FRIA</t>
  </si>
  <si>
    <t>ADAPTADOR PVC SOLDAVEL CURTO COM BOLSA E ROSCA, 50 MM X 1 1/4", PARA AGUA FRIA</t>
  </si>
  <si>
    <t>ADAPTADOR PVC SOLDAVEL CURTO COM BOLSA E ROSCA, 75 MM X 2 1/2", PARA AGUA FRIA</t>
  </si>
  <si>
    <t>2.16</t>
  </si>
  <si>
    <t>2.17</t>
  </si>
  <si>
    <t>2.19</t>
  </si>
  <si>
    <t>2.21</t>
  </si>
  <si>
    <t>2.26</t>
  </si>
  <si>
    <t>2.27</t>
  </si>
  <si>
    <t>2.29</t>
  </si>
  <si>
    <t>ADAPTADOR PVC SOLDAVEL CURTO COM BOLSA E ROSCA, 85 MM X 3", PARA AGUA FRIA</t>
  </si>
  <si>
    <t>JOELHO, PVC SOLDAVEL, 45 GRAUS, 25 MM, COR MARROM, PARA AGUA FRIA PREDIAL</t>
  </si>
  <si>
    <t>JOELHO PVC, SOLDAVEL, COM BUCHA DE LATAO, 90 GRAUS, 25 MM X 1/2", PARA AGUA FRIA PREDIAL</t>
  </si>
  <si>
    <t>LUVA PVC SOLDAVEL, 75 MM, PARA AGUA FRIA PREDIAL</t>
  </si>
  <si>
    <t>2.30</t>
  </si>
  <si>
    <t>2.32</t>
  </si>
  <si>
    <t>2.34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</si>
  <si>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OUTUBRO/2024</t>
    </r>
  </si>
  <si>
    <t>LUVA PVC SOLDAVEL, 85 MM, PARA AGUA FRIA PREDIAL</t>
  </si>
  <si>
    <t>LUVA SOLDAVEL COM BUCHA DE LATAO, PVC, 25 MM X 3/4"</t>
  </si>
  <si>
    <t>2.37</t>
  </si>
  <si>
    <t>LUVA DE CORRER PARA TUBO SOLDAVEL, PVC, 25 MM, PARA AGUA FRIA PREDIAL</t>
  </si>
  <si>
    <t>LUVA DE CORRER PARA TUBO SOLDAVEL, PVC, 60 MM, PARA AGUA FRIA PREDIAL</t>
  </si>
  <si>
    <t>TE SOLDAVEL, PVC, 90 GRAUS, 60 MM, PARA AGUA FRIA PREDIAL (NBR 5648)</t>
  </si>
  <si>
    <t>TE SOLDAVEL, PVC, 90 GRAUS, 75 MM, PARA AGUA FRIA PREDIAL (NBR 5648)</t>
  </si>
  <si>
    <t>2.39</t>
  </si>
  <si>
    <t>2.40</t>
  </si>
  <si>
    <t>2.41</t>
  </si>
  <si>
    <t>2.42</t>
  </si>
  <si>
    <t>2.43</t>
  </si>
  <si>
    <t>2.44</t>
  </si>
  <si>
    <t>TINTA LATEX ACRILICA STANDARD, COR BRANCA</t>
  </si>
  <si>
    <t>TINTA LATEX ACRILICA STANDARD, COR AREIA REAL</t>
  </si>
  <si>
    <t>TINTA LATEX ACRILICA STANDARD, COR BRANCA GELO</t>
  </si>
  <si>
    <t>ADESIVO ACRILICO DE BASE AQUOSA / COLA DE CONTATO</t>
  </si>
  <si>
    <t>Lixa em folha p/ parede nº 150</t>
  </si>
  <si>
    <t>LONA PLASTICA PESADA PRETA, E = 150 MICRA</t>
  </si>
  <si>
    <t>M²</t>
  </si>
  <si>
    <t>2.45</t>
  </si>
  <si>
    <t>2.46</t>
  </si>
  <si>
    <t>2.47</t>
  </si>
  <si>
    <t>2.48</t>
  </si>
  <si>
    <t>2.49</t>
  </si>
  <si>
    <t>2.50</t>
  </si>
  <si>
    <t>MASSA ACRILICA PARA SUPERFICIES INTERNAS E EXTERNAS</t>
  </si>
  <si>
    <t>IMPERMEABILIZANTE FLEXIVEL BRANCO DE BASE ACRILICA PARA COBERTURAS</t>
  </si>
  <si>
    <t>TRANSPORTE COM CAMINHÃO BASCULANTE DE 10 M³, EM VIA URBANA EM LEITO NATURAL (UNIDADE: M3XKM). AF_07/2020</t>
  </si>
  <si>
    <t>M3XKM</t>
  </si>
  <si>
    <t>2.51</t>
  </si>
  <si>
    <t>2.52</t>
  </si>
  <si>
    <t>2.53</t>
  </si>
  <si>
    <t>RUFO EXTERNO/INTERNO EM CHAPA DE AÇO GALVANIZADO NÚMERO 26, CORTE DE 33 CM, INCLUSO ORÇAMENTO. AF_07/2019</t>
  </si>
  <si>
    <t>REMOÇÃO CALHAS E RUFOS, DE FORMA MANUAL, SEM REAPROVEITAMENTO. AF_09/2023</t>
  </si>
  <si>
    <t>Serviço telhado NULLEN</t>
  </si>
  <si>
    <t>APLICAÇÃO MANUAL DE PINTURA COM TINTA LÁTEX ACRÍLICA EM TETO, DUAS DEMÃOS. AF_06/2014</t>
  </si>
  <si>
    <t>Pintura Deq</t>
  </si>
  <si>
    <t>Pintura CCET</t>
  </si>
  <si>
    <t>3.14</t>
  </si>
  <si>
    <t>IMPERMEABILIZAÇÃO DE SUPERFÍCIE COM MEMBRANA À BASE DE RESINA ACRÍLICA, 3 DEMÃOS. AF_06/2018</t>
  </si>
  <si>
    <t>Pintura Engenharia de Produção</t>
  </si>
  <si>
    <t>TEXTURA ACRÍLICA, APLICAÇÃO MANUAL EM PAREDE, UMA DEMÃO. AF_04/2023</t>
  </si>
  <si>
    <t>Serviço Telhado Departamento de Fisica</t>
  </si>
  <si>
    <t>CALHA EM CHAPA DE AÇO GALVANIZADO NÚMERO 24, DESENVOLVIMENTO DE 50 CM, INCLUSO TRANSPORTE VERTICAL. AF_07/2019</t>
  </si>
  <si>
    <t xml:space="preserve">TUBO PVC, SÉRIE R, ÁGUA PLUVIAL, DN 100 MM, FORNECIDO E INSTALADO EM CONDUTORES VERTICAIS DE ÁGUAS PLUVIAIS. AF_06/2022 </t>
  </si>
  <si>
    <t>H</t>
  </si>
  <si>
    <t>TELHADISTA COM ENCARGOS COMPLEMENTARES - REVISÃO E IMPERMEABILIZAÇÃO PARAFUSOS E ENCAIXES</t>
  </si>
  <si>
    <t>3.15</t>
  </si>
  <si>
    <t>3.16</t>
  </si>
  <si>
    <t>3.17</t>
  </si>
  <si>
    <t>3.18</t>
  </si>
  <si>
    <t>3.19</t>
  </si>
  <si>
    <t>Divisoria SIBI - Camila</t>
  </si>
  <si>
    <t>LIMPEZA DE SUPERFÍCIE COM JATO DE ALTA PRESSÃO. AF_04/2019</t>
  </si>
  <si>
    <t>3.20</t>
  </si>
  <si>
    <t>3.21</t>
  </si>
  <si>
    <t>3.22</t>
  </si>
  <si>
    <t>3.23</t>
  </si>
  <si>
    <t>3.24</t>
  </si>
  <si>
    <t>CPOS/CDHU (03/2024)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</si>
</sst>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Arial"/>
      <family val="1"/>
    </font>
    <font>
      <sz val="8"/>
      <name val="Arial"/>
      <family val="1"/>
    </font>
    <font>
      <b/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rgb="FFFF0000"/>
      <name val="Arial"/>
      <family val="1"/>
    </font>
    <font>
      <b/>
      <sz val="8"/>
      <color theme="4"/>
      <name val="Arial"/>
      <family val="1"/>
    </font>
    <font>
      <sz val="8"/>
      <color theme="4"/>
      <name val="Arial"/>
      <family val="2"/>
    </font>
    <font>
      <b/>
      <sz val="8"/>
      <color theme="4"/>
      <name val="Calibri"/>
      <family val="2"/>
      <scheme val="minor"/>
    </font>
    <font>
      <sz val="8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5" fillId="0" borderId="0"/>
    <xf numFmtId="164" fontId="25" fillId="0" borderId="0" applyBorder="0" applyProtection="0"/>
    <xf numFmtId="0" fontId="26" fillId="0" borderId="0" applyBorder="0" applyProtection="0"/>
    <xf numFmtId="0" fontId="16" fillId="4" borderId="1" applyProtection="0"/>
    <xf numFmtId="0" fontId="27" fillId="0" borderId="0"/>
  </cellStyleXfs>
  <cellXfs count="192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top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4" fontId="22" fillId="0" borderId="24" xfId="2" applyNumberFormat="1" applyFont="1" applyFill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24" xfId="5" applyFont="1" applyFill="1" applyBorder="1" applyAlignment="1" applyProtection="1">
      <alignment horizontal="center" vertical="center"/>
    </xf>
    <xf numFmtId="4" fontId="13" fillId="0" borderId="16" xfId="2" applyNumberFormat="1" applyFont="1" applyFill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top" wrapText="1"/>
    </xf>
    <xf numFmtId="0" fontId="22" fillId="0" borderId="24" xfId="0" applyFont="1" applyBorder="1" applyAlignment="1">
      <alignment vertical="center" wrapText="1"/>
    </xf>
    <xf numFmtId="0" fontId="22" fillId="5" borderId="24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0" fontId="22" fillId="5" borderId="24" xfId="0" applyFont="1" applyFill="1" applyBorder="1" applyAlignment="1">
      <alignment horizontal="left" vertical="center" wrapText="1"/>
    </xf>
    <xf numFmtId="0" fontId="9" fillId="0" borderId="24" xfId="4" applyFont="1" applyFill="1" applyBorder="1" applyAlignment="1">
      <alignment horizontal="left" vertical="center"/>
    </xf>
    <xf numFmtId="0" fontId="5" fillId="0" borderId="24" xfId="1" applyFont="1" applyFill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4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9" fillId="0" borderId="24" xfId="4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4" applyFont="1" applyFill="1" applyBorder="1" applyAlignment="1">
      <alignment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2" fontId="29" fillId="0" borderId="24" xfId="0" applyNumberFormat="1" applyFont="1" applyBorder="1"/>
    <xf numFmtId="0" fontId="13" fillId="0" borderId="24" xfId="1" applyFont="1" applyFill="1" applyBorder="1" applyAlignment="1">
      <alignment horizontal="center" vertical="center"/>
    </xf>
    <xf numFmtId="0" fontId="15" fillId="0" borderId="24" xfId="0" applyFont="1" applyBorder="1"/>
    <xf numFmtId="0" fontId="13" fillId="0" borderId="24" xfId="4" applyFont="1" applyFill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28" fillId="0" borderId="24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4" xfId="0" applyFont="1" applyBorder="1" applyAlignment="1">
      <alignment horizontal="center" vertical="center" wrapText="1"/>
    </xf>
    <xf numFmtId="4" fontId="23" fillId="5" borderId="24" xfId="0" applyNumberFormat="1" applyFont="1" applyFill="1" applyBorder="1" applyAlignment="1">
      <alignment horizontal="center" vertical="center" wrapText="1"/>
    </xf>
    <xf numFmtId="4" fontId="30" fillId="0" borderId="24" xfId="2" applyNumberFormat="1" applyFont="1" applyBorder="1" applyAlignment="1" applyProtection="1">
      <alignment horizontal="center" vertical="center"/>
    </xf>
    <xf numFmtId="4" fontId="30" fillId="0" borderId="24" xfId="0" applyNumberFormat="1" applyFont="1" applyBorder="1" applyAlignment="1">
      <alignment horizontal="center" vertical="center" wrapText="1"/>
    </xf>
    <xf numFmtId="4" fontId="31" fillId="5" borderId="15" xfId="0" applyNumberFormat="1" applyFont="1" applyFill="1" applyBorder="1" applyAlignment="1">
      <alignment horizontal="center" vertical="center" wrapText="1"/>
    </xf>
    <xf numFmtId="4" fontId="32" fillId="5" borderId="15" xfId="0" applyNumberFormat="1" applyFont="1" applyFill="1" applyBorder="1" applyAlignment="1">
      <alignment horizontal="center" vertical="center" wrapText="1"/>
    </xf>
    <xf numFmtId="4" fontId="30" fillId="5" borderId="15" xfId="0" applyNumberFormat="1" applyFont="1" applyFill="1" applyBorder="1" applyAlignment="1">
      <alignment horizontal="center" vertical="center" wrapText="1"/>
    </xf>
    <xf numFmtId="4" fontId="30" fillId="5" borderId="14" xfId="0" applyNumberFormat="1" applyFont="1" applyFill="1" applyBorder="1" applyAlignment="1">
      <alignment horizontal="center" vertical="center" wrapText="1"/>
    </xf>
    <xf numFmtId="4" fontId="32" fillId="5" borderId="24" xfId="0" applyNumberFormat="1" applyFont="1" applyFill="1" applyBorder="1" applyAlignment="1">
      <alignment horizontal="center" vertical="center" wrapText="1"/>
    </xf>
    <xf numFmtId="4" fontId="10" fillId="5" borderId="24" xfId="0" applyNumberFormat="1" applyFont="1" applyFill="1" applyBorder="1" applyAlignment="1">
      <alignment horizontal="center" vertical="center" wrapText="1"/>
    </xf>
    <xf numFmtId="4" fontId="30" fillId="5" borderId="24" xfId="0" applyNumberFormat="1" applyFont="1" applyFill="1" applyBorder="1" applyAlignment="1">
      <alignment horizontal="center" vertical="center" wrapText="1"/>
    </xf>
    <xf numFmtId="4" fontId="31" fillId="5" borderId="24" xfId="0" applyNumberFormat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/>
    </xf>
    <xf numFmtId="2" fontId="30" fillId="0" borderId="24" xfId="1" applyNumberFormat="1" applyFont="1" applyFill="1" applyBorder="1" applyAlignment="1">
      <alignment horizontal="center" vertical="center"/>
    </xf>
    <xf numFmtId="0" fontId="30" fillId="0" borderId="24" xfId="1" applyFont="1" applyFill="1" applyBorder="1" applyAlignment="1">
      <alignment horizontal="center" vertical="center"/>
    </xf>
    <xf numFmtId="0" fontId="34" fillId="0" borderId="24" xfId="1" applyFont="1" applyFill="1" applyBorder="1" applyAlignment="1">
      <alignment horizontal="center" vertical="center"/>
    </xf>
    <xf numFmtId="2" fontId="30" fillId="0" borderId="24" xfId="2" applyNumberFormat="1" applyFont="1" applyBorder="1" applyAlignment="1" applyProtection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5" fillId="2" borderId="28" xfId="1" applyFont="1" applyBorder="1" applyAlignment="1">
      <alignment horizontal="center" vertical="center" textRotation="90"/>
    </xf>
    <xf numFmtId="0" fontId="0" fillId="0" borderId="24" xfId="0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C:/Users/anivaldo/Downloads/2022/10%20Outubro/Notas%20Fiscais/NF%20516064%20Jabu%20SA.pdf" TargetMode="External"/><Relationship Id="rId2" Type="http://schemas.openxmlformats.org/officeDocument/2006/relationships/hyperlink" Target="Originais/2022/10%20Outubro/Notas%20Fiscais/NF%20516064%20Jabu%20SA.pdf" TargetMode="External"/><Relationship Id="rId1" Type="http://schemas.openxmlformats.org/officeDocument/2006/relationships/hyperlink" Target="07%20Jul/2022/10%20Outubro/Notas%20Fiscais/NF%20516064%20Jabu%20SA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2022/10%20Outubro/Notas%20Fiscais/NF%20516064%20Jabu%20SA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topLeftCell="E117" zoomScale="85" zoomScaleNormal="85" workbookViewId="0">
      <selection activeCell="A123" sqref="A123:N129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12" t="s">
        <v>0</v>
      </c>
      <c r="B1" s="113"/>
      <c r="C1" s="113"/>
      <c r="D1" s="113"/>
      <c r="E1" s="113"/>
      <c r="F1" s="113"/>
      <c r="G1" s="113"/>
      <c r="H1" s="113"/>
      <c r="I1" s="114"/>
      <c r="J1" s="121" t="s">
        <v>1</v>
      </c>
      <c r="K1" s="121"/>
      <c r="L1" s="121"/>
      <c r="M1" s="121"/>
      <c r="N1" s="121"/>
      <c r="O1" s="122"/>
    </row>
    <row r="2" spans="1:15" ht="17.100000000000001" customHeight="1" x14ac:dyDescent="0.25">
      <c r="A2" s="115"/>
      <c r="B2" s="116"/>
      <c r="C2" s="116"/>
      <c r="D2" s="116"/>
      <c r="E2" s="116"/>
      <c r="F2" s="116"/>
      <c r="G2" s="116"/>
      <c r="H2" s="116"/>
      <c r="I2" s="117"/>
      <c r="J2" s="123" t="s">
        <v>2</v>
      </c>
      <c r="K2" s="123"/>
      <c r="L2" s="123"/>
      <c r="M2" s="123"/>
      <c r="N2" s="123"/>
      <c r="O2" s="124"/>
    </row>
    <row r="3" spans="1:15" ht="17.100000000000001" customHeight="1" x14ac:dyDescent="0.25">
      <c r="A3" s="115"/>
      <c r="B3" s="116"/>
      <c r="C3" s="116"/>
      <c r="D3" s="116"/>
      <c r="E3" s="116"/>
      <c r="F3" s="116"/>
      <c r="G3" s="116"/>
      <c r="H3" s="116"/>
      <c r="I3" s="117"/>
      <c r="J3" s="123" t="s">
        <v>3</v>
      </c>
      <c r="K3" s="123"/>
      <c r="L3" s="123"/>
      <c r="M3" s="123" t="s">
        <v>4</v>
      </c>
      <c r="N3" s="123"/>
      <c r="O3" s="1"/>
    </row>
    <row r="4" spans="1:15" ht="17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7"/>
      <c r="J4" s="123" t="s">
        <v>5</v>
      </c>
      <c r="K4" s="123"/>
      <c r="L4" s="123"/>
      <c r="M4" s="123" t="s">
        <v>6</v>
      </c>
      <c r="N4" s="123"/>
      <c r="O4" s="2"/>
    </row>
    <row r="5" spans="1:15" ht="17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7"/>
      <c r="J5" s="123" t="s">
        <v>7</v>
      </c>
      <c r="K5" s="123"/>
      <c r="L5" s="123"/>
      <c r="M5" s="123" t="s">
        <v>8</v>
      </c>
      <c r="N5" s="123"/>
      <c r="O5" s="1"/>
    </row>
    <row r="6" spans="1:15" ht="17.100000000000001" customHeight="1" x14ac:dyDescent="0.25">
      <c r="A6" s="118"/>
      <c r="B6" s="119"/>
      <c r="C6" s="119"/>
      <c r="D6" s="119"/>
      <c r="E6" s="119"/>
      <c r="F6" s="119"/>
      <c r="G6" s="119"/>
      <c r="H6" s="119"/>
      <c r="I6" s="120"/>
      <c r="J6" s="123" t="s">
        <v>9</v>
      </c>
      <c r="K6" s="123"/>
      <c r="L6" s="123"/>
      <c r="M6" s="123" t="s">
        <v>10</v>
      </c>
      <c r="N6" s="123"/>
      <c r="O6" s="1"/>
    </row>
    <row r="7" spans="1:15" ht="17.100000000000001" customHeight="1" x14ac:dyDescent="0.25">
      <c r="A7" s="96" t="s">
        <v>11</v>
      </c>
      <c r="B7" s="97"/>
      <c r="C7" s="97"/>
      <c r="D7" s="97"/>
      <c r="E7" s="97"/>
      <c r="F7" s="97"/>
      <c r="G7" s="97"/>
      <c r="H7" s="97"/>
      <c r="I7" s="98"/>
      <c r="J7" s="99" t="s">
        <v>51</v>
      </c>
      <c r="K7" s="100"/>
      <c r="L7" s="100"/>
      <c r="M7" s="100"/>
      <c r="N7" s="101"/>
      <c r="O7" s="102" t="s">
        <v>12</v>
      </c>
    </row>
    <row r="8" spans="1:15" ht="17.100000000000001" customHeight="1" x14ac:dyDescent="0.25">
      <c r="A8" s="103" t="s">
        <v>200</v>
      </c>
      <c r="B8" s="104"/>
      <c r="C8" s="104"/>
      <c r="D8" s="104"/>
      <c r="E8" s="104"/>
      <c r="F8" s="104"/>
      <c r="G8" s="104"/>
      <c r="H8" s="104"/>
      <c r="I8" s="105"/>
      <c r="J8" s="99" t="s">
        <v>13</v>
      </c>
      <c r="K8" s="100"/>
      <c r="L8" s="100"/>
      <c r="M8" s="100"/>
      <c r="N8" s="101"/>
      <c r="O8" s="102"/>
    </row>
    <row r="9" spans="1:15" ht="17.100000000000001" customHeight="1" x14ac:dyDescent="0.25">
      <c r="A9" s="106"/>
      <c r="B9" s="107"/>
      <c r="C9" s="107"/>
      <c r="D9" s="107"/>
      <c r="E9" s="107"/>
      <c r="F9" s="107"/>
      <c r="G9" s="107"/>
      <c r="H9" s="107"/>
      <c r="I9" s="108"/>
      <c r="J9" s="99" t="s">
        <v>14</v>
      </c>
      <c r="K9" s="100"/>
      <c r="L9" s="100"/>
      <c r="M9" s="100"/>
      <c r="N9" s="101"/>
      <c r="O9" s="102"/>
    </row>
    <row r="10" spans="1:15" ht="17.100000000000001" customHeight="1" x14ac:dyDescent="0.25">
      <c r="A10" s="106"/>
      <c r="B10" s="107"/>
      <c r="C10" s="107"/>
      <c r="D10" s="107"/>
      <c r="E10" s="107"/>
      <c r="F10" s="107"/>
      <c r="G10" s="107"/>
      <c r="H10" s="107"/>
      <c r="I10" s="108"/>
      <c r="J10" s="99" t="s">
        <v>15</v>
      </c>
      <c r="K10" s="100"/>
      <c r="L10" s="100"/>
      <c r="M10" s="100"/>
      <c r="N10" s="101"/>
      <c r="O10" s="102"/>
    </row>
    <row r="11" spans="1:15" ht="17.100000000000001" customHeight="1" x14ac:dyDescent="0.25">
      <c r="A11" s="106"/>
      <c r="B11" s="107"/>
      <c r="C11" s="107"/>
      <c r="D11" s="107"/>
      <c r="E11" s="107"/>
      <c r="F11" s="107"/>
      <c r="G11" s="107"/>
      <c r="H11" s="107"/>
      <c r="I11" s="108"/>
      <c r="J11" s="99" t="s">
        <v>50</v>
      </c>
      <c r="K11" s="100"/>
      <c r="L11" s="100"/>
      <c r="M11" s="100"/>
      <c r="N11" s="101"/>
      <c r="O11" s="102"/>
    </row>
    <row r="12" spans="1:15" ht="17.100000000000001" customHeight="1" x14ac:dyDescent="0.25">
      <c r="A12" s="106"/>
      <c r="B12" s="107"/>
      <c r="C12" s="107"/>
      <c r="D12" s="107"/>
      <c r="E12" s="107"/>
      <c r="F12" s="107"/>
      <c r="G12" s="107"/>
      <c r="H12" s="107"/>
      <c r="I12" s="108"/>
      <c r="J12" s="99" t="s">
        <v>109</v>
      </c>
      <c r="K12" s="100"/>
      <c r="L12" s="100"/>
      <c r="M12" s="100"/>
      <c r="N12" s="101"/>
      <c r="O12" s="102"/>
    </row>
    <row r="13" spans="1:15" ht="17.100000000000001" customHeight="1" x14ac:dyDescent="0.25">
      <c r="A13" s="109"/>
      <c r="B13" s="110"/>
      <c r="C13" s="110"/>
      <c r="D13" s="110"/>
      <c r="E13" s="110"/>
      <c r="F13" s="110"/>
      <c r="G13" s="110"/>
      <c r="H13" s="110"/>
      <c r="I13" s="111"/>
      <c r="J13" s="99" t="s">
        <v>108</v>
      </c>
      <c r="K13" s="100"/>
      <c r="L13" s="100"/>
      <c r="M13" s="100"/>
      <c r="N13" s="101"/>
      <c r="O13" s="102"/>
    </row>
    <row r="14" spans="1:15" ht="17.100000000000001" customHeight="1" x14ac:dyDescent="0.25">
      <c r="A14" s="125" t="s">
        <v>16</v>
      </c>
      <c r="B14" s="127" t="s">
        <v>17</v>
      </c>
      <c r="C14" s="127" t="s">
        <v>18</v>
      </c>
      <c r="D14" s="127" t="s">
        <v>19</v>
      </c>
      <c r="E14" s="127" t="s">
        <v>20</v>
      </c>
      <c r="F14" s="127" t="s">
        <v>21</v>
      </c>
      <c r="G14" s="127" t="s">
        <v>22</v>
      </c>
      <c r="H14" s="129" t="s">
        <v>23</v>
      </c>
      <c r="I14" s="129"/>
      <c r="J14" s="129"/>
      <c r="K14" s="129"/>
      <c r="L14" s="130"/>
      <c r="M14" s="127" t="s">
        <v>24</v>
      </c>
      <c r="N14" s="127" t="s">
        <v>25</v>
      </c>
      <c r="O14" s="102" t="s">
        <v>26</v>
      </c>
    </row>
    <row r="15" spans="1:15" ht="17.100000000000001" customHeight="1" x14ac:dyDescent="0.25">
      <c r="A15" s="126"/>
      <c r="B15" s="128"/>
      <c r="C15" s="128"/>
      <c r="D15" s="128"/>
      <c r="E15" s="128"/>
      <c r="F15" s="128"/>
      <c r="G15" s="128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28"/>
      <c r="N15" s="128"/>
      <c r="O15" s="102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90366.053224647199</v>
      </c>
      <c r="N16" s="10">
        <f>SUM(N17:N28)</f>
        <v>1</v>
      </c>
      <c r="O16" s="102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94">
        <v>228</v>
      </c>
      <c r="H17" s="78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13352.0161371168</v>
      </c>
      <c r="N17" s="14">
        <f>M17/M$16</f>
        <v>0.1477547780461774</v>
      </c>
      <c r="O17" s="187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94">
        <v>224</v>
      </c>
      <c r="H18" s="78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9891.0562406656009</v>
      </c>
      <c r="N18" s="14">
        <f t="shared" ref="N18:N28" si="5">M18/M$16</f>
        <v>0.10945544137107263</v>
      </c>
      <c r="O18" s="187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94">
        <v>180</v>
      </c>
      <c r="H19" s="78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8.7955265387469089E-2</v>
      </c>
      <c r="O19" s="187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94">
        <v>183</v>
      </c>
      <c r="H20" s="78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6661.8843469464</v>
      </c>
      <c r="N20" s="14">
        <f t="shared" si="5"/>
        <v>7.372109447322174E-2</v>
      </c>
      <c r="O20" s="187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94">
        <v>180</v>
      </c>
      <c r="H21" s="78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7.2512551940873846E-2</v>
      </c>
      <c r="O21" s="187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94">
        <v>196</v>
      </c>
      <c r="H22" s="78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7806.2237341088003</v>
      </c>
      <c r="N22" s="14">
        <f t="shared" si="5"/>
        <v>8.6384471331316978E-2</v>
      </c>
      <c r="O22" s="187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94">
        <v>180</v>
      </c>
      <c r="H23" s="78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7168.9809803040007</v>
      </c>
      <c r="N23" s="14">
        <f t="shared" si="5"/>
        <v>7.9332677753250286E-2</v>
      </c>
      <c r="O23" s="187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94">
        <v>171</v>
      </c>
      <c r="H24" s="78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6352.5931861392</v>
      </c>
      <c r="N24" s="14">
        <f t="shared" si="5"/>
        <v>7.0298446811070198E-2</v>
      </c>
      <c r="O24" s="187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94">
        <v>180</v>
      </c>
      <c r="H25" s="78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7.3998365064284422E-2</v>
      </c>
      <c r="O25" s="187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94">
        <v>180</v>
      </c>
      <c r="H26" s="78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7.3998365064284422E-2</v>
      </c>
      <c r="O26" s="187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94">
        <v>156</v>
      </c>
      <c r="H27" s="78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5354.6880555168</v>
      </c>
      <c r="N27" s="14">
        <f t="shared" si="5"/>
        <v>5.9255526433197342E-2</v>
      </c>
      <c r="O27" s="187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94">
        <v>172</v>
      </c>
      <c r="H28" s="78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5903.8868304416001</v>
      </c>
      <c r="N28" s="14">
        <f t="shared" si="5"/>
        <v>6.533301632378169E-2</v>
      </c>
      <c r="O28" s="187"/>
    </row>
    <row r="29" spans="1:15" x14ac:dyDescent="0.25">
      <c r="A29" s="125" t="s">
        <v>16</v>
      </c>
      <c r="B29" s="127" t="s">
        <v>17</v>
      </c>
      <c r="C29" s="127" t="s">
        <v>18</v>
      </c>
      <c r="D29" s="127" t="s">
        <v>19</v>
      </c>
      <c r="E29" s="127" t="s">
        <v>20</v>
      </c>
      <c r="F29" s="127" t="s">
        <v>21</v>
      </c>
      <c r="G29" s="127" t="s">
        <v>22</v>
      </c>
      <c r="H29" s="129" t="s">
        <v>23</v>
      </c>
      <c r="I29" s="129"/>
      <c r="J29" s="129"/>
      <c r="K29" s="129"/>
      <c r="L29" s="130"/>
      <c r="M29" s="127" t="s">
        <v>24</v>
      </c>
      <c r="N29" s="127" t="s">
        <v>25</v>
      </c>
      <c r="O29" s="187"/>
    </row>
    <row r="30" spans="1:15" ht="17.100000000000001" customHeight="1" x14ac:dyDescent="0.25">
      <c r="A30" s="126"/>
      <c r="B30" s="128"/>
      <c r="C30" s="128"/>
      <c r="D30" s="128"/>
      <c r="E30" s="128"/>
      <c r="F30" s="128"/>
      <c r="G30" s="128"/>
      <c r="H30" s="3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128"/>
      <c r="N30" s="128"/>
      <c r="O30" s="102"/>
    </row>
    <row r="31" spans="1:15" ht="17.100000000000001" customHeight="1" x14ac:dyDescent="0.25">
      <c r="A31" s="15">
        <v>2</v>
      </c>
      <c r="B31" s="131" t="s">
        <v>37</v>
      </c>
      <c r="C31" s="131"/>
      <c r="D31" s="132"/>
      <c r="E31" s="132"/>
      <c r="F31" s="132"/>
      <c r="G31" s="16"/>
      <c r="H31" s="16"/>
      <c r="I31" s="16"/>
      <c r="J31" s="16"/>
      <c r="K31" s="16"/>
      <c r="L31" s="16"/>
      <c r="M31" s="22">
        <f>SUM(M32:M86)</f>
        <v>29252.103181966078</v>
      </c>
      <c r="N31" s="16"/>
      <c r="O31" s="187"/>
    </row>
    <row r="32" spans="1:15" s="19" customFormat="1" ht="17.100000000000001" customHeight="1" x14ac:dyDescent="0.2">
      <c r="A32" s="18" t="s">
        <v>98</v>
      </c>
      <c r="B32" s="18" t="s">
        <v>89</v>
      </c>
      <c r="C32" s="18">
        <v>4720</v>
      </c>
      <c r="D32" s="18" t="s">
        <v>34</v>
      </c>
      <c r="E32" s="60" t="s">
        <v>155</v>
      </c>
      <c r="F32" s="18" t="s">
        <v>156</v>
      </c>
      <c r="G32" s="18">
        <v>3</v>
      </c>
      <c r="H32" s="89">
        <v>80.39</v>
      </c>
      <c r="I32" s="14">
        <f t="shared" ref="I32:I48" si="6">H32*0.1532</f>
        <v>12.315748000000001</v>
      </c>
      <c r="J32" s="14">
        <f t="shared" ref="J32:J36" si="7">H32+I32</f>
        <v>92.705748</v>
      </c>
      <c r="K32" s="14">
        <f t="shared" ref="K32:K48" si="8">J32*(0.03%)</f>
        <v>2.7811724399999998E-2</v>
      </c>
      <c r="L32" s="14">
        <f t="shared" ref="L32:L36" si="9">J32-K32</f>
        <v>92.677936275600004</v>
      </c>
      <c r="M32" s="14">
        <f t="shared" ref="M32:M36" si="10">L32*G32</f>
        <v>278.0338088268</v>
      </c>
      <c r="N32" s="14">
        <f t="shared" ref="N32:N84" si="11">M32/M31</f>
        <v>9.5047459356087539E-3</v>
      </c>
      <c r="O32" s="187"/>
    </row>
    <row r="33" spans="1:15" s="19" customFormat="1" ht="17.100000000000001" customHeight="1" x14ac:dyDescent="0.2">
      <c r="A33" s="18" t="s">
        <v>167</v>
      </c>
      <c r="B33" s="18" t="s">
        <v>89</v>
      </c>
      <c r="C33" s="18">
        <v>367</v>
      </c>
      <c r="D33" s="18" t="s">
        <v>34</v>
      </c>
      <c r="E33" s="24" t="s">
        <v>157</v>
      </c>
      <c r="F33" s="18" t="s">
        <v>156</v>
      </c>
      <c r="G33" s="18">
        <v>5</v>
      </c>
      <c r="H33" s="88">
        <v>65.84</v>
      </c>
      <c r="I33" s="14">
        <f t="shared" si="6"/>
        <v>10.086688000000001</v>
      </c>
      <c r="J33" s="14">
        <f t="shared" si="7"/>
        <v>75.926687999999999</v>
      </c>
      <c r="K33" s="14">
        <f t="shared" si="8"/>
        <v>2.2778006399999998E-2</v>
      </c>
      <c r="L33" s="14">
        <f t="shared" si="9"/>
        <v>75.903909993599996</v>
      </c>
      <c r="M33" s="14">
        <f t="shared" si="10"/>
        <v>379.51954996799998</v>
      </c>
      <c r="N33" s="14">
        <f t="shared" si="11"/>
        <v>1.3650122320354936</v>
      </c>
      <c r="O33" s="187"/>
    </row>
    <row r="34" spans="1:15" s="19" customFormat="1" ht="17.100000000000001" customHeight="1" x14ac:dyDescent="0.2">
      <c r="A34" s="59" t="s">
        <v>99</v>
      </c>
      <c r="B34" s="70" t="s">
        <v>89</v>
      </c>
      <c r="C34" s="18">
        <v>1379</v>
      </c>
      <c r="D34" s="18" t="s">
        <v>34</v>
      </c>
      <c r="E34" s="71" t="s">
        <v>91</v>
      </c>
      <c r="F34" s="18" t="s">
        <v>21</v>
      </c>
      <c r="G34" s="18">
        <v>1500</v>
      </c>
      <c r="H34" s="89">
        <v>0.6</v>
      </c>
      <c r="I34" s="51">
        <f t="shared" si="6"/>
        <v>9.1920000000000002E-2</v>
      </c>
      <c r="J34" s="51">
        <f t="shared" si="7"/>
        <v>0.69191999999999998</v>
      </c>
      <c r="K34" s="51">
        <f t="shared" si="8"/>
        <v>2.0757599999999998E-4</v>
      </c>
      <c r="L34" s="51">
        <f t="shared" si="9"/>
        <v>0.69171242399999999</v>
      </c>
      <c r="M34" s="51">
        <f t="shared" si="10"/>
        <v>1037.568636</v>
      </c>
      <c r="N34" s="14">
        <f t="shared" si="11"/>
        <v>2.7339003645200486</v>
      </c>
      <c r="O34" s="187"/>
    </row>
    <row r="35" spans="1:15" s="61" customFormat="1" ht="17.25" customHeight="1" x14ac:dyDescent="0.25">
      <c r="A35" s="18" t="s">
        <v>161</v>
      </c>
      <c r="B35" s="18" t="s">
        <v>89</v>
      </c>
      <c r="C35" s="18">
        <v>43132</v>
      </c>
      <c r="D35" s="18" t="s">
        <v>34</v>
      </c>
      <c r="E35" s="63" t="s">
        <v>116</v>
      </c>
      <c r="F35" s="18" t="s">
        <v>92</v>
      </c>
      <c r="G35" s="18">
        <v>10</v>
      </c>
      <c r="H35" s="89">
        <v>16.5</v>
      </c>
      <c r="I35" s="14">
        <f t="shared" si="6"/>
        <v>2.5278</v>
      </c>
      <c r="J35" s="14">
        <f t="shared" si="7"/>
        <v>19.027799999999999</v>
      </c>
      <c r="K35" s="14">
        <f t="shared" si="8"/>
        <v>5.7083399999999992E-3</v>
      </c>
      <c r="L35" s="14">
        <f t="shared" si="9"/>
        <v>19.022091659999997</v>
      </c>
      <c r="M35" s="14">
        <f t="shared" si="10"/>
        <v>190.22091659999998</v>
      </c>
      <c r="N35" s="14">
        <f t="shared" si="11"/>
        <v>0.18333333333333332</v>
      </c>
      <c r="O35" s="187"/>
    </row>
    <row r="36" spans="1:15" x14ac:dyDescent="0.25">
      <c r="A36" s="18" t="s">
        <v>90</v>
      </c>
      <c r="B36" s="70" t="s">
        <v>89</v>
      </c>
      <c r="C36" s="23">
        <v>33</v>
      </c>
      <c r="D36" s="18" t="s">
        <v>34</v>
      </c>
      <c r="E36" s="24" t="s">
        <v>159</v>
      </c>
      <c r="F36" s="18" t="s">
        <v>92</v>
      </c>
      <c r="G36" s="18">
        <f>4.74*20</f>
        <v>94.800000000000011</v>
      </c>
      <c r="H36" s="90">
        <v>8.14</v>
      </c>
      <c r="I36" s="51">
        <f t="shared" si="6"/>
        <v>1.2470480000000002</v>
      </c>
      <c r="J36" s="51">
        <f t="shared" si="7"/>
        <v>9.3870480000000001</v>
      </c>
      <c r="K36" s="51">
        <f t="shared" si="8"/>
        <v>2.8161143999999999E-3</v>
      </c>
      <c r="L36" s="51">
        <f t="shared" si="9"/>
        <v>9.3842318856000002</v>
      </c>
      <c r="M36" s="51">
        <f t="shared" si="10"/>
        <v>889.62518275488014</v>
      </c>
      <c r="N36" s="14">
        <f t="shared" si="11"/>
        <v>4.676800000000001</v>
      </c>
      <c r="O36" s="187"/>
    </row>
    <row r="37" spans="1:15" s="61" customFormat="1" ht="17.25" customHeight="1" x14ac:dyDescent="0.25">
      <c r="A37" s="18" t="s">
        <v>158</v>
      </c>
      <c r="B37" s="70" t="s">
        <v>89</v>
      </c>
      <c r="C37" s="18">
        <v>11927</v>
      </c>
      <c r="D37" s="18" t="s">
        <v>34</v>
      </c>
      <c r="E37" s="63" t="s">
        <v>160</v>
      </c>
      <c r="F37" s="18" t="s">
        <v>21</v>
      </c>
      <c r="G37" s="18">
        <v>40</v>
      </c>
      <c r="H37" s="89">
        <v>8.56</v>
      </c>
      <c r="I37" s="51">
        <f t="shared" si="6"/>
        <v>1.3113920000000001</v>
      </c>
      <c r="J37" s="51">
        <f t="shared" ref="J37:J48" si="12">H37+I37</f>
        <v>9.8713920000000002</v>
      </c>
      <c r="K37" s="51">
        <f t="shared" si="8"/>
        <v>2.9614175999999998E-3</v>
      </c>
      <c r="L37" s="51">
        <f t="shared" ref="L37:L48" si="13">J37-K37</f>
        <v>9.8684305824000003</v>
      </c>
      <c r="M37" s="51">
        <f t="shared" ref="M37:M48" si="14">L37*G37</f>
        <v>394.73722329600002</v>
      </c>
      <c r="N37" s="14">
        <f t="shared" si="11"/>
        <v>0.44371183611689935</v>
      </c>
      <c r="O37" s="187"/>
    </row>
    <row r="38" spans="1:15" s="61" customFormat="1" ht="17.25" customHeight="1" x14ac:dyDescent="0.25">
      <c r="A38" s="59" t="s">
        <v>100</v>
      </c>
      <c r="B38" s="70" t="s">
        <v>89</v>
      </c>
      <c r="C38" s="18">
        <v>7334</v>
      </c>
      <c r="D38" s="18" t="s">
        <v>34</v>
      </c>
      <c r="E38" s="63" t="s">
        <v>137</v>
      </c>
      <c r="F38" s="18" t="s">
        <v>138</v>
      </c>
      <c r="G38" s="18">
        <f>18*2</f>
        <v>36</v>
      </c>
      <c r="H38" s="89">
        <v>16.59</v>
      </c>
      <c r="I38" s="51">
        <f t="shared" si="6"/>
        <v>2.541588</v>
      </c>
      <c r="J38" s="51">
        <f t="shared" si="12"/>
        <v>19.131588000000001</v>
      </c>
      <c r="K38" s="51">
        <f t="shared" si="8"/>
        <v>5.7394763999999996E-3</v>
      </c>
      <c r="L38" s="51">
        <f t="shared" si="13"/>
        <v>19.125848523600002</v>
      </c>
      <c r="M38" s="51">
        <f t="shared" si="14"/>
        <v>688.53054684960011</v>
      </c>
      <c r="N38" s="14">
        <f t="shared" si="11"/>
        <v>1.7442757009345795</v>
      </c>
      <c r="O38" s="187"/>
    </row>
    <row r="39" spans="1:15" s="61" customFormat="1" ht="17.100000000000001" customHeight="1" x14ac:dyDescent="0.25">
      <c r="A39" s="18" t="s">
        <v>168</v>
      </c>
      <c r="B39" s="70" t="s">
        <v>89</v>
      </c>
      <c r="C39" s="18">
        <v>20260</v>
      </c>
      <c r="D39" s="18" t="s">
        <v>34</v>
      </c>
      <c r="E39" s="72" t="s">
        <v>162</v>
      </c>
      <c r="F39" s="18" t="s">
        <v>21</v>
      </c>
      <c r="G39" s="18">
        <v>20</v>
      </c>
      <c r="H39" s="89">
        <v>16.3</v>
      </c>
      <c r="I39" s="14">
        <f t="shared" si="6"/>
        <v>2.49716</v>
      </c>
      <c r="J39" s="14">
        <f t="shared" si="12"/>
        <v>18.797160000000002</v>
      </c>
      <c r="K39" s="14">
        <f t="shared" si="8"/>
        <v>5.6391480000000001E-3</v>
      </c>
      <c r="L39" s="14">
        <f t="shared" si="13"/>
        <v>18.791520852000001</v>
      </c>
      <c r="M39" s="14">
        <f t="shared" si="14"/>
        <v>375.83041704000004</v>
      </c>
      <c r="N39" s="14">
        <f t="shared" si="11"/>
        <v>0.5458442167302926</v>
      </c>
      <c r="O39" s="187"/>
    </row>
    <row r="40" spans="1:15" s="61" customFormat="1" ht="17.100000000000001" customHeight="1" x14ac:dyDescent="0.25">
      <c r="A40" s="18" t="s">
        <v>101</v>
      </c>
      <c r="B40" s="70" t="s">
        <v>89</v>
      </c>
      <c r="C40" s="18">
        <v>11756</v>
      </c>
      <c r="D40" s="18" t="s">
        <v>34</v>
      </c>
      <c r="E40" s="72" t="s">
        <v>136</v>
      </c>
      <c r="F40" s="18" t="s">
        <v>21</v>
      </c>
      <c r="G40" s="18">
        <v>20</v>
      </c>
      <c r="H40" s="89">
        <v>32.19</v>
      </c>
      <c r="I40" s="14">
        <f t="shared" si="6"/>
        <v>4.931508</v>
      </c>
      <c r="J40" s="14">
        <f t="shared" si="12"/>
        <v>37.121507999999999</v>
      </c>
      <c r="K40" s="14">
        <f t="shared" si="8"/>
        <v>1.1136452399999998E-2</v>
      </c>
      <c r="L40" s="14">
        <f t="shared" si="13"/>
        <v>37.110371547599996</v>
      </c>
      <c r="M40" s="14">
        <f t="shared" si="14"/>
        <v>742.20743095199987</v>
      </c>
      <c r="N40" s="14">
        <f t="shared" si="11"/>
        <v>1.9748466257668706</v>
      </c>
      <c r="O40" s="187"/>
    </row>
    <row r="41" spans="1:15" s="61" customFormat="1" ht="17.25" customHeight="1" x14ac:dyDescent="0.25">
      <c r="A41" s="18" t="s">
        <v>97</v>
      </c>
      <c r="B41" s="70" t="s">
        <v>89</v>
      </c>
      <c r="C41" s="18">
        <v>5066</v>
      </c>
      <c r="D41" s="18" t="s">
        <v>34</v>
      </c>
      <c r="E41" s="63" t="s">
        <v>165</v>
      </c>
      <c r="F41" s="18" t="s">
        <v>92</v>
      </c>
      <c r="G41" s="18">
        <v>2</v>
      </c>
      <c r="H41" s="89">
        <v>19.27</v>
      </c>
      <c r="I41" s="51">
        <f t="shared" si="6"/>
        <v>2.9521639999999998</v>
      </c>
      <c r="J41" s="51">
        <f t="shared" si="12"/>
        <v>22.222163999999999</v>
      </c>
      <c r="K41" s="51">
        <f t="shared" si="8"/>
        <v>6.6666491999999994E-3</v>
      </c>
      <c r="L41" s="51">
        <f t="shared" si="13"/>
        <v>22.2154973508</v>
      </c>
      <c r="M41" s="51">
        <f t="shared" si="14"/>
        <v>44.4309947016</v>
      </c>
      <c r="N41" s="14">
        <f t="shared" si="11"/>
        <v>5.9863311587449529E-2</v>
      </c>
      <c r="O41" s="187"/>
    </row>
    <row r="42" spans="1:15" s="61" customFormat="1" ht="17.100000000000001" customHeight="1" x14ac:dyDescent="0.25">
      <c r="A42" s="59" t="s">
        <v>94</v>
      </c>
      <c r="B42" s="70" t="s">
        <v>89</v>
      </c>
      <c r="C42" s="18">
        <v>20247</v>
      </c>
      <c r="D42" s="18" t="s">
        <v>34</v>
      </c>
      <c r="E42" s="62" t="s">
        <v>164</v>
      </c>
      <c r="F42" s="18" t="s">
        <v>92</v>
      </c>
      <c r="G42" s="18">
        <v>5</v>
      </c>
      <c r="H42" s="90">
        <v>16.190000000000001</v>
      </c>
      <c r="I42" s="43">
        <f t="shared" si="6"/>
        <v>2.4803080000000004</v>
      </c>
      <c r="J42" s="43">
        <f t="shared" si="12"/>
        <v>18.670308000000002</v>
      </c>
      <c r="K42" s="43">
        <f t="shared" si="8"/>
        <v>5.6010924000000004E-3</v>
      </c>
      <c r="L42" s="43">
        <f t="shared" si="13"/>
        <v>18.664706907600003</v>
      </c>
      <c r="M42" s="43">
        <f t="shared" si="14"/>
        <v>93.323534538000018</v>
      </c>
      <c r="N42" s="14">
        <f t="shared" si="11"/>
        <v>2.1004151530877015</v>
      </c>
      <c r="O42" s="187"/>
    </row>
    <row r="43" spans="1:15" s="61" customFormat="1" ht="17.25" customHeight="1" x14ac:dyDescent="0.25">
      <c r="A43" s="18" t="s">
        <v>102</v>
      </c>
      <c r="B43" s="70" t="s">
        <v>89</v>
      </c>
      <c r="C43" s="18">
        <v>5068</v>
      </c>
      <c r="D43" s="18" t="s">
        <v>34</v>
      </c>
      <c r="E43" s="63" t="s">
        <v>166</v>
      </c>
      <c r="F43" s="18" t="s">
        <v>92</v>
      </c>
      <c r="G43" s="18">
        <v>5</v>
      </c>
      <c r="H43" s="89">
        <v>14.63</v>
      </c>
      <c r="I43" s="51">
        <f t="shared" si="6"/>
        <v>2.2413160000000003</v>
      </c>
      <c r="J43" s="51">
        <f t="shared" si="12"/>
        <v>16.871316</v>
      </c>
      <c r="K43" s="51">
        <f t="shared" si="8"/>
        <v>5.0613947999999997E-3</v>
      </c>
      <c r="L43" s="51">
        <f t="shared" si="13"/>
        <v>16.866254605200002</v>
      </c>
      <c r="M43" s="51">
        <f t="shared" si="14"/>
        <v>84.331273026000005</v>
      </c>
      <c r="N43" s="14">
        <f t="shared" si="11"/>
        <v>0.90364422483014195</v>
      </c>
      <c r="O43" s="187"/>
    </row>
    <row r="44" spans="1:15" s="61" customFormat="1" ht="17.25" customHeight="1" x14ac:dyDescent="0.25">
      <c r="A44" s="18" t="s">
        <v>172</v>
      </c>
      <c r="B44" s="70" t="s">
        <v>89</v>
      </c>
      <c r="C44" s="18">
        <v>43617</v>
      </c>
      <c r="D44" s="18" t="s">
        <v>34</v>
      </c>
      <c r="E44" s="63" t="s">
        <v>169</v>
      </c>
      <c r="F44" s="18" t="s">
        <v>138</v>
      </c>
      <c r="G44" s="18">
        <v>3.6</v>
      </c>
      <c r="H44" s="89">
        <v>8.0500000000000007</v>
      </c>
      <c r="I44" s="51">
        <f t="shared" si="6"/>
        <v>1.23326</v>
      </c>
      <c r="J44" s="51">
        <f t="shared" si="12"/>
        <v>9.2832600000000003</v>
      </c>
      <c r="K44" s="51">
        <f t="shared" si="8"/>
        <v>2.784978E-3</v>
      </c>
      <c r="L44" s="51">
        <f t="shared" si="13"/>
        <v>9.280475022000001</v>
      </c>
      <c r="M44" s="51">
        <f t="shared" si="14"/>
        <v>33.409710079200003</v>
      </c>
      <c r="N44" s="14">
        <f t="shared" si="11"/>
        <v>0.39617224880382779</v>
      </c>
      <c r="O44" s="187"/>
    </row>
    <row r="45" spans="1:15" s="61" customFormat="1" ht="17.25" customHeight="1" x14ac:dyDescent="0.25">
      <c r="A45" s="18" t="s">
        <v>173</v>
      </c>
      <c r="B45" s="70" t="s">
        <v>89</v>
      </c>
      <c r="C45" s="18">
        <v>977</v>
      </c>
      <c r="D45" s="18" t="s">
        <v>117</v>
      </c>
      <c r="E45" s="63" t="s">
        <v>171</v>
      </c>
      <c r="F45" s="18" t="s">
        <v>170</v>
      </c>
      <c r="G45" s="18">
        <v>2000</v>
      </c>
      <c r="H45" s="89">
        <v>7.0000000000000007E-2</v>
      </c>
      <c r="I45" s="14">
        <f t="shared" si="6"/>
        <v>1.0724000000000001E-2</v>
      </c>
      <c r="J45" s="14">
        <f t="shared" si="12"/>
        <v>8.0724000000000004E-2</v>
      </c>
      <c r="K45" s="14">
        <f t="shared" si="8"/>
        <v>2.4217199999999999E-5</v>
      </c>
      <c r="L45" s="14">
        <f t="shared" si="13"/>
        <v>8.0699782800000008E-2</v>
      </c>
      <c r="M45" s="14">
        <f t="shared" si="14"/>
        <v>161.39956560000002</v>
      </c>
      <c r="N45" s="14">
        <f t="shared" si="11"/>
        <v>4.8309178743961354</v>
      </c>
      <c r="O45" s="187"/>
    </row>
    <row r="46" spans="1:15" s="61" customFormat="1" ht="17.25" customHeight="1" x14ac:dyDescent="0.25">
      <c r="A46" s="18" t="s">
        <v>95</v>
      </c>
      <c r="B46" s="70" t="s">
        <v>89</v>
      </c>
      <c r="C46" s="18">
        <v>122</v>
      </c>
      <c r="D46" s="18" t="s">
        <v>34</v>
      </c>
      <c r="E46" s="63" t="s">
        <v>174</v>
      </c>
      <c r="F46" s="18" t="s">
        <v>21</v>
      </c>
      <c r="G46" s="18">
        <v>2</v>
      </c>
      <c r="H46" s="89">
        <v>53.39</v>
      </c>
      <c r="I46" s="14">
        <f t="shared" si="6"/>
        <v>8.179348000000001</v>
      </c>
      <c r="J46" s="14">
        <f t="shared" si="12"/>
        <v>61.569348000000005</v>
      </c>
      <c r="K46" s="14">
        <f t="shared" si="8"/>
        <v>1.8470804399999999E-2</v>
      </c>
      <c r="L46" s="14">
        <f t="shared" si="13"/>
        <v>61.550877195600002</v>
      </c>
      <c r="M46" s="14">
        <f t="shared" si="14"/>
        <v>123.1017543912</v>
      </c>
      <c r="N46" s="14">
        <f t="shared" si="11"/>
        <v>0.76271428571428568</v>
      </c>
      <c r="O46" s="187"/>
    </row>
    <row r="47" spans="1:15" s="61" customFormat="1" ht="17.25" customHeight="1" x14ac:dyDescent="0.25">
      <c r="A47" s="59" t="s">
        <v>186</v>
      </c>
      <c r="B47" s="70" t="s">
        <v>89</v>
      </c>
      <c r="C47" s="11">
        <v>377</v>
      </c>
      <c r="D47" s="18" t="s">
        <v>34</v>
      </c>
      <c r="E47" s="64" t="s">
        <v>123</v>
      </c>
      <c r="F47" s="18" t="s">
        <v>21</v>
      </c>
      <c r="G47" s="18">
        <v>26</v>
      </c>
      <c r="H47" s="92">
        <v>42.5</v>
      </c>
      <c r="I47" s="14">
        <f t="shared" si="6"/>
        <v>6.5110000000000001</v>
      </c>
      <c r="J47" s="14">
        <f t="shared" si="12"/>
        <v>49.011000000000003</v>
      </c>
      <c r="K47" s="14">
        <f t="shared" si="8"/>
        <v>1.4703299999999999E-2</v>
      </c>
      <c r="L47" s="14">
        <f t="shared" si="13"/>
        <v>48.996296700000002</v>
      </c>
      <c r="M47" s="14">
        <f t="shared" si="14"/>
        <v>1273.9037142</v>
      </c>
      <c r="N47" s="14">
        <f t="shared" si="11"/>
        <v>10.348379846413186</v>
      </c>
      <c r="O47" s="187"/>
    </row>
    <row r="48" spans="1:15" x14ac:dyDescent="0.25">
      <c r="A48" s="18" t="s">
        <v>187</v>
      </c>
      <c r="B48" s="70" t="s">
        <v>89</v>
      </c>
      <c r="C48" s="18">
        <v>21112</v>
      </c>
      <c r="D48" s="18" t="s">
        <v>34</v>
      </c>
      <c r="E48" s="24" t="s">
        <v>176</v>
      </c>
      <c r="F48" s="18" t="s">
        <v>21</v>
      </c>
      <c r="G48" s="18">
        <v>15</v>
      </c>
      <c r="H48" s="89">
        <v>270.73</v>
      </c>
      <c r="I48" s="14">
        <f t="shared" si="6"/>
        <v>41.475836000000001</v>
      </c>
      <c r="J48" s="14">
        <f t="shared" si="12"/>
        <v>312.20583600000003</v>
      </c>
      <c r="K48" s="14">
        <f t="shared" si="8"/>
        <v>9.3661750799999999E-2</v>
      </c>
      <c r="L48" s="14">
        <f t="shared" si="13"/>
        <v>312.11217424920005</v>
      </c>
      <c r="M48" s="14">
        <f t="shared" si="14"/>
        <v>4681.6826137380012</v>
      </c>
      <c r="N48" s="14">
        <f t="shared" si="11"/>
        <v>3.6750678733031683</v>
      </c>
      <c r="O48" s="187"/>
    </row>
    <row r="49" spans="1:15" s="65" customFormat="1" ht="17.25" customHeight="1" x14ac:dyDescent="0.25">
      <c r="A49" s="18" t="s">
        <v>103</v>
      </c>
      <c r="B49" s="70" t="s">
        <v>89</v>
      </c>
      <c r="C49" s="18">
        <v>36791</v>
      </c>
      <c r="D49" s="18" t="s">
        <v>34</v>
      </c>
      <c r="E49" s="63" t="s">
        <v>127</v>
      </c>
      <c r="F49" s="18" t="s">
        <v>21</v>
      </c>
      <c r="G49" s="18">
        <v>15</v>
      </c>
      <c r="H49" s="89">
        <v>122.95</v>
      </c>
      <c r="I49" s="14">
        <f>H49*0.1532</f>
        <v>18.835940000000001</v>
      </c>
      <c r="J49" s="14">
        <f>H49+I49</f>
        <v>141.78594000000001</v>
      </c>
      <c r="K49" s="14">
        <f>J49*(0.03%)</f>
        <v>4.2535782000000001E-2</v>
      </c>
      <c r="L49" s="14">
        <f>J49-K49</f>
        <v>141.74340421800002</v>
      </c>
      <c r="M49" s="14">
        <f>L49*G49</f>
        <v>2126.1510632700001</v>
      </c>
      <c r="N49" s="14">
        <f t="shared" si="11"/>
        <v>0.45414250360137398</v>
      </c>
      <c r="O49" s="187"/>
    </row>
    <row r="50" spans="1:15" s="61" customFormat="1" ht="17.25" customHeight="1" x14ac:dyDescent="0.25">
      <c r="A50" s="18" t="s">
        <v>188</v>
      </c>
      <c r="B50" s="70" t="s">
        <v>89</v>
      </c>
      <c r="C50" s="18">
        <v>13417</v>
      </c>
      <c r="D50" s="18" t="s">
        <v>34</v>
      </c>
      <c r="E50" s="63" t="s">
        <v>177</v>
      </c>
      <c r="F50" s="18" t="s">
        <v>21</v>
      </c>
      <c r="G50" s="18">
        <v>2</v>
      </c>
      <c r="H50" s="89">
        <v>81.92</v>
      </c>
      <c r="I50" s="14">
        <f>H50*0.1532</f>
        <v>12.550144000000001</v>
      </c>
      <c r="J50" s="14">
        <f>H50+I50</f>
        <v>94.470144000000005</v>
      </c>
      <c r="K50" s="14">
        <f>J50*(0.03%)</f>
        <v>2.8341043199999999E-2</v>
      </c>
      <c r="L50" s="14">
        <f>J50-K50</f>
        <v>94.441802956800004</v>
      </c>
      <c r="M50" s="14">
        <f>L50*G50</f>
        <v>188.88360591360001</v>
      </c>
      <c r="N50" s="14">
        <f t="shared" si="11"/>
        <v>8.8838281144096518E-2</v>
      </c>
      <c r="O50" s="187"/>
    </row>
    <row r="51" spans="1:15" s="65" customFormat="1" ht="17.25" customHeight="1" x14ac:dyDescent="0.25">
      <c r="A51" s="59" t="s">
        <v>96</v>
      </c>
      <c r="B51" s="70" t="s">
        <v>89</v>
      </c>
      <c r="C51" s="18">
        <v>11681</v>
      </c>
      <c r="D51" s="18" t="s">
        <v>34</v>
      </c>
      <c r="E51" s="63" t="s">
        <v>178</v>
      </c>
      <c r="F51" s="18" t="s">
        <v>21</v>
      </c>
      <c r="G51" s="18">
        <v>10</v>
      </c>
      <c r="H51" s="89">
        <v>8.34</v>
      </c>
      <c r="I51" s="14">
        <f t="shared" ref="I51:I54" si="15">H51*0.1532</f>
        <v>1.2776879999999999</v>
      </c>
      <c r="J51" s="14">
        <f t="shared" ref="J51:J54" si="16">H51+I51</f>
        <v>9.6176879999999993</v>
      </c>
      <c r="K51" s="14">
        <f t="shared" ref="K51:K54" si="17">J51*(0.03%)</f>
        <v>2.8853063999999995E-3</v>
      </c>
      <c r="L51" s="14">
        <f t="shared" ref="L51:L54" si="18">J51-K51</f>
        <v>9.6148026935999997</v>
      </c>
      <c r="M51" s="14">
        <f t="shared" ref="M51:M54" si="19">L51*G51</f>
        <v>96.148026935999994</v>
      </c>
      <c r="N51" s="14">
        <f t="shared" si="11"/>
        <v>0.509033203125</v>
      </c>
      <c r="O51" s="187"/>
    </row>
    <row r="52" spans="1:15" s="61" customFormat="1" ht="17.100000000000001" customHeight="1" x14ac:dyDescent="0.25">
      <c r="A52" s="18" t="s">
        <v>189</v>
      </c>
      <c r="B52" s="70" t="s">
        <v>89</v>
      </c>
      <c r="C52" s="18">
        <v>11762</v>
      </c>
      <c r="D52" s="18" t="s">
        <v>34</v>
      </c>
      <c r="E52" s="63" t="s">
        <v>128</v>
      </c>
      <c r="F52" s="18" t="s">
        <v>21</v>
      </c>
      <c r="G52" s="18">
        <v>10</v>
      </c>
      <c r="H52" s="93">
        <v>51.67</v>
      </c>
      <c r="I52" s="14">
        <f t="shared" si="15"/>
        <v>7.9158440000000008</v>
      </c>
      <c r="J52" s="14">
        <f t="shared" si="16"/>
        <v>59.585844000000002</v>
      </c>
      <c r="K52" s="14">
        <f t="shared" si="17"/>
        <v>1.78757532E-2</v>
      </c>
      <c r="L52" s="14">
        <f t="shared" si="18"/>
        <v>59.5679682468</v>
      </c>
      <c r="M52" s="14">
        <f t="shared" si="19"/>
        <v>595.67968246800001</v>
      </c>
      <c r="N52" s="14">
        <f t="shared" si="11"/>
        <v>6.195443645083933</v>
      </c>
      <c r="O52" s="187"/>
    </row>
    <row r="53" spans="1:15" s="61" customFormat="1" ht="17.25" customHeight="1" x14ac:dyDescent="0.25">
      <c r="A53" s="18" t="s">
        <v>163</v>
      </c>
      <c r="B53" s="70" t="s">
        <v>89</v>
      </c>
      <c r="C53" s="44">
        <v>44945</v>
      </c>
      <c r="D53" s="44" t="s">
        <v>34</v>
      </c>
      <c r="E53" s="48" t="s">
        <v>129</v>
      </c>
      <c r="F53" s="18" t="s">
        <v>21</v>
      </c>
      <c r="G53" s="44">
        <v>40</v>
      </c>
      <c r="H53" s="79">
        <v>10.93</v>
      </c>
      <c r="I53" s="14">
        <f t="shared" si="15"/>
        <v>1.6744760000000001</v>
      </c>
      <c r="J53" s="14">
        <f t="shared" si="16"/>
        <v>12.604476</v>
      </c>
      <c r="K53" s="14">
        <f t="shared" si="17"/>
        <v>3.7813427999999999E-3</v>
      </c>
      <c r="L53" s="14">
        <f t="shared" si="18"/>
        <v>12.6006946572</v>
      </c>
      <c r="M53" s="14">
        <f t="shared" si="19"/>
        <v>504.02778628800002</v>
      </c>
      <c r="N53" s="14">
        <f t="shared" si="11"/>
        <v>0.84613895877685308</v>
      </c>
      <c r="O53" s="187"/>
    </row>
    <row r="54" spans="1:15" s="61" customFormat="1" ht="17.100000000000001" customHeight="1" x14ac:dyDescent="0.25">
      <c r="A54" s="18" t="s">
        <v>104</v>
      </c>
      <c r="B54" s="70" t="s">
        <v>89</v>
      </c>
      <c r="C54" s="49" t="s">
        <v>179</v>
      </c>
      <c r="D54" s="49" t="s">
        <v>81</v>
      </c>
      <c r="E54" s="60" t="s">
        <v>180</v>
      </c>
      <c r="F54" s="18" t="s">
        <v>21</v>
      </c>
      <c r="G54" s="18">
        <v>20</v>
      </c>
      <c r="H54" s="78">
        <v>93.37</v>
      </c>
      <c r="I54" s="14">
        <f t="shared" si="15"/>
        <v>14.304284000000001</v>
      </c>
      <c r="J54" s="14">
        <f t="shared" si="16"/>
        <v>107.674284</v>
      </c>
      <c r="K54" s="14">
        <f t="shared" si="17"/>
        <v>3.2302285199999996E-2</v>
      </c>
      <c r="L54" s="14">
        <f t="shared" si="18"/>
        <v>107.6419817148</v>
      </c>
      <c r="M54" s="14">
        <f t="shared" si="19"/>
        <v>2152.839634296</v>
      </c>
      <c r="N54" s="14">
        <f t="shared" si="11"/>
        <v>4.2712717291857274</v>
      </c>
      <c r="O54" s="187"/>
    </row>
    <row r="55" spans="1:15" s="61" customFormat="1" ht="17.25" customHeight="1" x14ac:dyDescent="0.25">
      <c r="A55" s="18" t="s">
        <v>93</v>
      </c>
      <c r="B55" s="70" t="s">
        <v>89</v>
      </c>
      <c r="C55" s="18">
        <v>3148</v>
      </c>
      <c r="D55" s="18" t="s">
        <v>34</v>
      </c>
      <c r="E55" s="60" t="s">
        <v>124</v>
      </c>
      <c r="F55" s="18" t="s">
        <v>21</v>
      </c>
      <c r="G55" s="18">
        <v>15</v>
      </c>
      <c r="H55" s="89">
        <v>8.07</v>
      </c>
      <c r="I55" s="14">
        <f>H55*0.1532</f>
        <v>1.236324</v>
      </c>
      <c r="J55" s="14">
        <f>H55+I55</f>
        <v>9.306324</v>
      </c>
      <c r="K55" s="14">
        <f>J55*(0.03%)</f>
        <v>2.7918971999999998E-3</v>
      </c>
      <c r="L55" s="14">
        <f>J55-K55</f>
        <v>9.3035321028000002</v>
      </c>
      <c r="M55" s="14">
        <f>L55*G55</f>
        <v>139.552981542</v>
      </c>
      <c r="N55" s="14">
        <f t="shared" si="11"/>
        <v>6.4822748206061903E-2</v>
      </c>
      <c r="O55" s="187"/>
    </row>
    <row r="56" spans="1:15" s="61" customFormat="1" ht="17.25" customHeight="1" x14ac:dyDescent="0.25">
      <c r="A56" s="59" t="s">
        <v>105</v>
      </c>
      <c r="B56" s="70" t="s">
        <v>89</v>
      </c>
      <c r="C56" s="18">
        <v>38383</v>
      </c>
      <c r="D56" s="18" t="s">
        <v>34</v>
      </c>
      <c r="E56" s="58" t="s">
        <v>130</v>
      </c>
      <c r="F56" s="18" t="s">
        <v>21</v>
      </c>
      <c r="G56" s="18">
        <v>50</v>
      </c>
      <c r="H56" s="89">
        <v>2.62</v>
      </c>
      <c r="I56" s="14">
        <f t="shared" ref="I56:I58" si="20">H56*0.1532</f>
        <v>0.40138400000000002</v>
      </c>
      <c r="J56" s="14">
        <f t="shared" ref="J56:J58" si="21">H56+I56</f>
        <v>3.0213840000000003</v>
      </c>
      <c r="K56" s="14">
        <f t="shared" ref="K56:K58" si="22">J56*(0.03%)</f>
        <v>9.064152E-4</v>
      </c>
      <c r="L56" s="14">
        <f t="shared" ref="L56:L58" si="23">J56-K56</f>
        <v>3.0204775848000005</v>
      </c>
      <c r="M56" s="14">
        <f t="shared" ref="M56:M58" si="24">L56*G56</f>
        <v>151.02387924000001</v>
      </c>
      <c r="N56" s="14">
        <f t="shared" si="11"/>
        <v>1.0821974390747626</v>
      </c>
      <c r="O56" s="187"/>
    </row>
    <row r="57" spans="1:15" s="61" customFormat="1" ht="17.100000000000001" customHeight="1" x14ac:dyDescent="0.25">
      <c r="A57" s="18" t="s">
        <v>190</v>
      </c>
      <c r="B57" s="70" t="s">
        <v>89</v>
      </c>
      <c r="C57" s="11">
        <v>11674</v>
      </c>
      <c r="D57" s="18" t="s">
        <v>34</v>
      </c>
      <c r="E57" s="60" t="s">
        <v>182</v>
      </c>
      <c r="F57" s="18" t="s">
        <v>21</v>
      </c>
      <c r="G57" s="18">
        <v>10</v>
      </c>
      <c r="H57" s="78">
        <v>27.78</v>
      </c>
      <c r="I57" s="14">
        <f t="shared" si="20"/>
        <v>4.2558959999999999</v>
      </c>
      <c r="J57" s="14">
        <f t="shared" si="21"/>
        <v>32.035896000000001</v>
      </c>
      <c r="K57" s="14">
        <f t="shared" si="22"/>
        <v>9.610768799999999E-3</v>
      </c>
      <c r="L57" s="14">
        <f t="shared" si="23"/>
        <v>32.026285231199999</v>
      </c>
      <c r="M57" s="14">
        <f t="shared" si="24"/>
        <v>320.26285231200001</v>
      </c>
      <c r="N57" s="14">
        <f t="shared" si="11"/>
        <v>2.1206106870229005</v>
      </c>
      <c r="O57" s="187"/>
    </row>
    <row r="58" spans="1:15" s="65" customFormat="1" ht="17.25" customHeight="1" x14ac:dyDescent="0.25">
      <c r="A58" s="18" t="s">
        <v>191</v>
      </c>
      <c r="B58" s="70" t="s">
        <v>89</v>
      </c>
      <c r="C58" s="18">
        <v>65</v>
      </c>
      <c r="D58" s="18" t="s">
        <v>34</v>
      </c>
      <c r="E58" s="63" t="s">
        <v>183</v>
      </c>
      <c r="F58" s="18" t="s">
        <v>21</v>
      </c>
      <c r="G58" s="18">
        <v>15</v>
      </c>
      <c r="H58" s="89">
        <v>0.74</v>
      </c>
      <c r="I58" s="14">
        <f t="shared" si="20"/>
        <v>0.113368</v>
      </c>
      <c r="J58" s="14">
        <f t="shared" si="21"/>
        <v>0.85336800000000002</v>
      </c>
      <c r="K58" s="14">
        <f t="shared" si="22"/>
        <v>2.5601039999999996E-4</v>
      </c>
      <c r="L58" s="14">
        <f t="shared" si="23"/>
        <v>0.85311198960000001</v>
      </c>
      <c r="M58" s="14">
        <f t="shared" si="24"/>
        <v>12.796679844</v>
      </c>
      <c r="N58" s="14">
        <f t="shared" si="11"/>
        <v>3.9956803455723541E-2</v>
      </c>
      <c r="O58" s="187"/>
    </row>
    <row r="59" spans="1:15" s="61" customFormat="1" ht="17.25" customHeight="1" x14ac:dyDescent="0.25">
      <c r="A59" s="18" t="s">
        <v>106</v>
      </c>
      <c r="B59" s="70" t="s">
        <v>89</v>
      </c>
      <c r="C59" s="18">
        <v>111</v>
      </c>
      <c r="D59" s="18" t="s">
        <v>34</v>
      </c>
      <c r="E59" s="63" t="s">
        <v>184</v>
      </c>
      <c r="F59" s="18" t="s">
        <v>21</v>
      </c>
      <c r="G59" s="18">
        <v>10</v>
      </c>
      <c r="H59" s="89">
        <v>6.99</v>
      </c>
      <c r="I59" s="14">
        <f t="shared" ref="I59:I64" si="25">H59*0.1532</f>
        <v>1.0708680000000002</v>
      </c>
      <c r="J59" s="14">
        <f t="shared" ref="J59:J64" si="26">H59+I59</f>
        <v>8.060868000000001</v>
      </c>
      <c r="K59" s="14">
        <f t="shared" ref="K59:K64" si="27">J59*(0.03%)</f>
        <v>2.4182603999999999E-3</v>
      </c>
      <c r="L59" s="14">
        <f t="shared" ref="L59:L64" si="28">J59-K59</f>
        <v>8.0584497396000003</v>
      </c>
      <c r="M59" s="14">
        <f t="shared" ref="M59:M64" si="29">L59*G59</f>
        <v>80.584497396000003</v>
      </c>
      <c r="N59" s="14">
        <f t="shared" si="11"/>
        <v>6.2972972972972974</v>
      </c>
      <c r="O59" s="187"/>
    </row>
    <row r="60" spans="1:15" s="61" customFormat="1" ht="17.25" customHeight="1" x14ac:dyDescent="0.25">
      <c r="A60" s="18" t="s">
        <v>192</v>
      </c>
      <c r="B60" s="70" t="s">
        <v>89</v>
      </c>
      <c r="C60" s="18">
        <v>104</v>
      </c>
      <c r="D60" s="18" t="s">
        <v>34</v>
      </c>
      <c r="E60" s="63" t="s">
        <v>185</v>
      </c>
      <c r="F60" s="18" t="s">
        <v>21</v>
      </c>
      <c r="G60" s="18">
        <v>5</v>
      </c>
      <c r="H60" s="89">
        <v>16.149999999999999</v>
      </c>
      <c r="I60" s="14">
        <f t="shared" si="25"/>
        <v>2.47418</v>
      </c>
      <c r="J60" s="14">
        <f t="shared" si="26"/>
        <v>18.624179999999999</v>
      </c>
      <c r="K60" s="14">
        <f t="shared" si="27"/>
        <v>5.587253999999999E-3</v>
      </c>
      <c r="L60" s="14">
        <f t="shared" si="28"/>
        <v>18.618592745999997</v>
      </c>
      <c r="M60" s="14">
        <f t="shared" si="29"/>
        <v>93.09296372999998</v>
      </c>
      <c r="N60" s="14">
        <f t="shared" si="11"/>
        <v>1.1552217453505005</v>
      </c>
      <c r="O60" s="187"/>
    </row>
    <row r="61" spans="1:15" s="61" customFormat="1" ht="17.25" customHeight="1" x14ac:dyDescent="0.25">
      <c r="A61" s="18" t="s">
        <v>197</v>
      </c>
      <c r="B61" s="70" t="s">
        <v>89</v>
      </c>
      <c r="C61" s="18">
        <v>102</v>
      </c>
      <c r="D61" s="18" t="s">
        <v>34</v>
      </c>
      <c r="E61" s="63" t="s">
        <v>193</v>
      </c>
      <c r="F61" s="18" t="s">
        <v>21</v>
      </c>
      <c r="G61" s="18">
        <v>5</v>
      </c>
      <c r="H61" s="89">
        <v>22.26</v>
      </c>
      <c r="I61" s="14">
        <f t="shared" si="25"/>
        <v>3.4102320000000002</v>
      </c>
      <c r="J61" s="14">
        <f t="shared" si="26"/>
        <v>25.670232000000002</v>
      </c>
      <c r="K61" s="14">
        <f t="shared" si="27"/>
        <v>7.7010695999999998E-3</v>
      </c>
      <c r="L61" s="14">
        <f t="shared" si="28"/>
        <v>25.662530930400003</v>
      </c>
      <c r="M61" s="14">
        <f t="shared" si="29"/>
        <v>128.31265465200002</v>
      </c>
      <c r="N61" s="14">
        <f t="shared" si="11"/>
        <v>1.3783281733746136</v>
      </c>
      <c r="O61" s="187"/>
    </row>
    <row r="62" spans="1:15" s="61" customFormat="1" ht="17.25" customHeight="1" x14ac:dyDescent="0.25">
      <c r="A62" s="59" t="s">
        <v>181</v>
      </c>
      <c r="B62" s="70" t="s">
        <v>89</v>
      </c>
      <c r="C62" s="18">
        <v>3500</v>
      </c>
      <c r="D62" s="18" t="s">
        <v>34</v>
      </c>
      <c r="E62" s="63" t="s">
        <v>194</v>
      </c>
      <c r="F62" s="18" t="s">
        <v>21</v>
      </c>
      <c r="G62" s="18">
        <v>10</v>
      </c>
      <c r="H62" s="89">
        <v>1.25</v>
      </c>
      <c r="I62" s="14">
        <f t="shared" si="25"/>
        <v>0.1915</v>
      </c>
      <c r="J62" s="14">
        <f t="shared" si="26"/>
        <v>1.4415</v>
      </c>
      <c r="K62" s="14">
        <f t="shared" si="27"/>
        <v>4.3244999999999997E-4</v>
      </c>
      <c r="L62" s="14">
        <f t="shared" si="28"/>
        <v>1.4410675500000001</v>
      </c>
      <c r="M62" s="14">
        <f t="shared" si="29"/>
        <v>14.4106755</v>
      </c>
      <c r="N62" s="14">
        <f t="shared" si="11"/>
        <v>0.1123090745732255</v>
      </c>
      <c r="O62" s="187"/>
    </row>
    <row r="63" spans="1:15" s="61" customFormat="1" ht="17.25" customHeight="1" x14ac:dyDescent="0.25">
      <c r="A63" s="18" t="s">
        <v>198</v>
      </c>
      <c r="B63" s="70" t="s">
        <v>89</v>
      </c>
      <c r="C63" s="18">
        <v>20147</v>
      </c>
      <c r="D63" s="18" t="s">
        <v>34</v>
      </c>
      <c r="E63" s="63" t="s">
        <v>195</v>
      </c>
      <c r="F63" s="18" t="s">
        <v>21</v>
      </c>
      <c r="G63" s="18">
        <v>10</v>
      </c>
      <c r="H63" s="89">
        <v>4.45</v>
      </c>
      <c r="I63" s="14">
        <f t="shared" si="25"/>
        <v>0.68174000000000001</v>
      </c>
      <c r="J63" s="14">
        <f t="shared" si="26"/>
        <v>5.1317400000000006</v>
      </c>
      <c r="K63" s="14">
        <f t="shared" si="27"/>
        <v>1.539522E-3</v>
      </c>
      <c r="L63" s="14">
        <f t="shared" si="28"/>
        <v>5.1302004780000008</v>
      </c>
      <c r="M63" s="14">
        <f t="shared" si="29"/>
        <v>51.302004780000004</v>
      </c>
      <c r="N63" s="14">
        <f t="shared" si="11"/>
        <v>3.5600000000000005</v>
      </c>
      <c r="O63" s="187"/>
    </row>
    <row r="64" spans="1:15" s="61" customFormat="1" ht="17.100000000000001" customHeight="1" x14ac:dyDescent="0.25">
      <c r="A64" s="18" t="s">
        <v>175</v>
      </c>
      <c r="B64" s="70" t="s">
        <v>89</v>
      </c>
      <c r="C64" s="18">
        <v>3529</v>
      </c>
      <c r="D64" s="18" t="s">
        <v>34</v>
      </c>
      <c r="E64" s="63" t="s">
        <v>125</v>
      </c>
      <c r="F64" s="18" t="s">
        <v>21</v>
      </c>
      <c r="G64" s="18">
        <v>20</v>
      </c>
      <c r="H64" s="89">
        <v>0.6</v>
      </c>
      <c r="I64" s="14">
        <f t="shared" si="25"/>
        <v>9.1920000000000002E-2</v>
      </c>
      <c r="J64" s="14">
        <f t="shared" si="26"/>
        <v>0.69191999999999998</v>
      </c>
      <c r="K64" s="14">
        <f t="shared" si="27"/>
        <v>2.0757599999999998E-4</v>
      </c>
      <c r="L64" s="14">
        <f t="shared" si="28"/>
        <v>0.69171242399999999</v>
      </c>
      <c r="M64" s="14">
        <f t="shared" si="29"/>
        <v>13.834248479999999</v>
      </c>
      <c r="N64" s="14">
        <f t="shared" si="11"/>
        <v>0.2696629213483146</v>
      </c>
      <c r="O64" s="187"/>
    </row>
    <row r="65" spans="1:15" s="61" customFormat="1" ht="17.25" customHeight="1" x14ac:dyDescent="0.25">
      <c r="A65" s="18" t="s">
        <v>199</v>
      </c>
      <c r="B65" s="70" t="s">
        <v>89</v>
      </c>
      <c r="C65" s="18">
        <v>3536</v>
      </c>
      <c r="D65" s="18" t="s">
        <v>34</v>
      </c>
      <c r="E65" s="63" t="s">
        <v>131</v>
      </c>
      <c r="F65" s="18" t="s">
        <v>21</v>
      </c>
      <c r="G65" s="18">
        <v>10</v>
      </c>
      <c r="H65" s="89">
        <v>2.0099999999999998</v>
      </c>
      <c r="I65" s="14">
        <f>H65*0.1532</f>
        <v>0.30793199999999998</v>
      </c>
      <c r="J65" s="14">
        <f>H65+I65</f>
        <v>2.3179319999999999</v>
      </c>
      <c r="K65" s="14">
        <f>J65*(0.03%)</f>
        <v>6.9537959999999986E-4</v>
      </c>
      <c r="L65" s="14">
        <f>J65-K65</f>
        <v>2.3172366203999997</v>
      </c>
      <c r="M65" s="14">
        <f>L65*G65</f>
        <v>23.172366203999996</v>
      </c>
      <c r="N65" s="14">
        <f t="shared" si="11"/>
        <v>1.6749999999999998</v>
      </c>
      <c r="O65" s="187"/>
    </row>
    <row r="66" spans="1:15" s="61" customFormat="1" ht="17.25" customHeight="1" x14ac:dyDescent="0.25">
      <c r="A66" s="18" t="s">
        <v>132</v>
      </c>
      <c r="B66" s="70" t="s">
        <v>89</v>
      </c>
      <c r="C66" s="18">
        <v>3904</v>
      </c>
      <c r="D66" s="18" t="s">
        <v>34</v>
      </c>
      <c r="E66" s="60" t="s">
        <v>133</v>
      </c>
      <c r="F66" s="18" t="s">
        <v>21</v>
      </c>
      <c r="G66" s="18">
        <v>15</v>
      </c>
      <c r="H66" s="90">
        <v>0.68</v>
      </c>
      <c r="I66" s="14">
        <f t="shared" ref="I66:I71" si="30">H66*0.1532</f>
        <v>0.104176</v>
      </c>
      <c r="J66" s="14">
        <f t="shared" ref="J66:J71" si="31">H66+I66</f>
        <v>0.7841760000000001</v>
      </c>
      <c r="K66" s="14">
        <f t="shared" ref="K66:K71" si="32">J66*(0.03%)</f>
        <v>2.3525280000000001E-4</v>
      </c>
      <c r="L66" s="14">
        <f t="shared" ref="L66:L71" si="33">J66-K66</f>
        <v>0.78394074720000007</v>
      </c>
      <c r="M66" s="14">
        <f t="shared" ref="M66:M71" si="34">L66*G66</f>
        <v>11.759111208</v>
      </c>
      <c r="N66" s="14">
        <f t="shared" si="11"/>
        <v>0.50746268656716431</v>
      </c>
      <c r="O66" s="187"/>
    </row>
    <row r="67" spans="1:15" s="61" customFormat="1" ht="17.25" customHeight="1" x14ac:dyDescent="0.25">
      <c r="A67" s="18" t="s">
        <v>134</v>
      </c>
      <c r="B67" s="70" t="s">
        <v>89</v>
      </c>
      <c r="C67" s="18">
        <v>3865</v>
      </c>
      <c r="D67" s="18" t="s">
        <v>34</v>
      </c>
      <c r="E67" s="63" t="s">
        <v>196</v>
      </c>
      <c r="F67" s="18" t="s">
        <v>21</v>
      </c>
      <c r="G67" s="18">
        <v>10</v>
      </c>
      <c r="H67" s="89">
        <v>16.22</v>
      </c>
      <c r="I67" s="14">
        <f t="shared" si="30"/>
        <v>2.4849039999999998</v>
      </c>
      <c r="J67" s="14">
        <f t="shared" si="31"/>
        <v>18.704903999999999</v>
      </c>
      <c r="K67" s="14">
        <f t="shared" si="32"/>
        <v>5.611471199999999E-3</v>
      </c>
      <c r="L67" s="14">
        <f t="shared" si="33"/>
        <v>18.699292528799997</v>
      </c>
      <c r="M67" s="14">
        <f t="shared" si="34"/>
        <v>186.99292528799998</v>
      </c>
      <c r="N67" s="14">
        <f t="shared" si="11"/>
        <v>15.901960784313724</v>
      </c>
      <c r="O67" s="187"/>
    </row>
    <row r="68" spans="1:15" s="61" customFormat="1" ht="17.25" customHeight="1" x14ac:dyDescent="0.25">
      <c r="A68" s="18" t="s">
        <v>203</v>
      </c>
      <c r="B68" s="18" t="s">
        <v>89</v>
      </c>
      <c r="C68" s="18">
        <v>3866</v>
      </c>
      <c r="D68" s="18" t="s">
        <v>34</v>
      </c>
      <c r="E68" s="63" t="s">
        <v>201</v>
      </c>
      <c r="F68" s="18" t="s">
        <v>21</v>
      </c>
      <c r="G68" s="18">
        <v>10</v>
      </c>
      <c r="H68" s="89">
        <v>36.43</v>
      </c>
      <c r="I68" s="14">
        <f t="shared" si="30"/>
        <v>5.5810760000000004</v>
      </c>
      <c r="J68" s="14">
        <f t="shared" si="31"/>
        <v>42.011076000000003</v>
      </c>
      <c r="K68" s="14">
        <f t="shared" si="32"/>
        <v>1.26033228E-2</v>
      </c>
      <c r="L68" s="14">
        <f t="shared" si="33"/>
        <v>41.998472677200006</v>
      </c>
      <c r="M68" s="14">
        <f t="shared" si="34"/>
        <v>419.98472677200004</v>
      </c>
      <c r="N68" s="14">
        <f t="shared" si="11"/>
        <v>2.2459926017262641</v>
      </c>
      <c r="O68" s="187"/>
    </row>
    <row r="69" spans="1:15" s="19" customFormat="1" ht="17.100000000000001" customHeight="1" x14ac:dyDescent="0.2">
      <c r="A69" s="59" t="s">
        <v>122</v>
      </c>
      <c r="B69" s="18" t="s">
        <v>89</v>
      </c>
      <c r="C69" s="18">
        <v>3870</v>
      </c>
      <c r="D69" s="18" t="s">
        <v>34</v>
      </c>
      <c r="E69" s="73" t="s">
        <v>202</v>
      </c>
      <c r="F69" s="18" t="s">
        <v>21</v>
      </c>
      <c r="G69" s="18">
        <v>10</v>
      </c>
      <c r="H69" s="89">
        <v>5.45</v>
      </c>
      <c r="I69" s="14">
        <f t="shared" si="30"/>
        <v>0.83494000000000002</v>
      </c>
      <c r="J69" s="14">
        <f t="shared" si="31"/>
        <v>6.2849400000000006</v>
      </c>
      <c r="K69" s="14">
        <f t="shared" si="32"/>
        <v>1.885482E-3</v>
      </c>
      <c r="L69" s="14">
        <f t="shared" si="33"/>
        <v>6.283054518000001</v>
      </c>
      <c r="M69" s="14">
        <f t="shared" si="34"/>
        <v>62.830545180000009</v>
      </c>
      <c r="N69" s="14">
        <f t="shared" si="11"/>
        <v>0.14960197639308262</v>
      </c>
      <c r="O69" s="187"/>
    </row>
    <row r="70" spans="1:15" s="19" customFormat="1" ht="17.100000000000001" customHeight="1" x14ac:dyDescent="0.2">
      <c r="A70" s="18" t="s">
        <v>208</v>
      </c>
      <c r="B70" s="18" t="s">
        <v>89</v>
      </c>
      <c r="C70" s="23">
        <v>3873</v>
      </c>
      <c r="D70" s="18" t="s">
        <v>34</v>
      </c>
      <c r="E70" s="24" t="s">
        <v>204</v>
      </c>
      <c r="F70" s="59" t="s">
        <v>21</v>
      </c>
      <c r="G70" s="18">
        <v>10</v>
      </c>
      <c r="H70" s="90">
        <v>10.25</v>
      </c>
      <c r="I70" s="14">
        <f t="shared" si="30"/>
        <v>1.5703</v>
      </c>
      <c r="J70" s="14">
        <f t="shared" si="31"/>
        <v>11.8203</v>
      </c>
      <c r="K70" s="14">
        <f t="shared" si="32"/>
        <v>3.5460899999999996E-3</v>
      </c>
      <c r="L70" s="14">
        <f t="shared" si="33"/>
        <v>11.816753909999999</v>
      </c>
      <c r="M70" s="14">
        <f t="shared" si="34"/>
        <v>118.1675391</v>
      </c>
      <c r="N70" s="14">
        <f t="shared" si="11"/>
        <v>1.8807339449541283</v>
      </c>
      <c r="O70" s="187"/>
    </row>
    <row r="71" spans="1:15" s="61" customFormat="1" ht="17.25" customHeight="1" x14ac:dyDescent="0.25">
      <c r="A71" s="18" t="s">
        <v>209</v>
      </c>
      <c r="B71" s="18" t="s">
        <v>89</v>
      </c>
      <c r="C71" s="18">
        <v>38022</v>
      </c>
      <c r="D71" s="18" t="s">
        <v>34</v>
      </c>
      <c r="E71" s="63" t="s">
        <v>205</v>
      </c>
      <c r="F71" s="59" t="s">
        <v>21</v>
      </c>
      <c r="G71" s="18">
        <v>10</v>
      </c>
      <c r="H71" s="89">
        <v>32.61</v>
      </c>
      <c r="I71" s="14">
        <f t="shared" si="30"/>
        <v>4.9958520000000002</v>
      </c>
      <c r="J71" s="14">
        <f t="shared" si="31"/>
        <v>37.605851999999999</v>
      </c>
      <c r="K71" s="14">
        <f t="shared" si="32"/>
        <v>1.1281755599999999E-2</v>
      </c>
      <c r="L71" s="14">
        <f t="shared" si="33"/>
        <v>37.594570244399996</v>
      </c>
      <c r="M71" s="14">
        <f t="shared" si="34"/>
        <v>375.94570244399995</v>
      </c>
      <c r="N71" s="14">
        <f t="shared" si="11"/>
        <v>3.1814634146341461</v>
      </c>
      <c r="O71" s="187"/>
    </row>
    <row r="72" spans="1:15" s="61" customFormat="1" ht="17.25" customHeight="1" x14ac:dyDescent="0.25">
      <c r="A72" s="18" t="s">
        <v>210</v>
      </c>
      <c r="B72" s="18" t="s">
        <v>89</v>
      </c>
      <c r="C72" s="18">
        <v>7139</v>
      </c>
      <c r="D72" s="18" t="s">
        <v>34</v>
      </c>
      <c r="E72" s="62" t="s">
        <v>126</v>
      </c>
      <c r="F72" s="18" t="s">
        <v>21</v>
      </c>
      <c r="G72" s="18">
        <v>15</v>
      </c>
      <c r="H72" s="89">
        <v>1</v>
      </c>
      <c r="I72" s="14">
        <f>H72*0.1532</f>
        <v>0.1532</v>
      </c>
      <c r="J72" s="14">
        <f>H72+I72</f>
        <v>1.1532</v>
      </c>
      <c r="K72" s="14">
        <f>J72*(0.03%)</f>
        <v>3.4595999999999997E-4</v>
      </c>
      <c r="L72" s="14">
        <f>J72-K72</f>
        <v>1.15285404</v>
      </c>
      <c r="M72" s="14">
        <f>L72*G72</f>
        <v>17.292810599999999</v>
      </c>
      <c r="N72" s="14">
        <f t="shared" si="11"/>
        <v>4.5998160073597062E-2</v>
      </c>
      <c r="O72" s="187"/>
    </row>
    <row r="73" spans="1:15" s="61" customFormat="1" ht="17.100000000000001" customHeight="1" x14ac:dyDescent="0.25">
      <c r="A73" s="18" t="s">
        <v>211</v>
      </c>
      <c r="B73" s="18" t="s">
        <v>89</v>
      </c>
      <c r="C73" s="18">
        <v>7143</v>
      </c>
      <c r="D73" s="18" t="s">
        <v>34</v>
      </c>
      <c r="E73" s="63" t="s">
        <v>206</v>
      </c>
      <c r="F73" s="18" t="s">
        <v>21</v>
      </c>
      <c r="G73" s="18">
        <v>10</v>
      </c>
      <c r="H73" s="89">
        <v>25.71</v>
      </c>
      <c r="I73" s="14">
        <f t="shared" ref="I73:I75" si="35">H73*0.1532</f>
        <v>3.9387720000000002</v>
      </c>
      <c r="J73" s="14">
        <f t="shared" ref="J73:J75" si="36">H73+I73</f>
        <v>29.648772000000001</v>
      </c>
      <c r="K73" s="14">
        <f t="shared" ref="K73:K75" si="37">J73*(0.03%)</f>
        <v>8.8946315999999994E-3</v>
      </c>
      <c r="L73" s="14">
        <f t="shared" ref="L73:L75" si="38">J73-K73</f>
        <v>29.639877368400001</v>
      </c>
      <c r="M73" s="14">
        <f t="shared" ref="M73:M75" si="39">L73*G73</f>
        <v>296.39877368399999</v>
      </c>
      <c r="N73" s="14">
        <f t="shared" si="11"/>
        <v>17.14</v>
      </c>
      <c r="O73" s="187"/>
    </row>
    <row r="74" spans="1:15" s="61" customFormat="1" ht="17.25" customHeight="1" x14ac:dyDescent="0.25">
      <c r="A74" s="18" t="s">
        <v>212</v>
      </c>
      <c r="B74" s="18" t="s">
        <v>89</v>
      </c>
      <c r="C74" s="18">
        <v>7144</v>
      </c>
      <c r="D74" s="18" t="s">
        <v>34</v>
      </c>
      <c r="E74" s="63" t="s">
        <v>207</v>
      </c>
      <c r="F74" s="18" t="s">
        <v>21</v>
      </c>
      <c r="G74" s="18">
        <v>3</v>
      </c>
      <c r="H74" s="89">
        <v>47.71</v>
      </c>
      <c r="I74" s="14">
        <f t="shared" si="35"/>
        <v>7.3091720000000002</v>
      </c>
      <c r="J74" s="14">
        <f t="shared" si="36"/>
        <v>55.019171999999998</v>
      </c>
      <c r="K74" s="14">
        <f t="shared" si="37"/>
        <v>1.6505751599999997E-2</v>
      </c>
      <c r="L74" s="14">
        <f t="shared" si="38"/>
        <v>55.002666248399997</v>
      </c>
      <c r="M74" s="14">
        <f t="shared" si="39"/>
        <v>165.00799874519998</v>
      </c>
      <c r="N74" s="14">
        <f t="shared" si="11"/>
        <v>0.55670945157526253</v>
      </c>
      <c r="O74" s="187"/>
    </row>
    <row r="75" spans="1:15" s="61" customFormat="1" ht="17.25" customHeight="1" x14ac:dyDescent="0.25">
      <c r="A75" s="18" t="s">
        <v>213</v>
      </c>
      <c r="B75" s="18" t="s">
        <v>89</v>
      </c>
      <c r="C75" s="18">
        <v>9868</v>
      </c>
      <c r="D75" s="18" t="s">
        <v>34</v>
      </c>
      <c r="E75" s="66" t="s">
        <v>135</v>
      </c>
      <c r="F75" s="18" t="s">
        <v>170</v>
      </c>
      <c r="G75" s="18">
        <v>90</v>
      </c>
      <c r="H75" s="89">
        <v>3.45</v>
      </c>
      <c r="I75" s="14">
        <f t="shared" si="35"/>
        <v>0.52854000000000001</v>
      </c>
      <c r="J75" s="14">
        <f t="shared" si="36"/>
        <v>3.9785400000000002</v>
      </c>
      <c r="K75" s="14">
        <f t="shared" si="37"/>
        <v>1.193562E-3</v>
      </c>
      <c r="L75" s="14">
        <f t="shared" si="38"/>
        <v>3.9773464380000001</v>
      </c>
      <c r="M75" s="14">
        <f t="shared" si="39"/>
        <v>357.96117942000001</v>
      </c>
      <c r="N75" s="14">
        <f t="shared" si="11"/>
        <v>2.169356529029554</v>
      </c>
      <c r="O75" s="187"/>
    </row>
    <row r="76" spans="1:15" s="61" customFormat="1" ht="17.25" customHeight="1" x14ac:dyDescent="0.25">
      <c r="A76" s="59" t="s">
        <v>221</v>
      </c>
      <c r="B76" s="70" t="s">
        <v>89</v>
      </c>
      <c r="C76" s="70">
        <v>35692</v>
      </c>
      <c r="D76" s="70" t="s">
        <v>34</v>
      </c>
      <c r="E76" s="72" t="s">
        <v>215</v>
      </c>
      <c r="F76" s="70" t="s">
        <v>138</v>
      </c>
      <c r="G76" s="70">
        <f>3*18</f>
        <v>54</v>
      </c>
      <c r="H76" s="91">
        <v>20.12</v>
      </c>
      <c r="I76" s="35">
        <f>H76*0.1532</f>
        <v>3.0823840000000002</v>
      </c>
      <c r="J76" s="35">
        <f>H76+I76</f>
        <v>23.202384000000002</v>
      </c>
      <c r="K76" s="35">
        <f>J76*(0.03%)</f>
        <v>6.9607152000000002E-3</v>
      </c>
      <c r="L76" s="35">
        <f>J76-K76</f>
        <v>23.1954232848</v>
      </c>
      <c r="M76" s="35">
        <f>L76*G76</f>
        <v>1252.5528573792001</v>
      </c>
      <c r="N76" s="14">
        <f t="shared" si="11"/>
        <v>3.4991304347826087</v>
      </c>
      <c r="O76" s="187"/>
    </row>
    <row r="77" spans="1:15" s="61" customFormat="1" ht="17.25" customHeight="1" x14ac:dyDescent="0.25">
      <c r="A77" s="18" t="s">
        <v>222</v>
      </c>
      <c r="B77" s="70" t="s">
        <v>89</v>
      </c>
      <c r="C77" s="70">
        <v>35692</v>
      </c>
      <c r="D77" s="70" t="s">
        <v>34</v>
      </c>
      <c r="E77" s="72" t="s">
        <v>214</v>
      </c>
      <c r="F77" s="70" t="s">
        <v>138</v>
      </c>
      <c r="G77" s="70">
        <f>3*18</f>
        <v>54</v>
      </c>
      <c r="H77" s="91">
        <v>20.12</v>
      </c>
      <c r="I77" s="35">
        <f>H77*0.1532</f>
        <v>3.0823840000000002</v>
      </c>
      <c r="J77" s="35">
        <f>H77+I77</f>
        <v>23.202384000000002</v>
      </c>
      <c r="K77" s="35">
        <f>J77*(0.03%)</f>
        <v>6.9607152000000002E-3</v>
      </c>
      <c r="L77" s="35">
        <f>J77-K77</f>
        <v>23.1954232848</v>
      </c>
      <c r="M77" s="35">
        <f>L77*G77</f>
        <v>1252.5528573792001</v>
      </c>
      <c r="N77" s="14">
        <f t="shared" si="11"/>
        <v>1</v>
      </c>
      <c r="O77" s="187"/>
    </row>
    <row r="78" spans="1:15" s="61" customFormat="1" ht="17.25" customHeight="1" x14ac:dyDescent="0.25">
      <c r="A78" s="18" t="s">
        <v>223</v>
      </c>
      <c r="B78" s="70" t="s">
        <v>89</v>
      </c>
      <c r="C78" s="70">
        <v>35692</v>
      </c>
      <c r="D78" s="70" t="s">
        <v>34</v>
      </c>
      <c r="E78" s="72" t="s">
        <v>216</v>
      </c>
      <c r="F78" s="70" t="s">
        <v>138</v>
      </c>
      <c r="G78" s="70">
        <f>3*18</f>
        <v>54</v>
      </c>
      <c r="H78" s="91">
        <v>20.12</v>
      </c>
      <c r="I78" s="35">
        <f>H78*0.1532</f>
        <v>3.0823840000000002</v>
      </c>
      <c r="J78" s="35">
        <f>H78+I78</f>
        <v>23.202384000000002</v>
      </c>
      <c r="K78" s="35">
        <f>J78*(0.03%)</f>
        <v>6.9607152000000002E-3</v>
      </c>
      <c r="L78" s="35">
        <f>J78-K78</f>
        <v>23.1954232848</v>
      </c>
      <c r="M78" s="35">
        <f>L78*G78</f>
        <v>1252.5528573792001</v>
      </c>
      <c r="N78" s="14">
        <f t="shared" si="11"/>
        <v>1</v>
      </c>
      <c r="O78" s="187"/>
    </row>
    <row r="79" spans="1:15" s="19" customFormat="1" ht="17.100000000000001" customHeight="1" x14ac:dyDescent="0.2">
      <c r="A79" s="18" t="s">
        <v>224</v>
      </c>
      <c r="B79" s="70" t="s">
        <v>89</v>
      </c>
      <c r="C79" s="11">
        <v>4791</v>
      </c>
      <c r="D79" s="18" t="s">
        <v>34</v>
      </c>
      <c r="E79" s="60" t="s">
        <v>217</v>
      </c>
      <c r="F79" s="18" t="s">
        <v>92</v>
      </c>
      <c r="G79" s="18">
        <f>5*2.8</f>
        <v>14</v>
      </c>
      <c r="H79" s="89">
        <v>49.59</v>
      </c>
      <c r="I79" s="14">
        <f t="shared" ref="I79:I81" si="40">H79*0.1532</f>
        <v>7.5971880000000009</v>
      </c>
      <c r="J79" s="14">
        <f t="shared" ref="J79:J81" si="41">H79+I79</f>
        <v>57.187188000000006</v>
      </c>
      <c r="K79" s="14">
        <f t="shared" ref="K79:K81" si="42">J79*(0.03%)</f>
        <v>1.7156156400000001E-2</v>
      </c>
      <c r="L79" s="14">
        <f t="shared" ref="L79:L81" si="43">J79-K79</f>
        <v>57.170031843600007</v>
      </c>
      <c r="M79" s="14">
        <f t="shared" ref="M79" si="44">L79*G79</f>
        <v>800.38044581040015</v>
      </c>
      <c r="N79" s="14">
        <f t="shared" si="11"/>
        <v>0.63899933730947656</v>
      </c>
      <c r="O79" s="187"/>
    </row>
    <row r="80" spans="1:15" s="61" customFormat="1" ht="17.25" customHeight="1" x14ac:dyDescent="0.25">
      <c r="A80" s="18" t="s">
        <v>225</v>
      </c>
      <c r="B80" s="70" t="s">
        <v>89</v>
      </c>
      <c r="C80" s="70">
        <v>11414</v>
      </c>
      <c r="D80" s="70" t="s">
        <v>117</v>
      </c>
      <c r="E80" s="72" t="s">
        <v>218</v>
      </c>
      <c r="F80" s="18" t="s">
        <v>21</v>
      </c>
      <c r="G80" s="70">
        <v>60</v>
      </c>
      <c r="H80" s="91">
        <v>0.87</v>
      </c>
      <c r="I80" s="35">
        <f t="shared" si="40"/>
        <v>0.13328400000000001</v>
      </c>
      <c r="J80" s="35">
        <f t="shared" si="41"/>
        <v>1.0032840000000001</v>
      </c>
      <c r="K80" s="35">
        <f t="shared" si="42"/>
        <v>3.0098519999999999E-4</v>
      </c>
      <c r="L80" s="35">
        <f t="shared" si="43"/>
        <v>1.0029830148000001</v>
      </c>
      <c r="M80" s="14">
        <f t="shared" ref="M80:M81" si="45">L80*G80</f>
        <v>60.178980888000005</v>
      </c>
      <c r="N80" s="14">
        <f t="shared" si="11"/>
        <v>7.5187969924812026E-2</v>
      </c>
      <c r="O80" s="187"/>
    </row>
    <row r="81" spans="1:15" s="61" customFormat="1" ht="17.25" customHeight="1" x14ac:dyDescent="0.25">
      <c r="A81" s="18" t="s">
        <v>226</v>
      </c>
      <c r="B81" s="70" t="s">
        <v>89</v>
      </c>
      <c r="C81" s="70">
        <v>3777</v>
      </c>
      <c r="D81" s="70" t="s">
        <v>34</v>
      </c>
      <c r="E81" s="72" t="s">
        <v>219</v>
      </c>
      <c r="F81" s="70" t="s">
        <v>220</v>
      </c>
      <c r="G81" s="70">
        <v>400</v>
      </c>
      <c r="H81" s="91">
        <v>0.82</v>
      </c>
      <c r="I81" s="35">
        <f t="shared" si="40"/>
        <v>0.12562399999999999</v>
      </c>
      <c r="J81" s="35">
        <f t="shared" si="41"/>
        <v>0.94562399999999991</v>
      </c>
      <c r="K81" s="35">
        <f t="shared" si="42"/>
        <v>2.8368719999999993E-4</v>
      </c>
      <c r="L81" s="35">
        <f t="shared" si="43"/>
        <v>0.94534031279999986</v>
      </c>
      <c r="M81" s="14">
        <f t="shared" si="45"/>
        <v>378.13612511999992</v>
      </c>
      <c r="N81" s="14">
        <f t="shared" si="11"/>
        <v>6.2835249042145573</v>
      </c>
      <c r="O81" s="187"/>
    </row>
    <row r="82" spans="1:15" s="61" customFormat="1" ht="17.100000000000001" customHeight="1" x14ac:dyDescent="0.25">
      <c r="A82" s="18" t="s">
        <v>231</v>
      </c>
      <c r="B82" s="18" t="s">
        <v>89</v>
      </c>
      <c r="C82" s="11">
        <v>43651</v>
      </c>
      <c r="D82" s="18" t="s">
        <v>34</v>
      </c>
      <c r="E82" s="60" t="s">
        <v>227</v>
      </c>
      <c r="F82" s="18" t="s">
        <v>92</v>
      </c>
      <c r="G82" s="18">
        <f>23*3</f>
        <v>69</v>
      </c>
      <c r="H82" s="90">
        <v>6.62</v>
      </c>
      <c r="I82" s="14">
        <f>H82*0.1532</f>
        <v>1.014184</v>
      </c>
      <c r="J82" s="14">
        <f>H82+I82</f>
        <v>7.6341840000000003</v>
      </c>
      <c r="K82" s="14">
        <f>J82*(0.03%)</f>
        <v>2.2902551999999998E-3</v>
      </c>
      <c r="L82" s="14">
        <f>J82-K82</f>
        <v>7.6318937448000002</v>
      </c>
      <c r="M82" s="14">
        <f>L82*G82</f>
        <v>526.60066839119997</v>
      </c>
      <c r="N82" s="14">
        <f t="shared" si="11"/>
        <v>1.3926219512195124</v>
      </c>
      <c r="O82" s="187"/>
    </row>
    <row r="83" spans="1:15" s="61" customFormat="1" ht="17.100000000000001" customHeight="1" x14ac:dyDescent="0.25">
      <c r="A83" s="59" t="s">
        <v>232</v>
      </c>
      <c r="B83" s="18" t="s">
        <v>89</v>
      </c>
      <c r="C83" s="11">
        <v>140</v>
      </c>
      <c r="D83" s="18" t="s">
        <v>34</v>
      </c>
      <c r="E83" s="60" t="s">
        <v>228</v>
      </c>
      <c r="F83" s="18" t="s">
        <v>92</v>
      </c>
      <c r="G83" s="18">
        <f>18*5</f>
        <v>90</v>
      </c>
      <c r="H83" s="90">
        <v>19.11</v>
      </c>
      <c r="I83" s="14">
        <f t="shared" ref="I83" si="46">H83*0.1532</f>
        <v>2.9276520000000001</v>
      </c>
      <c r="J83" s="14">
        <f t="shared" ref="J83:J84" si="47">H83+I83</f>
        <v>22.037652000000001</v>
      </c>
      <c r="K83" s="14">
        <f t="shared" ref="K83:K84" si="48">J83*(0.03%)</f>
        <v>6.6112955999999999E-3</v>
      </c>
      <c r="L83" s="14">
        <f t="shared" ref="L83:L84" si="49">J83-K83</f>
        <v>22.031040704400002</v>
      </c>
      <c r="M83" s="14">
        <f t="shared" ref="M83:M84" si="50">L83*G83</f>
        <v>1982.7936633960003</v>
      </c>
      <c r="N83" s="14">
        <f t="shared" si="11"/>
        <v>3.7652699330093267</v>
      </c>
      <c r="O83" s="187"/>
    </row>
    <row r="84" spans="1:15" s="61" customFormat="1" ht="17.25" customHeight="1" x14ac:dyDescent="0.25">
      <c r="A84" s="18" t="s">
        <v>233</v>
      </c>
      <c r="B84" s="18" t="s">
        <v>89</v>
      </c>
      <c r="C84" s="44" t="s">
        <v>112</v>
      </c>
      <c r="D84" s="44" t="s">
        <v>81</v>
      </c>
      <c r="E84" s="45" t="s">
        <v>113</v>
      </c>
      <c r="F84" s="18" t="s">
        <v>21</v>
      </c>
      <c r="G84" s="44">
        <v>3</v>
      </c>
      <c r="H84" s="79">
        <v>427.99</v>
      </c>
      <c r="I84" s="43">
        <f>H84*0.2232</f>
        <v>95.52736800000001</v>
      </c>
      <c r="J84" s="43">
        <f t="shared" si="47"/>
        <v>523.51736800000003</v>
      </c>
      <c r="K84" s="43">
        <f t="shared" si="48"/>
        <v>0.15705521040000001</v>
      </c>
      <c r="L84" s="43">
        <f t="shared" si="49"/>
        <v>523.36031278960002</v>
      </c>
      <c r="M84" s="43">
        <f t="shared" si="50"/>
        <v>1570.0809383688002</v>
      </c>
      <c r="N84" s="14">
        <f t="shared" si="11"/>
        <v>0.79185291306593519</v>
      </c>
      <c r="O84" s="187"/>
    </row>
    <row r="85" spans="1:15" s="61" customFormat="1" ht="17.25" customHeight="1" x14ac:dyDescent="0.25">
      <c r="A85" s="18"/>
      <c r="B85" s="18"/>
      <c r="C85" s="18"/>
      <c r="D85" s="18"/>
      <c r="E85" s="63"/>
      <c r="F85" s="18"/>
      <c r="G85" s="18"/>
      <c r="H85" s="40"/>
      <c r="I85" s="14"/>
      <c r="J85" s="14"/>
      <c r="K85" s="14"/>
      <c r="L85" s="14"/>
      <c r="M85" s="14"/>
      <c r="N85" s="14"/>
      <c r="O85" s="187"/>
    </row>
    <row r="86" spans="1:15" s="19" customFormat="1" ht="17.25" customHeight="1" x14ac:dyDescent="0.2">
      <c r="A86" s="18"/>
      <c r="B86" s="18"/>
      <c r="C86" s="23"/>
      <c r="D86" s="18"/>
      <c r="E86" s="24"/>
      <c r="F86" s="18"/>
      <c r="G86" s="18"/>
      <c r="H86" s="26"/>
      <c r="I86" s="14"/>
      <c r="J86" s="14"/>
      <c r="K86" s="14"/>
      <c r="L86" s="14"/>
      <c r="M86" s="14"/>
      <c r="N86" s="14"/>
      <c r="O86" s="187"/>
    </row>
    <row r="87" spans="1:15" s="27" customFormat="1" ht="17.100000000000001" customHeight="1" x14ac:dyDescent="0.25">
      <c r="A87" s="133" t="s">
        <v>16</v>
      </c>
      <c r="B87" s="135" t="s">
        <v>17</v>
      </c>
      <c r="C87" s="135" t="s">
        <v>18</v>
      </c>
      <c r="D87" s="135" t="s">
        <v>19</v>
      </c>
      <c r="E87" s="135" t="s">
        <v>20</v>
      </c>
      <c r="F87" s="135" t="s">
        <v>21</v>
      </c>
      <c r="G87" s="135" t="s">
        <v>22</v>
      </c>
      <c r="H87" s="146" t="s">
        <v>23</v>
      </c>
      <c r="I87" s="146"/>
      <c r="J87" s="146"/>
      <c r="K87" s="146"/>
      <c r="L87" s="147"/>
      <c r="M87" s="135" t="s">
        <v>24</v>
      </c>
      <c r="N87" s="135" t="s">
        <v>25</v>
      </c>
      <c r="O87" s="102"/>
    </row>
    <row r="88" spans="1:15" s="27" customFormat="1" ht="17.100000000000001" customHeight="1" x14ac:dyDescent="0.25">
      <c r="A88" s="134"/>
      <c r="B88" s="136"/>
      <c r="C88" s="136"/>
      <c r="D88" s="136"/>
      <c r="E88" s="136"/>
      <c r="F88" s="136"/>
      <c r="G88" s="136"/>
      <c r="H88" s="4" t="s">
        <v>27</v>
      </c>
      <c r="I88" s="4" t="s">
        <v>28</v>
      </c>
      <c r="J88" s="4" t="s">
        <v>29</v>
      </c>
      <c r="K88" s="4" t="s">
        <v>53</v>
      </c>
      <c r="L88" s="4" t="s">
        <v>30</v>
      </c>
      <c r="M88" s="136"/>
      <c r="N88" s="136"/>
      <c r="O88" s="102"/>
    </row>
    <row r="89" spans="1:15" s="28" customFormat="1" ht="17.100000000000001" customHeight="1" x14ac:dyDescent="0.2">
      <c r="A89" s="29">
        <v>3</v>
      </c>
      <c r="B89" s="137" t="s">
        <v>38</v>
      </c>
      <c r="C89" s="138"/>
      <c r="D89" s="138"/>
      <c r="E89" s="138"/>
      <c r="F89" s="139"/>
      <c r="G89" s="30"/>
      <c r="H89" s="30"/>
      <c r="I89" s="30"/>
      <c r="J89" s="30"/>
      <c r="K89" s="30"/>
      <c r="L89" s="30"/>
      <c r="M89" s="31">
        <f>SUM(M90:M120)</f>
        <v>54328.54514917887</v>
      </c>
      <c r="N89" s="30"/>
      <c r="O89" s="102"/>
    </row>
    <row r="90" spans="1:15" s="28" customFormat="1" ht="26.25" customHeight="1" x14ac:dyDescent="0.2">
      <c r="A90" s="32" t="s">
        <v>76</v>
      </c>
      <c r="B90" s="32" t="s">
        <v>33</v>
      </c>
      <c r="C90" s="32" t="s">
        <v>58</v>
      </c>
      <c r="D90" s="32" t="s">
        <v>34</v>
      </c>
      <c r="E90" s="33" t="s">
        <v>59</v>
      </c>
      <c r="F90" s="34" t="s">
        <v>35</v>
      </c>
      <c r="G90" s="95">
        <v>180</v>
      </c>
      <c r="H90" s="78">
        <v>32.57</v>
      </c>
      <c r="I90" s="35">
        <f>H90*0.2232</f>
        <v>7.2696240000000003</v>
      </c>
      <c r="J90" s="35">
        <f>H90+I90</f>
        <v>39.839624000000001</v>
      </c>
      <c r="K90" s="35">
        <f>J90*(0.03%)</f>
        <v>1.1951887199999999E-2</v>
      </c>
      <c r="L90" s="35">
        <f>J90-K90</f>
        <v>39.827672112800002</v>
      </c>
      <c r="M90" s="35">
        <f>L90*G90</f>
        <v>7168.9809803040007</v>
      </c>
      <c r="N90" s="35">
        <f>M90/M$16</f>
        <v>7.9332677753250286E-2</v>
      </c>
      <c r="O90" s="187"/>
    </row>
    <row r="91" spans="1:15" s="28" customFormat="1" ht="23.25" customHeight="1" x14ac:dyDescent="0.2">
      <c r="A91" s="32" t="s">
        <v>78</v>
      </c>
      <c r="B91" s="32" t="s">
        <v>33</v>
      </c>
      <c r="C91" s="32" t="s">
        <v>60</v>
      </c>
      <c r="D91" s="32" t="s">
        <v>34</v>
      </c>
      <c r="E91" s="33" t="s">
        <v>61</v>
      </c>
      <c r="F91" s="34" t="s">
        <v>35</v>
      </c>
      <c r="G91" s="95">
        <v>180</v>
      </c>
      <c r="H91" s="78">
        <v>30.38</v>
      </c>
      <c r="I91" s="35">
        <f t="shared" ref="I91" si="51">H91*0.2232</f>
        <v>6.7808159999999997</v>
      </c>
      <c r="J91" s="35">
        <f t="shared" ref="J91" si="52">H91+I91</f>
        <v>37.160815999999997</v>
      </c>
      <c r="K91" s="35">
        <f t="shared" ref="K91" si="53">J91*(0.03%)</f>
        <v>1.1148244799999998E-2</v>
      </c>
      <c r="L91" s="35">
        <f t="shared" ref="L91" si="54">J91-K91</f>
        <v>37.149667755199999</v>
      </c>
      <c r="M91" s="35">
        <f t="shared" ref="M91" si="55">L91*G91</f>
        <v>6686.9401959360002</v>
      </c>
      <c r="N91" s="35">
        <f>M91/M$16</f>
        <v>7.3998365064284422E-2</v>
      </c>
      <c r="O91" s="187"/>
    </row>
    <row r="92" spans="1:15" s="28" customFormat="1" ht="23.25" customHeight="1" x14ac:dyDescent="0.2">
      <c r="A92" s="11" t="s">
        <v>77</v>
      </c>
      <c r="B92" s="11" t="s">
        <v>33</v>
      </c>
      <c r="C92" s="11">
        <v>88310</v>
      </c>
      <c r="D92" s="11" t="s">
        <v>34</v>
      </c>
      <c r="E92" s="20" t="s">
        <v>79</v>
      </c>
      <c r="F92" s="13" t="s">
        <v>35</v>
      </c>
      <c r="G92" s="94">
        <v>180</v>
      </c>
      <c r="H92" s="78">
        <v>35.880000000000003</v>
      </c>
      <c r="I92" s="14">
        <f>H92*0.2232</f>
        <v>8.0084160000000004</v>
      </c>
      <c r="J92" s="14">
        <f>H92+I92</f>
        <v>43.888416000000007</v>
      </c>
      <c r="K92" s="14">
        <f>J92*(0.03%)</f>
        <v>1.3166524800000001E-2</v>
      </c>
      <c r="L92" s="14">
        <f>J92-K92</f>
        <v>43.875249475200008</v>
      </c>
      <c r="M92" s="14">
        <f>L92*G92</f>
        <v>7897.5449055360014</v>
      </c>
      <c r="N92" s="14">
        <f>M92/M$16</f>
        <v>8.739504076716674E-2</v>
      </c>
      <c r="O92" s="187"/>
    </row>
    <row r="93" spans="1:15" s="28" customFormat="1" ht="23.25" customHeight="1" x14ac:dyDescent="0.2">
      <c r="A93" s="11" t="s">
        <v>83</v>
      </c>
      <c r="B93" s="17" t="s">
        <v>33</v>
      </c>
      <c r="C93" s="74">
        <v>93588</v>
      </c>
      <c r="D93" s="74" t="s">
        <v>34</v>
      </c>
      <c r="E93" s="75" t="s">
        <v>229</v>
      </c>
      <c r="F93" s="76" t="s">
        <v>230</v>
      </c>
      <c r="G93" s="74">
        <f>8*17</f>
        <v>136</v>
      </c>
      <c r="H93" s="79">
        <v>3.19</v>
      </c>
      <c r="I93" s="43">
        <f t="shared" ref="I93" si="56">H93*0.2232</f>
        <v>0.71200799999999997</v>
      </c>
      <c r="J93" s="43">
        <f t="shared" ref="J93" si="57">H93+I93</f>
        <v>3.9020079999999999</v>
      </c>
      <c r="K93" s="43">
        <f t="shared" ref="K93" si="58">J93*(0.03%)</f>
        <v>1.1706023999999999E-3</v>
      </c>
      <c r="L93" s="43">
        <f t="shared" ref="L93" si="59">J93-K93</f>
        <v>3.9008373975999997</v>
      </c>
      <c r="M93" s="43">
        <f t="shared" ref="M93" si="60">L93*G93</f>
        <v>530.51388607359991</v>
      </c>
      <c r="N93" s="43">
        <f t="shared" ref="N93" si="61">M93/M92</f>
        <v>6.7174532391923669E-2</v>
      </c>
      <c r="O93" s="187"/>
    </row>
    <row r="94" spans="1:15" s="28" customFormat="1" ht="23.25" customHeight="1" x14ac:dyDescent="0.2">
      <c r="A94" s="148" t="s">
        <v>236</v>
      </c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50"/>
      <c r="O94" s="187"/>
    </row>
    <row r="95" spans="1:15" s="28" customFormat="1" ht="23.25" customHeight="1" x14ac:dyDescent="0.2">
      <c r="A95" s="50" t="s">
        <v>84</v>
      </c>
      <c r="B95" s="32" t="s">
        <v>33</v>
      </c>
      <c r="C95" s="52">
        <v>100327</v>
      </c>
      <c r="D95" s="52" t="s">
        <v>34</v>
      </c>
      <c r="E95" s="54" t="s">
        <v>234</v>
      </c>
      <c r="F95" s="52" t="s">
        <v>170</v>
      </c>
      <c r="G95" s="52">
        <v>18</v>
      </c>
      <c r="H95" s="81">
        <v>62.9</v>
      </c>
      <c r="I95" s="51">
        <f t="shared" ref="I95:I101" si="62">H95*0.2232</f>
        <v>14.03928</v>
      </c>
      <c r="J95" s="51">
        <f t="shared" ref="J95:J101" si="63">H95+I95</f>
        <v>76.939279999999997</v>
      </c>
      <c r="K95" s="51">
        <f t="shared" ref="K95:K101" si="64">J95*(0.03%)</f>
        <v>2.3081783999999998E-2</v>
      </c>
      <c r="L95" s="51">
        <f t="shared" ref="L95:L101" si="65">J95-K95</f>
        <v>76.916198215999998</v>
      </c>
      <c r="M95" s="51">
        <f t="shared" ref="M95:M101" si="66">L95*G95</f>
        <v>1384.491567888</v>
      </c>
      <c r="N95" s="35">
        <f t="shared" ref="N95:N101" si="67">M95/M$16</f>
        <v>1.532092548565994E-2</v>
      </c>
      <c r="O95" s="187"/>
    </row>
    <row r="96" spans="1:15" s="28" customFormat="1" ht="23.25" customHeight="1" x14ac:dyDescent="0.2">
      <c r="A96" s="50" t="s">
        <v>85</v>
      </c>
      <c r="B96" s="32" t="s">
        <v>33</v>
      </c>
      <c r="C96" s="52">
        <v>88323</v>
      </c>
      <c r="D96" s="52" t="s">
        <v>34</v>
      </c>
      <c r="E96" s="53" t="s">
        <v>248</v>
      </c>
      <c r="F96" s="52" t="s">
        <v>247</v>
      </c>
      <c r="G96" s="52">
        <v>4</v>
      </c>
      <c r="H96" s="81">
        <v>32.17</v>
      </c>
      <c r="I96" s="51">
        <f t="shared" ref="I96" si="68">H96*0.2232</f>
        <v>7.1803440000000007</v>
      </c>
      <c r="J96" s="51">
        <f t="shared" ref="J96" si="69">H96+I96</f>
        <v>39.350344</v>
      </c>
      <c r="K96" s="51">
        <f t="shared" ref="K96" si="70">J96*(0.03%)</f>
        <v>1.1805103199999998E-2</v>
      </c>
      <c r="L96" s="51">
        <f t="shared" ref="L96" si="71">J96-K96</f>
        <v>39.338538896800003</v>
      </c>
      <c r="M96" s="51">
        <f t="shared" ref="M96" si="72">L96*G96</f>
        <v>157.35415558720001</v>
      </c>
      <c r="N96" s="35">
        <f t="shared" ref="N96" si="73">M96/M$16</f>
        <v>1.7412972014615097E-3</v>
      </c>
      <c r="O96" s="187"/>
    </row>
    <row r="97" spans="1:15" s="28" customFormat="1" ht="23.25" customHeight="1" x14ac:dyDescent="0.2">
      <c r="A97" s="148" t="s">
        <v>244</v>
      </c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50"/>
      <c r="O97" s="187"/>
    </row>
    <row r="98" spans="1:15" s="28" customFormat="1" ht="23.25" customHeight="1" x14ac:dyDescent="0.2">
      <c r="A98" s="50" t="s">
        <v>86</v>
      </c>
      <c r="B98" s="32" t="s">
        <v>33</v>
      </c>
      <c r="C98" s="55">
        <v>94228</v>
      </c>
      <c r="D98" s="52" t="s">
        <v>34</v>
      </c>
      <c r="E98" s="57" t="s">
        <v>245</v>
      </c>
      <c r="F98" s="55" t="s">
        <v>170</v>
      </c>
      <c r="G98" s="55">
        <v>58</v>
      </c>
      <c r="H98" s="82">
        <v>93.42</v>
      </c>
      <c r="I98" s="51">
        <f t="shared" ref="I98:I100" si="74">H98*0.2232</f>
        <v>20.851344000000001</v>
      </c>
      <c r="J98" s="51">
        <f t="shared" ref="J98:J100" si="75">H98+I98</f>
        <v>114.271344</v>
      </c>
      <c r="K98" s="51">
        <f t="shared" ref="K98:K100" si="76">J98*(0.03%)</f>
        <v>3.4281403199999998E-2</v>
      </c>
      <c r="L98" s="51">
        <f t="shared" ref="L98:L100" si="77">J98-K98</f>
        <v>114.2370625968</v>
      </c>
      <c r="M98" s="51">
        <f t="shared" ref="M98:M100" si="78">L98*G98</f>
        <v>6625.7496306144003</v>
      </c>
      <c r="N98" s="35">
        <f t="shared" ref="N98:N100" si="79">M98/M$16</f>
        <v>7.3321224001484192E-2</v>
      </c>
      <c r="O98" s="187"/>
    </row>
    <row r="99" spans="1:15" s="28" customFormat="1" ht="23.25" customHeight="1" x14ac:dyDescent="0.2">
      <c r="A99" s="50" t="s">
        <v>87</v>
      </c>
      <c r="B99" s="32" t="s">
        <v>33</v>
      </c>
      <c r="C99" s="52">
        <v>104803</v>
      </c>
      <c r="D99" s="52" t="s">
        <v>34</v>
      </c>
      <c r="E99" s="53" t="s">
        <v>235</v>
      </c>
      <c r="F99" s="52" t="s">
        <v>170</v>
      </c>
      <c r="G99" s="52">
        <v>58</v>
      </c>
      <c r="H99" s="83">
        <v>5.78</v>
      </c>
      <c r="I99" s="51">
        <f t="shared" si="74"/>
        <v>1.2900960000000001</v>
      </c>
      <c r="J99" s="51">
        <f t="shared" si="75"/>
        <v>7.0700960000000004</v>
      </c>
      <c r="K99" s="51">
        <f t="shared" si="76"/>
        <v>2.1210287999999999E-3</v>
      </c>
      <c r="L99" s="51">
        <f t="shared" si="77"/>
        <v>7.0679749712</v>
      </c>
      <c r="M99" s="51">
        <f t="shared" si="78"/>
        <v>409.94254832960002</v>
      </c>
      <c r="N99" s="35">
        <f t="shared" si="79"/>
        <v>4.5364662248830942E-3</v>
      </c>
      <c r="O99" s="187"/>
    </row>
    <row r="100" spans="1:15" s="28" customFormat="1" ht="23.25" customHeight="1" x14ac:dyDescent="0.2">
      <c r="A100" s="50" t="s">
        <v>88</v>
      </c>
      <c r="B100" s="32" t="s">
        <v>33</v>
      </c>
      <c r="C100" s="55">
        <v>89578</v>
      </c>
      <c r="D100" s="55" t="s">
        <v>34</v>
      </c>
      <c r="E100" s="57" t="s">
        <v>246</v>
      </c>
      <c r="F100" s="55" t="s">
        <v>170</v>
      </c>
      <c r="G100" s="55">
        <v>30</v>
      </c>
      <c r="H100" s="82">
        <v>31.34</v>
      </c>
      <c r="I100" s="51">
        <f t="shared" si="74"/>
        <v>6.995088</v>
      </c>
      <c r="J100" s="51">
        <f t="shared" si="75"/>
        <v>38.335087999999999</v>
      </c>
      <c r="K100" s="51">
        <f t="shared" si="76"/>
        <v>1.1500526399999999E-2</v>
      </c>
      <c r="L100" s="51">
        <f t="shared" si="77"/>
        <v>38.3235874736</v>
      </c>
      <c r="M100" s="51">
        <f t="shared" si="78"/>
        <v>1149.707624208</v>
      </c>
      <c r="N100" s="35">
        <f t="shared" si="79"/>
        <v>1.2722782319040343E-2</v>
      </c>
      <c r="O100" s="187"/>
    </row>
    <row r="101" spans="1:15" s="28" customFormat="1" ht="23.25" customHeight="1" x14ac:dyDescent="0.2">
      <c r="A101" s="50" t="s">
        <v>110</v>
      </c>
      <c r="B101" s="32" t="s">
        <v>33</v>
      </c>
      <c r="C101" s="52">
        <v>102161</v>
      </c>
      <c r="D101" s="52" t="s">
        <v>34</v>
      </c>
      <c r="E101" s="53" t="s">
        <v>248</v>
      </c>
      <c r="F101" s="52" t="s">
        <v>247</v>
      </c>
      <c r="G101" s="52">
        <v>8</v>
      </c>
      <c r="H101" s="81">
        <v>32.17</v>
      </c>
      <c r="I101" s="51">
        <f t="shared" si="62"/>
        <v>7.1803440000000007</v>
      </c>
      <c r="J101" s="51">
        <f t="shared" si="63"/>
        <v>39.350344</v>
      </c>
      <c r="K101" s="51">
        <f t="shared" si="64"/>
        <v>1.1805103199999998E-2</v>
      </c>
      <c r="L101" s="51">
        <f t="shared" si="65"/>
        <v>39.338538896800003</v>
      </c>
      <c r="M101" s="51">
        <f t="shared" si="66"/>
        <v>314.70831117440002</v>
      </c>
      <c r="N101" s="35">
        <f t="shared" si="67"/>
        <v>3.4825944029230195E-3</v>
      </c>
      <c r="O101" s="187"/>
    </row>
    <row r="102" spans="1:15" s="28" customFormat="1" ht="23.25" customHeight="1" x14ac:dyDescent="0.2">
      <c r="A102" s="148" t="s">
        <v>238</v>
      </c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50"/>
      <c r="O102" s="187"/>
    </row>
    <row r="103" spans="1:15" s="28" customFormat="1" ht="23.25" customHeight="1" x14ac:dyDescent="0.2">
      <c r="A103" s="11" t="s">
        <v>111</v>
      </c>
      <c r="B103" s="11" t="s">
        <v>33</v>
      </c>
      <c r="C103" s="41" t="s">
        <v>139</v>
      </c>
      <c r="D103" s="41" t="s">
        <v>34</v>
      </c>
      <c r="E103" s="42" t="s">
        <v>140</v>
      </c>
      <c r="F103" s="41" t="s">
        <v>80</v>
      </c>
      <c r="G103" s="41">
        <v>79.3</v>
      </c>
      <c r="H103" s="81">
        <v>14.4</v>
      </c>
      <c r="I103" s="46">
        <f t="shared" ref="I103:I106" si="80">H103*0.2232</f>
        <v>3.21408</v>
      </c>
      <c r="J103" s="46">
        <f t="shared" ref="J103:J106" si="81">H103+I103</f>
        <v>17.614080000000001</v>
      </c>
      <c r="K103" s="47">
        <f t="shared" ref="K103:K106" si="82">J103*(0.03%)</f>
        <v>5.2842239999999997E-3</v>
      </c>
      <c r="L103" s="46">
        <f t="shared" ref="L103:L106" si="83">J103-K103</f>
        <v>17.608795776000001</v>
      </c>
      <c r="M103" s="46">
        <f t="shared" ref="M103:M106" si="84">L103*G103</f>
        <v>1396.3775050368001</v>
      </c>
      <c r="N103" s="35">
        <f t="shared" ref="N103" si="85">M103/M$16</f>
        <v>1.5452456483470061E-2</v>
      </c>
      <c r="O103" s="187"/>
    </row>
    <row r="104" spans="1:15" s="28" customFormat="1" ht="23.25" customHeight="1" x14ac:dyDescent="0.2">
      <c r="A104" s="51" t="s">
        <v>114</v>
      </c>
      <c r="B104" s="32" t="s">
        <v>33</v>
      </c>
      <c r="C104" s="52">
        <v>88488</v>
      </c>
      <c r="D104" s="52" t="s">
        <v>34</v>
      </c>
      <c r="E104" s="54" t="s">
        <v>237</v>
      </c>
      <c r="F104" s="52" t="s">
        <v>80</v>
      </c>
      <c r="G104" s="52">
        <v>28.05</v>
      </c>
      <c r="H104" s="80">
        <v>17.29</v>
      </c>
      <c r="I104" s="51">
        <f t="shared" si="80"/>
        <v>3.8591280000000001</v>
      </c>
      <c r="J104" s="51">
        <f t="shared" si="81"/>
        <v>21.149127999999997</v>
      </c>
      <c r="K104" s="51">
        <f t="shared" si="82"/>
        <v>6.3447383999999983E-3</v>
      </c>
      <c r="L104" s="51">
        <f t="shared" si="83"/>
        <v>21.142783261599998</v>
      </c>
      <c r="M104" s="51">
        <f t="shared" si="84"/>
        <v>593.05507048788002</v>
      </c>
      <c r="N104" s="35">
        <f t="shared" ref="N104:N105" si="86">M104/M$16</f>
        <v>6.5628081489136582E-3</v>
      </c>
      <c r="O104" s="187"/>
    </row>
    <row r="105" spans="1:15" s="28" customFormat="1" ht="23.25" customHeight="1" x14ac:dyDescent="0.2">
      <c r="A105" s="11" t="s">
        <v>115</v>
      </c>
      <c r="B105" s="11" t="s">
        <v>33</v>
      </c>
      <c r="C105" s="41">
        <v>88485</v>
      </c>
      <c r="D105" s="41" t="s">
        <v>34</v>
      </c>
      <c r="E105" s="42" t="s">
        <v>141</v>
      </c>
      <c r="F105" s="41" t="s">
        <v>80</v>
      </c>
      <c r="G105" s="41">
        <v>18</v>
      </c>
      <c r="H105" s="81">
        <v>4.91</v>
      </c>
      <c r="I105" s="46">
        <f t="shared" si="80"/>
        <v>1.095912</v>
      </c>
      <c r="J105" s="46">
        <f t="shared" si="81"/>
        <v>6.0059120000000004</v>
      </c>
      <c r="K105" s="47">
        <f t="shared" si="82"/>
        <v>1.8017736E-3</v>
      </c>
      <c r="L105" s="46">
        <f t="shared" si="83"/>
        <v>6.0041102264000008</v>
      </c>
      <c r="M105" s="46">
        <f t="shared" si="84"/>
        <v>108.07398407520002</v>
      </c>
      <c r="N105" s="35">
        <f t="shared" si="86"/>
        <v>1.1959577763845839E-3</v>
      </c>
      <c r="O105" s="187"/>
    </row>
    <row r="106" spans="1:15" s="28" customFormat="1" ht="23.25" customHeight="1" x14ac:dyDescent="0.2">
      <c r="A106" s="11" t="s">
        <v>240</v>
      </c>
      <c r="B106" s="11" t="s">
        <v>33</v>
      </c>
      <c r="C106" s="41">
        <v>100746</v>
      </c>
      <c r="D106" s="41" t="s">
        <v>34</v>
      </c>
      <c r="E106" s="42" t="s">
        <v>82</v>
      </c>
      <c r="F106" s="41" t="s">
        <v>80</v>
      </c>
      <c r="G106" s="41">
        <f>4*2.1*0.8*2</f>
        <v>13.440000000000001</v>
      </c>
      <c r="H106" s="81">
        <v>29.83</v>
      </c>
      <c r="I106" s="46">
        <f t="shared" si="80"/>
        <v>6.6580560000000002</v>
      </c>
      <c r="J106" s="46">
        <f t="shared" si="81"/>
        <v>36.488056</v>
      </c>
      <c r="K106" s="47">
        <f t="shared" si="82"/>
        <v>1.0946416799999999E-2</v>
      </c>
      <c r="L106" s="46">
        <f t="shared" si="83"/>
        <v>36.477109583199997</v>
      </c>
      <c r="M106" s="46">
        <f t="shared" si="84"/>
        <v>490.25235279820799</v>
      </c>
      <c r="N106" s="46">
        <f>M106/M98</f>
        <v>7.3991982813987986E-2</v>
      </c>
      <c r="O106" s="187"/>
    </row>
    <row r="107" spans="1:15" s="28" customFormat="1" ht="23.25" customHeight="1" x14ac:dyDescent="0.2">
      <c r="A107" s="148" t="s">
        <v>239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50"/>
      <c r="O107" s="187"/>
    </row>
    <row r="108" spans="1:15" s="28" customFormat="1" ht="23.25" customHeight="1" x14ac:dyDescent="0.2">
      <c r="A108" s="11" t="s">
        <v>249</v>
      </c>
      <c r="B108" s="11" t="s">
        <v>33</v>
      </c>
      <c r="C108" s="41" t="s">
        <v>139</v>
      </c>
      <c r="D108" s="41" t="s">
        <v>34</v>
      </c>
      <c r="E108" s="42" t="s">
        <v>140</v>
      </c>
      <c r="F108" s="41" t="s">
        <v>80</v>
      </c>
      <c r="G108" s="41">
        <v>143.5</v>
      </c>
      <c r="H108" s="81">
        <v>14.4</v>
      </c>
      <c r="I108" s="46">
        <f t="shared" ref="I108:I111" si="87">H108*0.2232</f>
        <v>3.21408</v>
      </c>
      <c r="J108" s="46">
        <f t="shared" ref="J108:J111" si="88">H108+I108</f>
        <v>17.614080000000001</v>
      </c>
      <c r="K108" s="47">
        <f t="shared" ref="K108:K111" si="89">J108*(0.03%)</f>
        <v>5.2842239999999997E-3</v>
      </c>
      <c r="L108" s="46">
        <f t="shared" ref="L108:L111" si="90">J108-K108</f>
        <v>17.608795776000001</v>
      </c>
      <c r="M108" s="46">
        <f t="shared" ref="M108:M111" si="91">L108*G108</f>
        <v>2526.862193856</v>
      </c>
      <c r="N108" s="35">
        <f t="shared" ref="N108" si="92">M108/M$16</f>
        <v>2.7962515830743422E-2</v>
      </c>
      <c r="O108" s="187"/>
    </row>
    <row r="109" spans="1:15" s="28" customFormat="1" ht="23.25" customHeight="1" x14ac:dyDescent="0.2">
      <c r="A109" s="51" t="s">
        <v>250</v>
      </c>
      <c r="B109" s="32" t="s">
        <v>33</v>
      </c>
      <c r="C109" s="52">
        <v>88488</v>
      </c>
      <c r="D109" s="52" t="s">
        <v>34</v>
      </c>
      <c r="E109" s="54" t="s">
        <v>237</v>
      </c>
      <c r="F109" s="52" t="s">
        <v>80</v>
      </c>
      <c r="G109" s="52">
        <v>31.24</v>
      </c>
      <c r="H109" s="80">
        <v>17.29</v>
      </c>
      <c r="I109" s="51">
        <f t="shared" si="87"/>
        <v>3.8591280000000001</v>
      </c>
      <c r="J109" s="51">
        <f t="shared" si="88"/>
        <v>21.149127999999997</v>
      </c>
      <c r="K109" s="51">
        <f t="shared" si="89"/>
        <v>6.3447383999999983E-3</v>
      </c>
      <c r="L109" s="51">
        <f t="shared" si="90"/>
        <v>21.142783261599998</v>
      </c>
      <c r="M109" s="51">
        <f t="shared" si="91"/>
        <v>660.50054909238395</v>
      </c>
      <c r="N109" s="35">
        <f t="shared" ref="N109:N111" si="93">M109/M$16</f>
        <v>7.3091667227116819E-3</v>
      </c>
      <c r="O109" s="187"/>
    </row>
    <row r="110" spans="1:15" s="28" customFormat="1" ht="23.25" customHeight="1" x14ac:dyDescent="0.2">
      <c r="A110" s="51" t="s">
        <v>251</v>
      </c>
      <c r="B110" s="32" t="s">
        <v>33</v>
      </c>
      <c r="C110" s="52">
        <v>98554</v>
      </c>
      <c r="D110" s="52" t="s">
        <v>34</v>
      </c>
      <c r="E110" s="54" t="s">
        <v>241</v>
      </c>
      <c r="F110" s="52" t="s">
        <v>80</v>
      </c>
      <c r="G110" s="52">
        <v>31.24</v>
      </c>
      <c r="H110" s="84">
        <v>50.44</v>
      </c>
      <c r="I110" s="51">
        <f t="shared" si="87"/>
        <v>11.258208</v>
      </c>
      <c r="J110" s="51">
        <f t="shared" si="88"/>
        <v>61.698207999999994</v>
      </c>
      <c r="K110" s="51">
        <f t="shared" si="89"/>
        <v>1.8509462399999996E-2</v>
      </c>
      <c r="L110" s="51">
        <f t="shared" si="90"/>
        <v>61.679698537599997</v>
      </c>
      <c r="M110" s="51">
        <f t="shared" si="91"/>
        <v>1926.8737823146239</v>
      </c>
      <c r="N110" s="35">
        <f t="shared" si="93"/>
        <v>2.1322982619640093E-2</v>
      </c>
      <c r="O110" s="187"/>
    </row>
    <row r="111" spans="1:15" s="28" customFormat="1" ht="23.25" customHeight="1" x14ac:dyDescent="0.2">
      <c r="A111" s="51" t="s">
        <v>252</v>
      </c>
      <c r="B111" s="32" t="s">
        <v>33</v>
      </c>
      <c r="C111" s="52">
        <v>99814</v>
      </c>
      <c r="D111" s="52" t="s">
        <v>34</v>
      </c>
      <c r="E111" s="54" t="s">
        <v>255</v>
      </c>
      <c r="F111" s="52" t="s">
        <v>80</v>
      </c>
      <c r="G111" s="52">
        <f>31.24+42.6</f>
        <v>73.84</v>
      </c>
      <c r="H111" s="87">
        <v>2.52</v>
      </c>
      <c r="I111" s="51">
        <f t="shared" si="87"/>
        <v>0.56246400000000008</v>
      </c>
      <c r="J111" s="51">
        <f t="shared" si="88"/>
        <v>3.0824639999999999</v>
      </c>
      <c r="K111" s="51">
        <f t="shared" si="89"/>
        <v>9.247391999999999E-4</v>
      </c>
      <c r="L111" s="51">
        <f t="shared" si="90"/>
        <v>3.0815392608000001</v>
      </c>
      <c r="M111" s="51">
        <f t="shared" si="91"/>
        <v>227.540859017472</v>
      </c>
      <c r="N111" s="35">
        <f t="shared" si="93"/>
        <v>2.5179904499293831E-3</v>
      </c>
      <c r="O111" s="187"/>
    </row>
    <row r="112" spans="1:15" s="28" customFormat="1" ht="23.25" customHeight="1" x14ac:dyDescent="0.2">
      <c r="A112" s="148" t="s">
        <v>242</v>
      </c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50"/>
      <c r="O112" s="187"/>
    </row>
    <row r="113" spans="1:15" s="28" customFormat="1" ht="23.25" customHeight="1" x14ac:dyDescent="0.2">
      <c r="A113" s="11" t="s">
        <v>253</v>
      </c>
      <c r="B113" s="11" t="s">
        <v>33</v>
      </c>
      <c r="C113" s="41" t="s">
        <v>139</v>
      </c>
      <c r="D113" s="41" t="s">
        <v>34</v>
      </c>
      <c r="E113" s="42" t="s">
        <v>140</v>
      </c>
      <c r="F113" s="41" t="s">
        <v>80</v>
      </c>
      <c r="G113" s="41">
        <v>329.14</v>
      </c>
      <c r="H113" s="81">
        <v>14.4</v>
      </c>
      <c r="I113" s="46">
        <f t="shared" ref="I113:I116" si="94">H113*0.2232</f>
        <v>3.21408</v>
      </c>
      <c r="J113" s="46">
        <f t="shared" ref="J113:J116" si="95">H113+I113</f>
        <v>17.614080000000001</v>
      </c>
      <c r="K113" s="47">
        <f t="shared" ref="K113:K116" si="96">J113*(0.03%)</f>
        <v>5.2842239999999997E-3</v>
      </c>
      <c r="L113" s="46">
        <f t="shared" ref="L113:L116" si="97">J113-K113</f>
        <v>17.608795776000001</v>
      </c>
      <c r="M113" s="46">
        <f t="shared" ref="M113:M116" si="98">L113*G113</f>
        <v>5795.7590417126403</v>
      </c>
      <c r="N113" s="35">
        <f t="shared" ref="N113:N115" si="99">M113/M$16</f>
        <v>6.4136463139588082E-2</v>
      </c>
      <c r="O113" s="187"/>
    </row>
    <row r="114" spans="1:15" s="28" customFormat="1" ht="23.25" customHeight="1" x14ac:dyDescent="0.2">
      <c r="A114" s="51" t="s">
        <v>256</v>
      </c>
      <c r="B114" s="32" t="s">
        <v>33</v>
      </c>
      <c r="C114" s="52">
        <v>88488</v>
      </c>
      <c r="D114" s="52" t="s">
        <v>34</v>
      </c>
      <c r="E114" s="54" t="s">
        <v>237</v>
      </c>
      <c r="F114" s="52" t="s">
        <v>80</v>
      </c>
      <c r="G114" s="52">
        <v>146.86000000000001</v>
      </c>
      <c r="H114" s="80">
        <v>17.29</v>
      </c>
      <c r="I114" s="51">
        <f t="shared" si="94"/>
        <v>3.8591280000000001</v>
      </c>
      <c r="J114" s="51">
        <f t="shared" si="95"/>
        <v>21.149127999999997</v>
      </c>
      <c r="K114" s="51">
        <f t="shared" si="96"/>
        <v>6.3447383999999983E-3</v>
      </c>
      <c r="L114" s="51">
        <f t="shared" si="97"/>
        <v>21.142783261599998</v>
      </c>
      <c r="M114" s="51">
        <f t="shared" si="98"/>
        <v>3105.0291497985759</v>
      </c>
      <c r="N114" s="35">
        <f t="shared" si="99"/>
        <v>3.4360570579303383E-2</v>
      </c>
      <c r="O114" s="187"/>
    </row>
    <row r="115" spans="1:15" s="28" customFormat="1" ht="23.25" customHeight="1" x14ac:dyDescent="0.2">
      <c r="A115" s="51" t="s">
        <v>257</v>
      </c>
      <c r="B115" s="32" t="s">
        <v>33</v>
      </c>
      <c r="C115" s="52">
        <v>95305</v>
      </c>
      <c r="D115" s="52" t="s">
        <v>34</v>
      </c>
      <c r="E115" s="54" t="s">
        <v>243</v>
      </c>
      <c r="F115" s="52" t="s">
        <v>80</v>
      </c>
      <c r="G115" s="52">
        <v>31.24</v>
      </c>
      <c r="H115" s="84">
        <v>15.07</v>
      </c>
      <c r="I115" s="51">
        <f t="shared" si="94"/>
        <v>3.3636240000000002</v>
      </c>
      <c r="J115" s="51">
        <f t="shared" si="95"/>
        <v>18.433624000000002</v>
      </c>
      <c r="K115" s="51">
        <f t="shared" si="96"/>
        <v>5.5300872000000004E-3</v>
      </c>
      <c r="L115" s="51">
        <f t="shared" si="97"/>
        <v>18.428093912800001</v>
      </c>
      <c r="M115" s="51">
        <f t="shared" si="98"/>
        <v>575.69365383587206</v>
      </c>
      <c r="N115" s="35">
        <f t="shared" si="99"/>
        <v>6.3706849341391009E-3</v>
      </c>
      <c r="O115" s="187"/>
    </row>
    <row r="116" spans="1:15" s="28" customFormat="1" ht="23.25" customHeight="1" x14ac:dyDescent="0.2">
      <c r="A116" s="11" t="s">
        <v>258</v>
      </c>
      <c r="B116" s="11" t="s">
        <v>33</v>
      </c>
      <c r="C116" s="41">
        <v>100746</v>
      </c>
      <c r="D116" s="41" t="s">
        <v>34</v>
      </c>
      <c r="E116" s="42" t="s">
        <v>82</v>
      </c>
      <c r="F116" s="41" t="s">
        <v>80</v>
      </c>
      <c r="G116" s="41">
        <f>4*2.1*1.6*2</f>
        <v>26.880000000000003</v>
      </c>
      <c r="H116" s="81">
        <v>29.83</v>
      </c>
      <c r="I116" s="46">
        <f t="shared" si="94"/>
        <v>6.6580560000000002</v>
      </c>
      <c r="J116" s="46">
        <f t="shared" si="95"/>
        <v>36.488056</v>
      </c>
      <c r="K116" s="47">
        <f t="shared" si="96"/>
        <v>1.0946416799999999E-2</v>
      </c>
      <c r="L116" s="46">
        <f t="shared" si="97"/>
        <v>36.477109583199997</v>
      </c>
      <c r="M116" s="46">
        <f t="shared" si="98"/>
        <v>980.50470559641599</v>
      </c>
      <c r="N116" s="46">
        <f>M116/M108</f>
        <v>0.38803252032520325</v>
      </c>
      <c r="O116" s="187"/>
    </row>
    <row r="117" spans="1:15" s="28" customFormat="1" ht="23.25" customHeight="1" x14ac:dyDescent="0.2">
      <c r="A117" s="148" t="s">
        <v>254</v>
      </c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50"/>
      <c r="O117" s="187"/>
    </row>
    <row r="118" spans="1:15" s="28" customFormat="1" ht="23.25" customHeight="1" x14ac:dyDescent="0.2">
      <c r="A118" s="50" t="s">
        <v>259</v>
      </c>
      <c r="B118" s="32" t="s">
        <v>33</v>
      </c>
      <c r="C118" s="55" t="s">
        <v>118</v>
      </c>
      <c r="D118" s="55" t="s">
        <v>261</v>
      </c>
      <c r="E118" s="56" t="s">
        <v>119</v>
      </c>
      <c r="F118" s="55" t="s">
        <v>80</v>
      </c>
      <c r="G118" s="55">
        <f>3*5.5</f>
        <v>16.5</v>
      </c>
      <c r="H118" s="85">
        <v>160.18</v>
      </c>
      <c r="I118" s="51">
        <f t="shared" ref="I118:I119" si="100">H118*0.2232</f>
        <v>35.752176000000006</v>
      </c>
      <c r="J118" s="51">
        <f t="shared" ref="J118:J119" si="101">H118+I118</f>
        <v>195.93217600000003</v>
      </c>
      <c r="K118" s="51">
        <f t="shared" ref="K118:K119" si="102">J118*(0.03%)</f>
        <v>5.8779652800000005E-2</v>
      </c>
      <c r="L118" s="51">
        <f t="shared" ref="L118:L119" si="103">J118-K118</f>
        <v>195.87339634720001</v>
      </c>
      <c r="M118" s="51">
        <f t="shared" ref="M118:M119" si="104">L118*G118</f>
        <v>3231.9110397288005</v>
      </c>
      <c r="N118" s="35">
        <f t="shared" ref="N118:N119" si="105">M118/M$16</f>
        <v>3.5764658568128126E-2</v>
      </c>
      <c r="O118" s="187"/>
    </row>
    <row r="119" spans="1:15" s="28" customFormat="1" ht="23.25" customHeight="1" x14ac:dyDescent="0.2">
      <c r="A119" s="50" t="s">
        <v>260</v>
      </c>
      <c r="B119" s="32" t="s">
        <v>33</v>
      </c>
      <c r="C119" s="55">
        <v>4066</v>
      </c>
      <c r="D119" s="55" t="s">
        <v>117</v>
      </c>
      <c r="E119" s="57" t="s">
        <v>120</v>
      </c>
      <c r="F119" s="55" t="s">
        <v>121</v>
      </c>
      <c r="G119" s="55">
        <v>1</v>
      </c>
      <c r="H119" s="86">
        <v>314.17</v>
      </c>
      <c r="I119" s="51">
        <f t="shared" si="100"/>
        <v>70.122744000000012</v>
      </c>
      <c r="J119" s="51">
        <f t="shared" si="101"/>
        <v>384.29274400000003</v>
      </c>
      <c r="K119" s="51">
        <f t="shared" si="102"/>
        <v>0.1152878232</v>
      </c>
      <c r="L119" s="51">
        <f t="shared" si="103"/>
        <v>384.17745617680004</v>
      </c>
      <c r="M119" s="51">
        <f t="shared" si="104"/>
        <v>384.17745617680004</v>
      </c>
      <c r="N119" s="35">
        <f t="shared" si="105"/>
        <v>4.2513470763379125E-3</v>
      </c>
      <c r="O119" s="187"/>
    </row>
    <row r="120" spans="1:15" s="28" customFormat="1" ht="23.25" customHeight="1" x14ac:dyDescent="0.2">
      <c r="A120" s="51"/>
      <c r="B120" s="32"/>
      <c r="C120" s="52"/>
      <c r="D120" s="52"/>
      <c r="E120" s="54"/>
      <c r="F120" s="52"/>
      <c r="G120" s="52"/>
      <c r="H120" s="77"/>
      <c r="I120" s="51"/>
      <c r="J120" s="51"/>
      <c r="K120" s="51"/>
      <c r="L120" s="51"/>
      <c r="M120" s="51"/>
      <c r="N120" s="35"/>
      <c r="O120" s="187"/>
    </row>
    <row r="121" spans="1:15" s="39" customFormat="1" ht="17.100000000000001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187"/>
    </row>
    <row r="122" spans="1:15" s="39" customFormat="1" ht="17.100000000000001" customHeight="1" x14ac:dyDescent="0.2">
      <c r="A122" s="140"/>
      <c r="B122" s="141"/>
      <c r="C122" s="141"/>
      <c r="D122" s="141"/>
      <c r="E122" s="141"/>
      <c r="F122" s="141"/>
      <c r="G122" s="141"/>
      <c r="H122" s="37" t="s">
        <v>39</v>
      </c>
      <c r="I122" s="38"/>
      <c r="J122" s="142">
        <f>M16+M31+M89</f>
        <v>173946.70155579213</v>
      </c>
      <c r="K122" s="143"/>
      <c r="L122" s="143"/>
      <c r="M122" s="143"/>
      <c r="N122" s="144"/>
      <c r="O122" s="102"/>
    </row>
    <row r="123" spans="1:15" ht="17.100000000000001" customHeight="1" x14ac:dyDescent="0.25">
      <c r="A123" s="145" t="s">
        <v>107</v>
      </c>
      <c r="B123" s="107"/>
      <c r="C123" s="107"/>
      <c r="D123" s="107"/>
      <c r="E123" s="107"/>
      <c r="F123" s="107"/>
      <c r="G123" s="107"/>
      <c r="H123" s="104"/>
      <c r="I123" s="104"/>
      <c r="J123" s="104"/>
      <c r="K123" s="104"/>
      <c r="L123" s="104"/>
      <c r="M123" s="104"/>
      <c r="N123" s="105"/>
      <c r="O123" s="102"/>
    </row>
    <row r="124" spans="1:15" ht="17.100000000000001" customHeight="1" x14ac:dyDescent="0.25">
      <c r="A124" s="106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8"/>
      <c r="O124" s="102"/>
    </row>
    <row r="125" spans="1:15" ht="17.100000000000001" customHeight="1" x14ac:dyDescent="0.25">
      <c r="A125" s="106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8"/>
      <c r="O125" s="102"/>
    </row>
    <row r="126" spans="1:15" ht="17.100000000000001" customHeight="1" x14ac:dyDescent="0.25">
      <c r="A126" s="106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8"/>
      <c r="O126" s="102"/>
    </row>
    <row r="127" spans="1:15" ht="17.100000000000001" customHeight="1" x14ac:dyDescent="0.25">
      <c r="A127" s="106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8"/>
      <c r="O127" s="102"/>
    </row>
    <row r="128" spans="1:15" ht="17.100000000000001" customHeight="1" x14ac:dyDescent="0.25">
      <c r="A128" s="106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8"/>
      <c r="O128" s="102"/>
    </row>
    <row r="129" spans="1:15" ht="17.100000000000001" customHeight="1" x14ac:dyDescent="0.25">
      <c r="A129" s="109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1"/>
      <c r="O129" s="102"/>
    </row>
    <row r="130" spans="1:15" ht="17.100000000000001" customHeight="1" x14ac:dyDescent="0.25">
      <c r="A130" s="167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68"/>
    </row>
    <row r="131" spans="1:15" ht="17.100000000000001" customHeight="1" x14ac:dyDescent="0.25">
      <c r="A131" s="169" t="s">
        <v>40</v>
      </c>
      <c r="B131" s="170"/>
      <c r="C131" s="170"/>
      <c r="D131" s="170"/>
      <c r="E131" s="170"/>
      <c r="F131" s="170"/>
      <c r="G131" s="171" t="s">
        <v>41</v>
      </c>
      <c r="H131" s="171"/>
      <c r="I131" s="171"/>
      <c r="J131" s="171"/>
      <c r="K131" s="172"/>
      <c r="L131" s="173"/>
      <c r="M131" s="173"/>
      <c r="N131" s="174"/>
      <c r="O131" s="102" t="s">
        <v>42</v>
      </c>
    </row>
    <row r="132" spans="1:15" ht="17.100000000000001" customHeight="1" x14ac:dyDescent="0.25">
      <c r="A132" s="179" t="s">
        <v>43</v>
      </c>
      <c r="B132" s="180"/>
      <c r="C132" s="180"/>
      <c r="D132" s="180"/>
      <c r="E132" s="180"/>
      <c r="F132" s="181"/>
      <c r="G132" s="185" t="s">
        <v>44</v>
      </c>
      <c r="H132" s="180"/>
      <c r="I132" s="180"/>
      <c r="J132" s="181"/>
      <c r="K132" s="175"/>
      <c r="L132" s="176"/>
      <c r="M132" s="176"/>
      <c r="N132" s="177"/>
      <c r="O132" s="102"/>
    </row>
    <row r="133" spans="1:15" ht="17.100000000000001" customHeight="1" x14ac:dyDescent="0.25">
      <c r="A133" s="182"/>
      <c r="B133" s="183"/>
      <c r="C133" s="183"/>
      <c r="D133" s="183"/>
      <c r="E133" s="183"/>
      <c r="F133" s="184"/>
      <c r="G133" s="186"/>
      <c r="H133" s="183"/>
      <c r="I133" s="183"/>
      <c r="J133" s="184"/>
      <c r="K133" s="175"/>
      <c r="L133" s="176"/>
      <c r="M133" s="176"/>
      <c r="N133" s="177"/>
      <c r="O133" s="102"/>
    </row>
    <row r="134" spans="1:15" ht="17.100000000000001" customHeight="1" x14ac:dyDescent="0.25">
      <c r="A134" s="182"/>
      <c r="B134" s="183"/>
      <c r="C134" s="183"/>
      <c r="D134" s="183"/>
      <c r="E134" s="183"/>
      <c r="F134" s="184"/>
      <c r="G134" s="186"/>
      <c r="H134" s="183"/>
      <c r="I134" s="183"/>
      <c r="J134" s="184"/>
      <c r="K134" s="175"/>
      <c r="L134" s="176"/>
      <c r="M134" s="176"/>
      <c r="N134" s="177"/>
      <c r="O134" s="102"/>
    </row>
    <row r="135" spans="1:15" ht="17.100000000000001" customHeight="1" x14ac:dyDescent="0.25">
      <c r="A135" s="182"/>
      <c r="B135" s="183"/>
      <c r="C135" s="183"/>
      <c r="D135" s="183"/>
      <c r="E135" s="183"/>
      <c r="F135" s="184"/>
      <c r="G135" s="186"/>
      <c r="H135" s="183"/>
      <c r="I135" s="183"/>
      <c r="J135" s="184"/>
      <c r="K135" s="175"/>
      <c r="L135" s="176"/>
      <c r="M135" s="176"/>
      <c r="N135" s="177"/>
      <c r="O135" s="102"/>
    </row>
    <row r="136" spans="1:15" ht="17.100000000000001" customHeight="1" x14ac:dyDescent="0.25">
      <c r="A136" s="182"/>
      <c r="B136" s="183"/>
      <c r="C136" s="183"/>
      <c r="D136" s="183"/>
      <c r="E136" s="183"/>
      <c r="F136" s="184"/>
      <c r="G136" s="186"/>
      <c r="H136" s="183"/>
      <c r="I136" s="183"/>
      <c r="J136" s="184"/>
      <c r="K136" s="175"/>
      <c r="L136" s="176"/>
      <c r="M136" s="176"/>
      <c r="N136" s="177"/>
      <c r="O136" s="102"/>
    </row>
    <row r="137" spans="1:15" ht="17.100000000000001" customHeight="1" x14ac:dyDescent="0.25">
      <c r="A137" s="182"/>
      <c r="B137" s="183"/>
      <c r="C137" s="183"/>
      <c r="D137" s="183"/>
      <c r="E137" s="183"/>
      <c r="F137" s="184"/>
      <c r="G137" s="186"/>
      <c r="H137" s="183"/>
      <c r="I137" s="183"/>
      <c r="J137" s="184"/>
      <c r="K137" s="175"/>
      <c r="L137" s="176"/>
      <c r="M137" s="176"/>
      <c r="N137" s="177"/>
      <c r="O137" s="102"/>
    </row>
    <row r="138" spans="1:15" ht="17.100000000000001" customHeight="1" x14ac:dyDescent="0.25">
      <c r="A138" s="182"/>
      <c r="B138" s="183"/>
      <c r="C138" s="183"/>
      <c r="D138" s="183"/>
      <c r="E138" s="183"/>
      <c r="F138" s="184"/>
      <c r="G138" s="186"/>
      <c r="H138" s="183"/>
      <c r="I138" s="183"/>
      <c r="J138" s="184"/>
      <c r="K138" s="175"/>
      <c r="L138" s="176"/>
      <c r="M138" s="176"/>
      <c r="N138" s="177"/>
      <c r="O138" s="102"/>
    </row>
    <row r="139" spans="1:15" ht="17.100000000000001" customHeight="1" thickBot="1" x14ac:dyDescent="0.3">
      <c r="A139" s="182"/>
      <c r="B139" s="183"/>
      <c r="C139" s="183"/>
      <c r="D139" s="183"/>
      <c r="E139" s="183"/>
      <c r="F139" s="184"/>
      <c r="G139" s="186"/>
      <c r="H139" s="183"/>
      <c r="I139" s="183"/>
      <c r="J139" s="184"/>
      <c r="K139" s="175"/>
      <c r="L139" s="176"/>
      <c r="M139" s="176"/>
      <c r="N139" s="177"/>
      <c r="O139" s="178"/>
    </row>
    <row r="140" spans="1:15" ht="17.100000000000001" customHeight="1" thickBot="1" x14ac:dyDescent="0.3">
      <c r="A140" s="152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4"/>
    </row>
    <row r="141" spans="1:15" ht="17.100000000000001" customHeight="1" x14ac:dyDescent="0.25">
      <c r="A141" s="145" t="s">
        <v>45</v>
      </c>
      <c r="B141" s="107"/>
      <c r="C141" s="107"/>
      <c r="D141" s="108"/>
      <c r="E141" s="155" t="s">
        <v>46</v>
      </c>
      <c r="F141" s="107"/>
      <c r="G141" s="107"/>
      <c r="H141" s="107"/>
      <c r="I141" s="107"/>
      <c r="J141" s="107"/>
      <c r="K141" s="157" t="s">
        <v>47</v>
      </c>
      <c r="L141" s="158"/>
      <c r="M141" s="158"/>
      <c r="N141" s="158"/>
      <c r="O141" s="162" t="s">
        <v>48</v>
      </c>
    </row>
    <row r="142" spans="1:15" ht="17.100000000000001" customHeight="1" x14ac:dyDescent="0.25">
      <c r="A142" s="109"/>
      <c r="B142" s="110"/>
      <c r="C142" s="110"/>
      <c r="D142" s="111"/>
      <c r="E142" s="156"/>
      <c r="F142" s="110"/>
      <c r="G142" s="110"/>
      <c r="H142" s="110"/>
      <c r="I142" s="110"/>
      <c r="J142" s="110"/>
      <c r="K142" s="159"/>
      <c r="L142" s="158"/>
      <c r="M142" s="158"/>
      <c r="N142" s="158"/>
      <c r="O142" s="163"/>
    </row>
    <row r="143" spans="1:15" ht="17.100000000000001" customHeight="1" x14ac:dyDescent="0.25">
      <c r="A143" s="103" t="s">
        <v>49</v>
      </c>
      <c r="B143" s="104"/>
      <c r="C143" s="104"/>
      <c r="D143" s="104"/>
      <c r="E143" s="104"/>
      <c r="F143" s="104"/>
      <c r="G143" s="104"/>
      <c r="H143" s="104"/>
      <c r="I143" s="104"/>
      <c r="J143" s="104"/>
      <c r="K143" s="159"/>
      <c r="L143" s="158"/>
      <c r="M143" s="158"/>
      <c r="N143" s="158"/>
      <c r="O143" s="163"/>
    </row>
    <row r="144" spans="1:15" ht="17.100000000000001" customHeight="1" x14ac:dyDescent="0.25">
      <c r="A144" s="106"/>
      <c r="B144" s="107"/>
      <c r="C144" s="107"/>
      <c r="D144" s="107"/>
      <c r="E144" s="107"/>
      <c r="F144" s="107"/>
      <c r="G144" s="107"/>
      <c r="H144" s="107"/>
      <c r="I144" s="107"/>
      <c r="J144" s="107"/>
      <c r="K144" s="159"/>
      <c r="L144" s="158"/>
      <c r="M144" s="158"/>
      <c r="N144" s="158"/>
      <c r="O144" s="163"/>
    </row>
    <row r="145" spans="1:19" ht="17.100000000000001" customHeight="1" x14ac:dyDescent="0.25">
      <c r="A145" s="106"/>
      <c r="B145" s="107"/>
      <c r="C145" s="107"/>
      <c r="D145" s="107"/>
      <c r="E145" s="107"/>
      <c r="F145" s="107"/>
      <c r="G145" s="107"/>
      <c r="H145" s="107"/>
      <c r="I145" s="107"/>
      <c r="J145" s="107"/>
      <c r="K145" s="159"/>
      <c r="L145" s="158"/>
      <c r="M145" s="158"/>
      <c r="N145" s="158"/>
      <c r="O145" s="163"/>
    </row>
    <row r="146" spans="1:19" ht="17.100000000000001" customHeight="1" x14ac:dyDescent="0.25">
      <c r="A146" s="106"/>
      <c r="B146" s="107"/>
      <c r="C146" s="107"/>
      <c r="D146" s="107"/>
      <c r="E146" s="107"/>
      <c r="F146" s="107"/>
      <c r="G146" s="107"/>
      <c r="H146" s="107"/>
      <c r="I146" s="107"/>
      <c r="J146" s="107"/>
      <c r="K146" s="159"/>
      <c r="L146" s="158"/>
      <c r="M146" s="158"/>
      <c r="N146" s="158"/>
      <c r="O146" s="163"/>
    </row>
    <row r="147" spans="1:19" ht="17.100000000000001" customHeight="1" thickBot="1" x14ac:dyDescent="0.3">
      <c r="A147" s="165"/>
      <c r="B147" s="166"/>
      <c r="C147" s="166"/>
      <c r="D147" s="166"/>
      <c r="E147" s="166"/>
      <c r="F147" s="166"/>
      <c r="G147" s="166"/>
      <c r="H147" s="166"/>
      <c r="I147" s="166"/>
      <c r="J147" s="166"/>
      <c r="K147" s="160"/>
      <c r="L147" s="161"/>
      <c r="M147" s="161"/>
      <c r="N147" s="161"/>
      <c r="O147" s="164"/>
    </row>
    <row r="148" spans="1:19" ht="14.1" customHeight="1" x14ac:dyDescent="0.2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</row>
    <row r="149" spans="1:19" ht="14.1" customHeight="1" x14ac:dyDescent="0.25"/>
    <row r="150" spans="1:19" ht="14.1" customHeight="1" x14ac:dyDescent="0.25"/>
    <row r="151" spans="1:19" ht="14.1" customHeight="1" x14ac:dyDescent="0.25"/>
  </sheetData>
  <sortState xmlns:xlrd2="http://schemas.microsoft.com/office/spreadsheetml/2017/richdata2" ref="A32:N76">
    <sortCondition ref="E32:E76"/>
  </sortState>
  <mergeCells count="78">
    <mergeCell ref="O14:O129"/>
    <mergeCell ref="A29:A30"/>
    <mergeCell ref="B29:B30"/>
    <mergeCell ref="C29:C30"/>
    <mergeCell ref="D29:D30"/>
    <mergeCell ref="E29:E30"/>
    <mergeCell ref="F29:F30"/>
    <mergeCell ref="G29:G30"/>
    <mergeCell ref="A130:O130"/>
    <mergeCell ref="A131:F131"/>
    <mergeCell ref="G131:J131"/>
    <mergeCell ref="K131:N139"/>
    <mergeCell ref="O131:O139"/>
    <mergeCell ref="A132:F139"/>
    <mergeCell ref="G132:J139"/>
    <mergeCell ref="A148:J148"/>
    <mergeCell ref="K148:S148"/>
    <mergeCell ref="A140:O140"/>
    <mergeCell ref="A141:D142"/>
    <mergeCell ref="E141:J142"/>
    <mergeCell ref="K141:N147"/>
    <mergeCell ref="O141:O147"/>
    <mergeCell ref="A143:J147"/>
    <mergeCell ref="B89:F89"/>
    <mergeCell ref="A122:G122"/>
    <mergeCell ref="J122:N122"/>
    <mergeCell ref="A123:N129"/>
    <mergeCell ref="E87:E88"/>
    <mergeCell ref="F87:F88"/>
    <mergeCell ref="G87:G88"/>
    <mergeCell ref="H87:L87"/>
    <mergeCell ref="M87:M88"/>
    <mergeCell ref="A94:N94"/>
    <mergeCell ref="A102:N102"/>
    <mergeCell ref="A107:N107"/>
    <mergeCell ref="A112:N112"/>
    <mergeCell ref="A97:N97"/>
    <mergeCell ref="A117:N117"/>
    <mergeCell ref="H29:L29"/>
    <mergeCell ref="M29:M30"/>
    <mergeCell ref="N29:N30"/>
    <mergeCell ref="B31:F31"/>
    <mergeCell ref="A87:A88"/>
    <mergeCell ref="B87:B88"/>
    <mergeCell ref="C87:C88"/>
    <mergeCell ref="D87:D88"/>
    <mergeCell ref="N87:N88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hyperlinks>
    <hyperlink ref="E32" r:id="rId1" display="VALVULA DE DESCARGA EM METAL CROMADO PARA MICTORIO COM ACIONAMENTO POR PRESSAO E FECHAMENTO AUTOMATICO" xr:uid="{00000000-0004-0000-0000-000000000000}"/>
    <hyperlink ref="E39" r:id="rId2" display="VALVULA DE DESCARGA EM METAL CROMADO PARA MICTORIO COM ACIONAMENTO POR PRESSAO E FECHAMENTO AUTOMATICO" xr:uid="{00000000-0004-0000-0000-000001000000}"/>
    <hyperlink ref="E55" r:id="rId3" display="VALVULA DE DESCARGA EM METAL CROMADO PARA MICTORIO COM ACIONAMENTO POR PRESSAO E FECHAMENTO AUTOMATICO" xr:uid="{00000000-0004-0000-0000-000002000000}"/>
    <hyperlink ref="E70" r:id="rId4" display="VALVULA DE DESCARGA EM METAL CROMADO PARA MICTORIO COM ACIONAMENTO POR PRESSAO E FECHAMENTO AUTOMATICO" xr:uid="{00000000-0004-0000-0000-000003000000}"/>
  </hyperlinks>
  <pageMargins left="0.25" right="0.25" top="0.75" bottom="0.75" header="0.3" footer="0.3"/>
  <pageSetup paperSize="9" scale="53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K19"/>
  <sheetViews>
    <sheetView workbookViewId="0">
      <selection activeCell="G19" sqref="G19"/>
    </sheetView>
  </sheetViews>
  <sheetFormatPr defaultRowHeight="15" x14ac:dyDescent="0.25"/>
  <cols>
    <col min="4" max="9" width="18.7109375" customWidth="1"/>
  </cols>
  <sheetData>
    <row r="2" spans="4:11" x14ac:dyDescent="0.25">
      <c r="D2" s="67"/>
      <c r="E2" s="188" t="s">
        <v>154</v>
      </c>
      <c r="F2" s="188"/>
      <c r="G2" s="188"/>
      <c r="H2" s="188"/>
    </row>
    <row r="3" spans="4:11" x14ac:dyDescent="0.25">
      <c r="D3" s="68" t="s">
        <v>149</v>
      </c>
      <c r="E3" s="68" t="s">
        <v>150</v>
      </c>
      <c r="F3" s="68" t="s">
        <v>151</v>
      </c>
      <c r="G3" s="68" t="s">
        <v>152</v>
      </c>
      <c r="H3" s="68" t="s">
        <v>80</v>
      </c>
    </row>
    <row r="4" spans="4:11" x14ac:dyDescent="0.25">
      <c r="D4" s="67" t="s">
        <v>142</v>
      </c>
      <c r="E4" s="67">
        <v>2</v>
      </c>
      <c r="F4" s="67">
        <v>107</v>
      </c>
      <c r="G4" s="67">
        <v>105.5</v>
      </c>
      <c r="H4" s="67">
        <f>E4*F4*G4/10000</f>
        <v>2.2576999999999998</v>
      </c>
    </row>
    <row r="5" spans="4:11" x14ac:dyDescent="0.25">
      <c r="D5" s="67" t="s">
        <v>143</v>
      </c>
      <c r="E5" s="67">
        <v>2</v>
      </c>
      <c r="F5" s="67">
        <v>70.5</v>
      </c>
      <c r="G5" s="67">
        <v>19</v>
      </c>
      <c r="H5" s="67">
        <f t="shared" ref="H5:H12" si="0">E5*F5*G5/10000</f>
        <v>0.26790000000000003</v>
      </c>
    </row>
    <row r="6" spans="4:11" x14ac:dyDescent="0.25">
      <c r="D6" s="67" t="s">
        <v>144</v>
      </c>
      <c r="E6" s="67">
        <v>2</v>
      </c>
      <c r="F6" s="67">
        <v>70</v>
      </c>
      <c r="G6" s="67">
        <v>70</v>
      </c>
      <c r="H6" s="67">
        <f t="shared" si="0"/>
        <v>0.98</v>
      </c>
    </row>
    <row r="7" spans="4:11" x14ac:dyDescent="0.25">
      <c r="D7" s="67" t="s">
        <v>145</v>
      </c>
      <c r="E7" s="67">
        <v>1</v>
      </c>
      <c r="F7" s="67">
        <v>55.5</v>
      </c>
      <c r="G7" s="67">
        <v>19</v>
      </c>
      <c r="H7" s="67">
        <f t="shared" si="0"/>
        <v>0.10545</v>
      </c>
    </row>
    <row r="8" spans="4:11" x14ac:dyDescent="0.25">
      <c r="D8" s="67" t="s">
        <v>146</v>
      </c>
      <c r="E8" s="67">
        <v>2</v>
      </c>
      <c r="F8" s="67">
        <v>48</v>
      </c>
      <c r="G8" s="67">
        <v>18</v>
      </c>
      <c r="H8" s="67">
        <f t="shared" si="0"/>
        <v>0.17280000000000001</v>
      </c>
    </row>
    <row r="9" spans="4:11" x14ac:dyDescent="0.25">
      <c r="D9" s="67" t="s">
        <v>146</v>
      </c>
      <c r="E9" s="67">
        <v>1</v>
      </c>
      <c r="F9" s="67">
        <v>94</v>
      </c>
      <c r="G9" s="67">
        <v>24</v>
      </c>
      <c r="H9" s="67">
        <f t="shared" si="0"/>
        <v>0.22559999999999999</v>
      </c>
    </row>
    <row r="10" spans="4:11" x14ac:dyDescent="0.25">
      <c r="D10" s="67" t="s">
        <v>146</v>
      </c>
      <c r="E10" s="67">
        <v>2</v>
      </c>
      <c r="F10" s="67">
        <v>75</v>
      </c>
      <c r="G10" s="67">
        <v>15.5</v>
      </c>
      <c r="H10" s="67">
        <f t="shared" si="0"/>
        <v>0.23250000000000001</v>
      </c>
    </row>
    <row r="11" spans="4:11" x14ac:dyDescent="0.25">
      <c r="D11" s="67" t="s">
        <v>147</v>
      </c>
      <c r="E11" s="67">
        <v>1</v>
      </c>
      <c r="F11" s="67">
        <v>70</v>
      </c>
      <c r="G11" s="67">
        <v>49</v>
      </c>
      <c r="H11" s="67">
        <f t="shared" si="0"/>
        <v>0.34300000000000003</v>
      </c>
    </row>
    <row r="12" spans="4:11" x14ac:dyDescent="0.25">
      <c r="D12" s="67" t="s">
        <v>148</v>
      </c>
      <c r="E12" s="67">
        <v>1</v>
      </c>
      <c r="F12" s="67">
        <v>56</v>
      </c>
      <c r="G12" s="67">
        <v>17</v>
      </c>
      <c r="H12" s="67">
        <f t="shared" si="0"/>
        <v>9.5200000000000007E-2</v>
      </c>
    </row>
    <row r="13" spans="4:11" x14ac:dyDescent="0.25">
      <c r="D13" s="189" t="s">
        <v>153</v>
      </c>
      <c r="E13" s="190"/>
      <c r="F13" s="190"/>
      <c r="G13" s="191"/>
      <c r="H13" s="69">
        <f>SUM(H4:H12)</f>
        <v>4.6801499999999994</v>
      </c>
      <c r="K13">
        <v>95.9</v>
      </c>
    </row>
    <row r="14" spans="4:11" x14ac:dyDescent="0.25">
      <c r="K14">
        <v>17.149999999999999</v>
      </c>
    </row>
    <row r="15" spans="4:11" x14ac:dyDescent="0.25">
      <c r="K15">
        <v>33.81</v>
      </c>
    </row>
    <row r="16" spans="4:11" x14ac:dyDescent="0.25">
      <c r="K16">
        <f>SUM(K13:K15)</f>
        <v>146.86000000000001</v>
      </c>
    </row>
    <row r="17" spans="9:11" x14ac:dyDescent="0.25">
      <c r="I17">
        <v>28.05</v>
      </c>
      <c r="K17">
        <f>476-146.86</f>
        <v>329.14</v>
      </c>
    </row>
    <row r="18" spans="9:11" x14ac:dyDescent="0.25">
      <c r="I18">
        <f>107.35-28.05</f>
        <v>79.3</v>
      </c>
    </row>
    <row r="19" spans="9:11" x14ac:dyDescent="0.25">
      <c r="I19">
        <f>206-62.5</f>
        <v>143.5</v>
      </c>
    </row>
  </sheetData>
  <mergeCells count="2">
    <mergeCell ref="E2:H2"/>
    <mergeCell ref="D13:G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35647FA-B6F8-4A96-8FA8-9BFA12ABEBF5}"/>
</file>

<file path=customXml/itemProps2.xml><?xml version="1.0" encoding="utf-8"?>
<ds:datastoreItem xmlns:ds="http://schemas.openxmlformats.org/officeDocument/2006/customXml" ds:itemID="{856114D2-D512-41CA-B5E9-0566E05F4F5C}"/>
</file>

<file path=customXml/itemProps3.xml><?xml version="1.0" encoding="utf-8"?>
<ds:datastoreItem xmlns:ds="http://schemas.openxmlformats.org/officeDocument/2006/customXml" ds:itemID="{FEFA0192-7A3B-4396-9134-8A15A7BB8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Vidros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2024-11-21T20:02:34Z</cp:lastPrinted>
  <dcterms:created xsi:type="dcterms:W3CDTF">2022-01-02T19:12:46Z</dcterms:created>
  <dcterms:modified xsi:type="dcterms:W3CDTF">2024-11-21T20:03:37Z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