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dia/image4.png" ContentType="image/png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ão Carlos" sheetId="1" state="visible" r:id="rId2"/>
    <sheet name="Vidr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<sst xmlns="http://schemas.openxmlformats.org/spreadsheetml/2006/main" count="444" uniqueCount="214">
  <si>
    <t xml:space="preserve">LOGO</t>
  </si>
  <si>
    <t xml:space="preserve">Ordem de Serviço</t>
  </si>
  <si>
    <t xml:space="preserve">Prioridade:</t>
  </si>
  <si>
    <t xml:space="preserve">URGENTE</t>
  </si>
  <si>
    <t xml:space="preserve">24 horas </t>
  </si>
  <si>
    <t xml:space="preserve">ALTA</t>
  </si>
  <si>
    <t xml:space="preserve">3 dias</t>
  </si>
  <si>
    <t xml:space="preserve">MÉDIA</t>
  </si>
  <si>
    <t xml:space="preserve">7 dias</t>
  </si>
  <si>
    <t xml:space="preserve">BAIXA</t>
  </si>
  <si>
    <t xml:space="preserve">15 dias </t>
  </si>
  <si>
    <r>
      <rPr>
        <b val="true"/>
        <sz val="8"/>
        <color rgb="FF000000"/>
        <rFont val="Arial"/>
        <family val="2"/>
        <charset val="1"/>
      </rPr>
      <t xml:space="preserve">UNIDADE: </t>
    </r>
    <r>
      <rPr>
        <sz val="8"/>
        <color rgb="FFFF0000"/>
        <rFont val="Arial"/>
        <family val="2"/>
        <charset val="1"/>
      </rPr>
      <t xml:space="preserve">UFSCar Campus São Carlos</t>
    </r>
  </si>
  <si>
    <r>
      <rPr>
        <sz val="8"/>
        <color rgb="FF000000"/>
        <rFont val="Arial"/>
        <family val="2"/>
        <charset val="1"/>
      </rPr>
      <t xml:space="preserve">CONTRATO: </t>
    </r>
    <r>
      <rPr>
        <sz val="8"/>
        <color rgb="FFFF0000"/>
        <rFont val="Arial"/>
        <family val="2"/>
        <charset val="1"/>
      </rPr>
      <t xml:space="preserve"> 023/2022</t>
    </r>
  </si>
  <si>
    <t xml:space="preserve">SOLICITAÇÃO</t>
  </si>
  <si>
    <r>
      <rPr>
        <sz val="8"/>
        <color rgb="FF000000"/>
        <rFont val="Arial"/>
        <family val="2"/>
        <charset val="1"/>
      </rPr>
      <t xml:space="preserve">Descrição serviço: </t>
    </r>
    <r>
      <rPr>
        <b val="true"/>
        <sz val="8"/>
        <color rgb="FF000000"/>
        <rFont val="Arial"/>
        <family val="2"/>
        <charset val="1"/>
      </rPr>
      <t xml:space="preserve">ROTINAS DE MANUTENÇÃO PREDIAL NO CAMPUS SÃO CARLOS, REFERENTE AO PERIDO DE </t>
    </r>
    <r>
      <rPr>
        <b val="true"/>
        <sz val="8"/>
        <color rgb="FFFF0000"/>
        <rFont val="Arial"/>
        <family val="2"/>
        <charset val="1"/>
      </rPr>
      <t xml:space="preserve">SETEMBRO/2024</t>
    </r>
  </si>
  <si>
    <r>
      <rPr>
        <sz val="8"/>
        <color rgb="FF000000"/>
        <rFont val="Arial"/>
        <family val="2"/>
        <charset val="1"/>
      </rPr>
      <t xml:space="preserve">Solicitante: </t>
    </r>
    <r>
      <rPr>
        <sz val="8"/>
        <color rgb="FFFF0000"/>
        <rFont val="Arial"/>
        <family val="2"/>
        <charset val="1"/>
      </rPr>
      <t xml:space="preserve">Prefeitura Universitária do Campus São Carlos</t>
    </r>
  </si>
  <si>
    <r>
      <rPr>
        <sz val="8"/>
        <color rgb="FF000000"/>
        <rFont val="Arial"/>
        <family val="2"/>
        <charset val="1"/>
      </rPr>
      <t xml:space="preserve">Ambiente: </t>
    </r>
    <r>
      <rPr>
        <sz val="8"/>
        <color rgb="FFFF0000"/>
        <rFont val="Arial"/>
        <family val="2"/>
        <charset val="1"/>
      </rPr>
      <t xml:space="preserve">Campus São Carlos</t>
    </r>
  </si>
  <si>
    <r>
      <rPr>
        <sz val="8"/>
        <color rgb="FF000000"/>
        <rFont val="Arial"/>
        <family val="2"/>
        <charset val="1"/>
      </rPr>
      <t xml:space="preserve">Prazo de execução: </t>
    </r>
    <r>
      <rPr>
        <sz val="8"/>
        <color rgb="FFFF0000"/>
        <rFont val="Arial"/>
        <family val="2"/>
        <charset val="1"/>
      </rPr>
      <t xml:space="preserve">Continuado</t>
    </r>
  </si>
  <si>
    <r>
      <rPr>
        <sz val="8"/>
        <color rgb="FF000000"/>
        <rFont val="Arial"/>
        <family val="2"/>
        <charset val="1"/>
      </rPr>
      <t xml:space="preserve">Prazo de início: </t>
    </r>
    <r>
      <rPr>
        <sz val="8"/>
        <color rgb="FFFF0000"/>
        <rFont val="Arial"/>
        <family val="2"/>
        <charset val="1"/>
      </rPr>
      <t xml:space="preserve">13/06/2022</t>
    </r>
  </si>
  <si>
    <r>
      <rPr>
        <sz val="8"/>
        <color rgb="FF000000"/>
        <rFont val="Arial"/>
        <family val="2"/>
        <charset val="1"/>
      </rPr>
      <t xml:space="preserve">Data Orçamento: </t>
    </r>
    <r>
      <rPr>
        <sz val="8"/>
        <color rgb="FFFF0000"/>
        <rFont val="Arial"/>
        <family val="2"/>
        <charset val="1"/>
      </rPr>
      <t xml:space="preserve">Jun/22</t>
    </r>
  </si>
  <si>
    <r>
      <rPr>
        <sz val="8"/>
        <color rgb="FF000000"/>
        <rFont val="Arial"/>
        <family val="2"/>
        <charset val="1"/>
      </rPr>
      <t xml:space="preserve">Mês de referência: </t>
    </r>
    <r>
      <rPr>
        <sz val="8"/>
        <color rgb="FFFF0000"/>
        <rFont val="Arial"/>
        <family val="2"/>
        <charset val="1"/>
      </rPr>
      <t xml:space="preserve">Maio/2024 (data da proposta)</t>
    </r>
  </si>
  <si>
    <t xml:space="preserve">ITEM</t>
  </si>
  <si>
    <t xml:space="preserve">TIPO</t>
  </si>
  <si>
    <t xml:space="preserve">CÓDIGO</t>
  </si>
  <si>
    <t xml:space="preserve">BANCO</t>
  </si>
  <si>
    <t xml:space="preserve">DESCRIÇÃO DAS ETAPAS</t>
  </si>
  <si>
    <t xml:space="preserve">UNID.</t>
  </si>
  <si>
    <t xml:space="preserve">QUANT.</t>
  </si>
  <si>
    <t xml:space="preserve">PREÇO</t>
  </si>
  <si>
    <t xml:space="preserve">TOTAL DA ETAPA</t>
  </si>
  <si>
    <t xml:space="preserve">%</t>
  </si>
  <si>
    <t xml:space="preserve">ORÇAMENTO</t>
  </si>
  <si>
    <t xml:space="preserve">UNITÁRIO SEM BDI</t>
  </si>
  <si>
    <t xml:space="preserve">BDI (22,32%)</t>
  </si>
  <si>
    <t xml:space="preserve">UNITÁRIO COM BDI</t>
  </si>
  <si>
    <t xml:space="preserve">DESCONTO (0,03%)</t>
  </si>
  <si>
    <t xml:space="preserve">UNITÁRIO C/ BDI e DESCONTO</t>
  </si>
  <si>
    <t xml:space="preserve">EQUIPE DE PRESTAÇÃO DE SERVIÇOS ROTINEIROS DE MANUTENÇÃO PREDIAL</t>
  </si>
  <si>
    <t xml:space="preserve">1.1</t>
  </si>
  <si>
    <t xml:space="preserve">Composição </t>
  </si>
  <si>
    <t xml:space="preserve">SINAPI</t>
  </si>
  <si>
    <t xml:space="preserve">ENCARREGADO GERAL COM ENCARGOS COMPLEMENTARES</t>
  </si>
  <si>
    <t xml:space="preserve">h</t>
  </si>
  <si>
    <t xml:space="preserve">1.2</t>
  </si>
  <si>
    <t xml:space="preserve">ENCANADOR OU BOMBEIRO HIDRÁULICO COM ENCARGOS COMPLEMENTARES</t>
  </si>
  <si>
    <t xml:space="preserve">1.3</t>
  </si>
  <si>
    <t xml:space="preserve"> 88267 </t>
  </si>
  <si>
    <t xml:space="preserve">1.4</t>
  </si>
  <si>
    <t xml:space="preserve">AUXILIAR DE ENCANADOR OU BOMBEIRO HIDRÁULICO COM ENCARGOS COMPLEMENTARES</t>
  </si>
  <si>
    <t xml:space="preserve">1.5</t>
  </si>
  <si>
    <t xml:space="preserve"> 88248 </t>
  </si>
  <si>
    <t xml:space="preserve">1.6</t>
  </si>
  <si>
    <t xml:space="preserve">PEDREIRO COM ENCARGOS COMPLEMENTARES</t>
  </si>
  <si>
    <t xml:space="preserve">1.7</t>
  </si>
  <si>
    <t xml:space="preserve"> 88309 </t>
  </si>
  <si>
    <t xml:space="preserve">1.8</t>
  </si>
  <si>
    <t xml:space="preserve">AJUDANTE DE PEDREIRO COM ENCARGOS COMPLEMENTARES</t>
  </si>
  <si>
    <t xml:space="preserve">1.9</t>
  </si>
  <si>
    <t xml:space="preserve"> 88242 </t>
  </si>
  <si>
    <t xml:space="preserve">1.10</t>
  </si>
  <si>
    <t xml:space="preserve">1.11</t>
  </si>
  <si>
    <t xml:space="preserve">AJUDANTE DE OPERAÇÃO EM GERAL COM ENCARGOS COMPLEMENTARES</t>
  </si>
  <si>
    <t xml:space="preserve">1.12</t>
  </si>
  <si>
    <t xml:space="preserve"> 88241 </t>
  </si>
  <si>
    <t xml:space="preserve">BDI (15,32%)</t>
  </si>
  <si>
    <t xml:space="preserve">MATERIAIS NECESSÁRIOS PARA O DESEMPENHO DAS ROTINAS</t>
  </si>
  <si>
    <t xml:space="preserve">2.1</t>
  </si>
  <si>
    <t xml:space="preserve">Insumos</t>
  </si>
  <si>
    <t xml:space="preserve">CIMENTO PORTLAND COMPOSTO CP II-32</t>
  </si>
  <si>
    <t xml:space="preserve">2.2</t>
  </si>
  <si>
    <t xml:space="preserve">ARGAMASSA COLANTE AC I PARA CERAMICAS</t>
  </si>
  <si>
    <t xml:space="preserve">KG</t>
  </si>
  <si>
    <t xml:space="preserve">2.3</t>
  </si>
  <si>
    <t xml:space="preserve">8.01.02</t>
  </si>
  <si>
    <t xml:space="preserve">FDE</t>
  </si>
  <si>
    <t xml:space="preserve">ALUGUEL CAÇAMBA 4M3</t>
  </si>
  <si>
    <t xml:space="preserve">2.4</t>
  </si>
  <si>
    <t xml:space="preserve">COLA BRANCA BASE PVA</t>
  </si>
  <si>
    <t xml:space="preserve">2.5</t>
  </si>
  <si>
    <t xml:space="preserve">ASSENTO SANITARIO DE PLASTICO, TIPO CONVENCIONAL</t>
  </si>
  <si>
    <t xml:space="preserve">2.6</t>
  </si>
  <si>
    <t xml:space="preserve">ARAME RECOZIDO 16 BWG, D = 1,65 MM (0,016 KG/M) OU 18 BWG, D = 1,25 MM (0,01 KG/M)</t>
  </si>
  <si>
    <t xml:space="preserve">2.7</t>
  </si>
  <si>
    <t xml:space="preserve">FECHADURA ESPELHO PARA PORTA EXTERNA, EM ACO INOX (MAQUINA, TESTA E CONTRA-TESTA) E EM ZAMAC (MACANETA, LINGUETA E TRINCOS) COM ACABAMENTO CROMADO, MAQUINA DE 40 MM, INCLUINDO CHAVE TIPO CILINDRO</t>
  </si>
  <si>
    <t xml:space="preserve">2.8</t>
  </si>
  <si>
    <t xml:space="preserve">JOELHO PVC, SOLDAVEL, 90 GRAUS, 32 MM, COR MARROM, PARA AGUA FRIA PREDIAL</t>
  </si>
  <si>
    <t xml:space="preserve">2.9</t>
  </si>
  <si>
    <t xml:space="preserve">JOELHO PVC, SOLDAVEL, 90 GRAUS, 25 MM, PARA AGUA FRIA PREDIAL</t>
  </si>
  <si>
    <t xml:space="preserve">2.10</t>
  </si>
  <si>
    <t xml:space="preserve">CURVA DE PVC 45 GRAUS, SOLDAVEL, 20 MM, COR MARROM, PARA AGUA FRIA PREDIAL</t>
  </si>
  <si>
    <t xml:space="preserve">2.11</t>
  </si>
  <si>
    <t xml:space="preserve">CAP PVC, SOLDAVEL, 50 MM, PARA AGUA FRIA PREDIAL</t>
  </si>
  <si>
    <t xml:space="preserve">2.12</t>
  </si>
  <si>
    <t xml:space="preserve">BUCHA DE REDUCAO DE PVC, SOLDAVEL, LONGA, COM 50 X 25 MM, PARA AGUA FRIA PREDIAL</t>
  </si>
  <si>
    <t xml:space="preserve">2.13</t>
  </si>
  <si>
    <t xml:space="preserve">BUCHA DE REDUCAO DE PVC, SOLDAVEL, CURTA, COM 32 X 25 MM, PARA AGUA FRIA PREDIAL</t>
  </si>
  <si>
    <t xml:space="preserve">2.14</t>
  </si>
  <si>
    <t xml:space="preserve">CAP PVC, ROSCAVEL, 3/4", PARA AGUA FRIA PREDIAL</t>
  </si>
  <si>
    <t xml:space="preserve">2.15</t>
  </si>
  <si>
    <t xml:space="preserve">CAP PVC, ROSCAVEL, 1/2", PARA AGUA FRIA PREDIAL</t>
  </si>
  <si>
    <t xml:space="preserve">2.16</t>
  </si>
  <si>
    <t xml:space="preserve">ORSE</t>
  </si>
  <si>
    <t xml:space="preserve">Parafuso 4,2 x 32mm, auto-brocante com asa</t>
  </si>
  <si>
    <t xml:space="preserve">2.17</t>
  </si>
  <si>
    <t xml:space="preserve">VALVULA DE DESCARGA METALICA, BASE 1 1/2" E ACABAMENTO METALICO CROMADO</t>
  </si>
  <si>
    <t xml:space="preserve">2.18</t>
  </si>
  <si>
    <t xml:space="preserve"> Adesivo para tubo Aquatherm/CPVC</t>
  </si>
  <si>
    <t xml:space="preserve">2.19</t>
  </si>
  <si>
    <t xml:space="preserve">SIFAO / TUBO SINFONADO EXTENSIVEL/SANFONADO, UNIVERSAL/ SIMPLES, ENTRE *50 A 70* CM, DE PLASTICO BRANCO</t>
  </si>
  <si>
    <t xml:space="preserve">2.20</t>
  </si>
  <si>
    <t xml:space="preserve">TORNEIRA METALICA CROMADA PARA JARDIM / TANQUE, COM BICO PLASTICO, CANO LONGO, DE PAREDE, PADRAO POPULAR / USO GERAL , 1/2 " OU 3/4 " (REF 1153 / 1130)</t>
  </si>
  <si>
    <t xml:space="preserve">2.21</t>
  </si>
  <si>
    <t xml:space="preserve">ENGATE / RABICHO FLEXIVEL INOX 1/2 " X 40 CM</t>
  </si>
  <si>
    <t xml:space="preserve">2.22</t>
  </si>
  <si>
    <t xml:space="preserve">TORNEIRA METALICA CROMADA DE MESA PARA LAVATORIO, BICA ALTA, COM AREJADOR (REF 1195)</t>
  </si>
  <si>
    <t xml:space="preserve">2.23</t>
  </si>
  <si>
    <t xml:space="preserve">NIPLE DE FERRO GALVANIZADO, COM ROSCA BSP, DE 1/2"</t>
  </si>
  <si>
    <t xml:space="preserve">2.24</t>
  </si>
  <si>
    <t xml:space="preserve">TORNEIRA METALICA CROMADA, DE MESA/BANCADA, PARA COZINHA, BICA MOVEL, COM AREJADOR, 1/2 " OU 3/4 " (REF 1167 / 1168)</t>
  </si>
  <si>
    <t xml:space="preserve">2.25</t>
  </si>
  <si>
    <t xml:space="preserve">CONJUNTO DE LIGACAO AJUSTAVEL, PARA VASO / BACIA SANITARIA, EM PLASTICO BRANCO, COM TUBO, CANOPLA E ESPUD</t>
  </si>
  <si>
    <t xml:space="preserve">2.26</t>
  </si>
  <si>
    <t xml:space="preserve">Tubo de ligação em PVC para vaso sanitário, acabamento cromado, CIPLA ou similar</t>
  </si>
  <si>
    <t xml:space="preserve">2.27</t>
  </si>
  <si>
    <t xml:space="preserve">CAP PVC, SOLDAVEL, DN 50 MM, SERIE NORMAL, PARA ESGOTO PREDIAL</t>
  </si>
  <si>
    <t xml:space="preserve">2.28</t>
  </si>
  <si>
    <t xml:space="preserve">FITA VEDA ROSCA EM ROLOS DE 18 MM X 50 M (L X C)</t>
  </si>
  <si>
    <t xml:space="preserve">2.29</t>
  </si>
  <si>
    <t xml:space="preserve">Grelha p/ralo em inox, quadrada, 10x10cm, tipo abre/fecha, Meber ou similar</t>
  </si>
  <si>
    <t xml:space="preserve">2.30</t>
  </si>
  <si>
    <t xml:space="preserve">2.31</t>
  </si>
  <si>
    <t xml:space="preserve">TE SOLDAVEL, PVC, 90 GRAUS, 25 MM, PARA AGUA FRIA PREDIAL (NBR 5648)</t>
  </si>
  <si>
    <t xml:space="preserve">2.32</t>
  </si>
  <si>
    <t xml:space="preserve">BUCHA DE REDUCAO DE FERRO GALVANIZADO, COM ROSCA BSP, DE 3/4" X 1/2"</t>
  </si>
  <si>
    <t xml:space="preserve">2.33</t>
  </si>
  <si>
    <t xml:space="preserve">MASSA PLASTICA PARA MARMORE/GRANITO</t>
  </si>
  <si>
    <t xml:space="preserve">2.34</t>
  </si>
  <si>
    <t xml:space="preserve">LIXA D'AGUA EM FOLHA, GRAO 100</t>
  </si>
  <si>
    <t xml:space="preserve">2.35</t>
  </si>
  <si>
    <t xml:space="preserve">LUVA PVC SOLDAVEL, 25 MM, PARA AGUA FRIA PREDIAL</t>
  </si>
  <si>
    <t xml:space="preserve">2.36</t>
  </si>
  <si>
    <t xml:space="preserve">LUVA SOLDAVEL COM BUCHA DE LATAO, PVC, 25 MM X 1/2"</t>
  </si>
  <si>
    <t xml:space="preserve">2.37</t>
  </si>
  <si>
    <t xml:space="preserve">TUBO PVC, SOLDAVEL, DN 25 MM, AGUA FRIA (NBR-5648)</t>
  </si>
  <si>
    <t xml:space="preserve">m</t>
  </si>
  <si>
    <t xml:space="preserve">2.38</t>
  </si>
  <si>
    <t xml:space="preserve">TUBO PVC, SOLDAVEL, DN 32 MM, AGUA FRIA (NBR-5648)</t>
  </si>
  <si>
    <t xml:space="preserve">2.39</t>
  </si>
  <si>
    <t xml:space="preserve">REGISTRO OU REGULADOR DE GAS COZINHA, VAZAO DE 2 KG/H, 2,8 KPA</t>
  </si>
  <si>
    <t xml:space="preserve">soma</t>
  </si>
  <si>
    <t xml:space="preserve">2.40</t>
  </si>
  <si>
    <t xml:space="preserve">ADITIVO ADESIVO LIQUIDO PARA ARGAMASSAS DE REVESTIMENTOS CIMENTICIOS</t>
  </si>
  <si>
    <t xml:space="preserve">L</t>
  </si>
  <si>
    <t xml:space="preserve">ESCONTO (0,03%)</t>
  </si>
  <si>
    <t xml:space="preserve">SERVIÇOS / EQUIPAMENTOS ADICIONAIS NECESSÁRIOS DURANTE AS ROTINAS</t>
  </si>
  <si>
    <t xml:space="preserve">3.1</t>
  </si>
  <si>
    <t xml:space="preserve">3.2</t>
  </si>
  <si>
    <t xml:space="preserve">3.3</t>
  </si>
  <si>
    <t xml:space="preserve">PINTOR COM ENCARGOS COMPLEMENTARES</t>
  </si>
  <si>
    <t xml:space="preserve">Divisoria BCO</t>
  </si>
  <si>
    <t xml:space="preserve">3.4</t>
  </si>
  <si>
    <t xml:space="preserve">RETIRADA DE DIVISORIA TIPO NAVAL COM APROVEITAMENTO DE MATERIAL</t>
  </si>
  <si>
    <t xml:space="preserve">m²</t>
  </si>
  <si>
    <t xml:space="preserve">3.5</t>
  </si>
  <si>
    <t xml:space="preserve">REMOÇÃO DE VIDRO LISO COMUM DE ESQUADRIA COM BAGUETE DE ALUMÍNIO OU PVC. AF_01/2021</t>
  </si>
  <si>
    <t xml:space="preserve">3.6</t>
  </si>
  <si>
    <t xml:space="preserve">14.30.110</t>
  </si>
  <si>
    <t xml:space="preserve">CPOS/CDHU</t>
  </si>
  <si>
    <t xml:space="preserve">Divisória cega tipo naval, acabamento em laminado fenólico melamínico, com espessura de 3,5 cm</t>
  </si>
  <si>
    <t xml:space="preserve">3.7</t>
  </si>
  <si>
    <t xml:space="preserve">Porta para divisória, dim. 820 x 2110 x 35mm, Naval ou similar - Rev. 01</t>
  </si>
  <si>
    <t xml:space="preserve">UNID</t>
  </si>
  <si>
    <t xml:space="preserve">3.8</t>
  </si>
  <si>
    <r>
      <rPr>
        <sz val="8"/>
        <rFont val="Arial"/>
        <family val="1"/>
        <charset val="1"/>
      </rPr>
      <t xml:space="preserve">INSTALAÇÃO DE VIDRO LISO INCOLOR, E = 3 MM, EM ESQUADRIA DE ALUMÍNIO OU PVC, FIXADO COM BAGUETE. AF_01/2021_PS -</t>
    </r>
    <r>
      <rPr>
        <sz val="8"/>
        <color rgb="FFFF0000"/>
        <rFont val="Arial"/>
        <family val="2"/>
        <charset val="1"/>
      </rPr>
      <t xml:space="preserve"> Valor sem vidro (reaproveitado).</t>
    </r>
  </si>
  <si>
    <t xml:space="preserve">Pintura Departamento de Computação</t>
  </si>
  <si>
    <t xml:space="preserve">3.9</t>
  </si>
  <si>
    <t xml:space="preserve">PINTURA DE PISO COM TINTA ACRÍLICA, APLICAÇÃO MANUAL, 2 DEMÃOS, INCLUSO FUNDO PREPARADOR. AF_05/2021</t>
  </si>
  <si>
    <t xml:space="preserve">3.10</t>
  </si>
  <si>
    <t xml:space="preserve"> 88489 </t>
  </si>
  <si>
    <t xml:space="preserve">APLICAÇÃO MANUAL DE PINTURA COM TINTA LÁTEX ACRÍLICA EM PAREDES, DUAS DEMÃOS. AF_06/2014</t>
  </si>
  <si>
    <t xml:space="preserve">3.11</t>
  </si>
  <si>
    <t xml:space="preserve">PINTURA COM TINTA ALQUÍDICA DE ACABAMENTO (ESMALTE SINTÉTICO BRILHANTE) APLICADA A ROLO OU PINCEL SOBRE SUPERFÍCIES METÁLICAS (EXCETO PERFIL) EXECUTADO EM OBRA (POR DEMÃO). AF_01/2020</t>
  </si>
  <si>
    <t xml:space="preserve">3.12</t>
  </si>
  <si>
    <t xml:space="preserve">PINTURA VERNIZ (INCOLOR) ALQUÍDICO EM MADEIRA, USO INTERNO E EXTERNO, 2 DEMÃOS.AF_01/2021</t>
  </si>
  <si>
    <t xml:space="preserve">3.13</t>
  </si>
  <si>
    <t xml:space="preserve">APLICAÇÃO DE FUNDO SELADOR ACRÍLICO EM PAREDES, UMA DEMÃO. AF_06/2014</t>
  </si>
  <si>
    <t xml:space="preserve">Instalação de vidros - Planilha</t>
  </si>
  <si>
    <t xml:space="preserve">3.31</t>
  </si>
  <si>
    <t xml:space="preserve">INSTALAÇÃO DE VIDRO LISO INCOLOR, E = 3 MM, EM ESQUADRIA DE ALUMÍNIO OU PVC, FIXADO COM BAGUETE. AF_01/2021_PS</t>
  </si>
  <si>
    <t xml:space="preserve">TOTAL DO SERVIÇO - R$</t>
  </si>
  <si>
    <r>
      <rPr>
        <sz val="8"/>
        <color rgb="FF000000"/>
        <rFont val="Arial"/>
        <family val="2"/>
        <charset val="1"/>
      </rP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 val="true"/>
        <sz val="8"/>
        <color rgb="FFFF0000"/>
        <rFont val="Arial"/>
        <family val="2"/>
        <charset val="1"/>
      </rPr>
      <t xml:space="preserve">SINAPI São Paulo (mês 05/2024) </t>
    </r>
    <r>
      <rPr>
        <sz val="8"/>
        <color rgb="FF000000"/>
        <rFont val="Arial"/>
        <family val="2"/>
        <charset val="1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</si>
  <si>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 xml:space="preserve">APROVAÇÃO DO ORÇAMENTO</t>
  </si>
  <si>
    <t xml:space="preserve">Ordem Serviço Eletrônica</t>
  </si>
  <si>
    <t xml:space="preserve">APROVAÇÃO ORÇAMENTO</t>
  </si>
  <si>
    <t xml:space="preserve"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</si>
  <si>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</si>
  <si>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</si>
  <si>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</si>
  <si>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</si>
  <si>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</si>
  <si>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</si>
  <si>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 xml:space="preserve">Vidro 3mm</t>
  </si>
  <si>
    <t xml:space="preserve">Local</t>
  </si>
  <si>
    <t xml:space="preserve">Quant.</t>
  </si>
  <si>
    <t xml:space="preserve">largura (cm)</t>
  </si>
  <si>
    <t xml:space="preserve">Comprimento (Cm)</t>
  </si>
  <si>
    <t xml:space="preserve">FISICA</t>
  </si>
  <si>
    <t xml:space="preserve">AT2 (31/41)</t>
  </si>
  <si>
    <t xml:space="preserve">DCAM</t>
  </si>
  <si>
    <t xml:space="preserve">PSICO</t>
  </si>
  <si>
    <t xml:space="preserve">CENTRO/CHAVEIRO</t>
  </si>
  <si>
    <t xml:space="preserve">DAC</t>
  </si>
  <si>
    <t xml:space="preserve">DGERO</t>
  </si>
  <si>
    <t xml:space="preserve">total m²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</si>
</sst>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R$ &quot;* #,##0.00_-;&quot;-R$ &quot;* #,##0.00_-;_-&quot;R$ &quot;* \-??_-;_-@_-"/>
    <numFmt numFmtId="166" formatCode="#,##0.00"/>
    <numFmt numFmtId="167" formatCode="#,##0.0000"/>
    <numFmt numFmtId="168" formatCode="0.00"/>
    <numFmt numFmtId="169" formatCode="#,##0.000"/>
    <numFmt numFmtId="170" formatCode="_-* #,##0.00_-;\-* #,##0.00_-;_-* \-??_-;_-@_-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name val="Arial"/>
      <family val="1"/>
      <charset val="1"/>
    </font>
    <font>
      <sz val="8"/>
      <color rgb="FF000000"/>
      <name val="Arial"/>
      <family val="2"/>
      <charset val="1"/>
    </font>
    <font>
      <b val="true"/>
      <sz val="8"/>
      <color rgb="FF3F3F3F"/>
      <name val="Arial"/>
      <family val="2"/>
      <charset val="1"/>
    </font>
    <font>
      <b val="true"/>
      <sz val="11"/>
      <color rgb="FF3F3F3F"/>
      <name val="Calibri"/>
      <family val="2"/>
      <charset val="1"/>
    </font>
    <font>
      <sz val="8"/>
      <color rgb="FF3F3F3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8"/>
      <color rgb="FF5B9BD5"/>
      <name val="Arial"/>
      <family val="2"/>
      <charset val="1"/>
    </font>
    <font>
      <sz val="8"/>
      <color rgb="FFC9211E"/>
      <name val="Arial"/>
      <family val="2"/>
      <charset val="1"/>
    </font>
    <font>
      <sz val="8"/>
      <color rgb="FF333333"/>
      <name val="Arial"/>
      <family val="2"/>
      <charset val="1"/>
    </font>
    <font>
      <sz val="8"/>
      <color rgb="FF0000FF"/>
      <name val="Arial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color rgb="FFC9211E"/>
      <name val="Calibri"/>
      <family val="2"/>
      <charset val="1"/>
    </font>
    <font>
      <sz val="8"/>
      <name val="Arial"/>
      <family val="1"/>
      <charset val="1"/>
    </font>
    <font>
      <b val="true"/>
      <sz val="8"/>
      <color rgb="FF5B9BD5"/>
      <name val="Arial"/>
      <family val="1"/>
      <charset val="1"/>
    </font>
    <font>
      <b val="true"/>
      <sz val="8"/>
      <color rgb="FFFF0000"/>
      <name val="Arial"/>
      <family val="1"/>
      <charset val="1"/>
    </font>
    <font>
      <sz val="8"/>
      <color rgb="FF000000"/>
      <name val="Arial"/>
      <family val="1"/>
      <charset val="1"/>
    </font>
    <font>
      <sz val="8"/>
      <color rgb="FFC9211E"/>
      <name val="Arial"/>
      <family val="1"/>
      <charset val="1"/>
    </font>
    <font>
      <b val="true"/>
      <sz val="8"/>
      <color rgb="FF3F3F3F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>
        <color rgb="FF3F3F3F"/>
      </left>
      <right style="medium"/>
      <top style="medium"/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>
        <color rgb="FF3F3F3F"/>
      </right>
      <top style="thin">
        <color rgb="FF3F3F3F"/>
      </top>
      <bottom/>
      <diagonal/>
    </border>
    <border diagonalUp="false" diagonalDown="false">
      <left style="thin">
        <color rgb="FF3F3F3F"/>
      </left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/>
      <diagonal/>
    </border>
    <border diagonalUp="false" diagonalDown="false">
      <left style="medium"/>
      <right/>
      <top style="thin">
        <color rgb="FF3F3F3F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1" applyFont="true" applyBorder="true" applyAlignment="true" applyProtection="false">
      <alignment horizontal="general" vertical="bottom" textRotation="0" wrapText="false" indent="0" shrinkToFit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4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4" xfId="2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9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6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15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6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5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0" borderId="6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6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2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32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3" xfId="2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4" xfId="2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28" xfId="25" applyFont="true" applyBorder="true" applyAlignment="true" applyProtection="true">
      <alignment horizontal="left" vertical="center" textRotation="90" wrapText="tru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 2" xfId="21"/>
    <cellStyle name="Moeda 2" xfId="22"/>
    <cellStyle name="Normal 2" xfId="23"/>
    <cellStyle name="Normal 3" xfId="24"/>
    <cellStyle name="Excel Built-in Output" xfId="25"/>
    <cellStyle name="Excel Built-in Explanatory Text" xfId="26"/>
    <cellStyle name="*unknown*" xfId="20" builtinId="8"/>
    <cellStyle name="Excel Built-in Output 3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C9211E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2042640</xdr:colOff>
      <xdr:row>1</xdr:row>
      <xdr:rowOff>96840</xdr:rowOff>
    </xdr:from>
    <xdr:to>
      <xdr:col>4</xdr:col>
      <xdr:colOff>2990880</xdr:colOff>
      <xdr:row>4</xdr:row>
      <xdr:rowOff>178560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023440" y="306360"/>
          <a:ext cx="948240" cy="710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anivaldo/Downloads/2022/10%20Outubro/Notas%20Fiscais/NF%20516064%20Jabu%20SA.pdf" TargetMode="External"/><Relationship Id="rId2" Type="http://schemas.openxmlformats.org/officeDocument/2006/relationships/hyperlink" Target="../08%20Ago/2022/10%20Outubro/Notas%20Fiscais/NF%20516064%20Jabu%20SA.pdf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3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N99" activeCellId="0" sqref="N99"/>
    </sheetView>
  </sheetViews>
  <sheetFormatPr defaultColWidth="8.6953125" defaultRowHeight="15" zeroHeight="false" outlineLevelRow="0" outlineLevelCol="0"/>
  <cols>
    <col collapsed="false" customWidth="true" hidden="false" outlineLevel="0" max="3" min="2" style="0" width="10.71"/>
    <col collapsed="false" customWidth="true" hidden="false" outlineLevel="0" max="4" min="4" style="0" width="12.14"/>
    <col collapsed="false" customWidth="true" hidden="false" outlineLevel="0" max="5" min="5" style="0" width="66.57"/>
    <col collapsed="false" customWidth="true" hidden="false" outlineLevel="0" max="6" min="6" style="0" width="6.42"/>
    <col collapsed="false" customWidth="true" hidden="false" outlineLevel="0" max="8" min="8" style="0" width="23.71"/>
    <col collapsed="false" customWidth="true" hidden="false" outlineLevel="0" max="9" min="9" style="0" width="12.42"/>
    <col collapsed="false" customWidth="true" hidden="false" outlineLevel="0" max="10" min="10" style="0" width="19"/>
    <col collapsed="false" customWidth="true" hidden="false" outlineLevel="0" max="11" min="11" style="0" width="18.85"/>
    <col collapsed="false" customWidth="true" hidden="false" outlineLevel="0" max="12" min="12" style="0" width="29.29"/>
    <col collapsed="false" customWidth="true" hidden="false" outlineLevel="0" max="13" min="13" style="0" width="18"/>
    <col collapsed="false" customWidth="true" hidden="false" outlineLevel="0" max="14" min="14" style="0" width="10.71"/>
    <col collapsed="false" customWidth="true" hidden="false" outlineLevel="0" max="15" min="15" style="0" width="4.71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3" t="s">
        <v>2</v>
      </c>
      <c r="K2" s="3"/>
      <c r="L2" s="3"/>
      <c r="M2" s="3"/>
      <c r="N2" s="3"/>
      <c r="O2" s="3"/>
    </row>
    <row r="3" customFormat="false" ht="16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4" t="s">
        <v>3</v>
      </c>
      <c r="K3" s="4"/>
      <c r="L3" s="4"/>
      <c r="M3" s="4" t="s">
        <v>4</v>
      </c>
      <c r="N3" s="4"/>
      <c r="O3" s="5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4" t="s">
        <v>5</v>
      </c>
      <c r="K4" s="4"/>
      <c r="L4" s="4"/>
      <c r="M4" s="4" t="s">
        <v>6</v>
      </c>
      <c r="N4" s="4"/>
      <c r="O4" s="6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4" t="s">
        <v>7</v>
      </c>
      <c r="K5" s="4"/>
      <c r="L5" s="4"/>
      <c r="M5" s="4" t="s">
        <v>8</v>
      </c>
      <c r="N5" s="4"/>
      <c r="O5" s="5"/>
    </row>
    <row r="6" customFormat="false" ht="16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4" t="s">
        <v>9</v>
      </c>
      <c r="K6" s="4"/>
      <c r="L6" s="4"/>
      <c r="M6" s="4" t="s">
        <v>10</v>
      </c>
      <c r="N6" s="4"/>
      <c r="O6" s="5"/>
    </row>
    <row r="7" customFormat="false" ht="16.5" hidden="false" customHeight="true" outlineLevel="0" collapsed="false">
      <c r="A7" s="7" t="s">
        <v>11</v>
      </c>
      <c r="B7" s="7"/>
      <c r="C7" s="7"/>
      <c r="D7" s="7"/>
      <c r="E7" s="7"/>
      <c r="F7" s="7"/>
      <c r="G7" s="7"/>
      <c r="H7" s="7"/>
      <c r="I7" s="7"/>
      <c r="J7" s="8" t="s">
        <v>12</v>
      </c>
      <c r="K7" s="8"/>
      <c r="L7" s="8"/>
      <c r="M7" s="8"/>
      <c r="N7" s="8"/>
      <c r="O7" s="9" t="s">
        <v>13</v>
      </c>
    </row>
    <row r="8" customFormat="false" ht="16.5" hidden="false" customHeight="true" outlineLevel="0" collapsed="false">
      <c r="A8" s="10" t="s">
        <v>14</v>
      </c>
      <c r="B8" s="10"/>
      <c r="C8" s="10"/>
      <c r="D8" s="10"/>
      <c r="E8" s="10"/>
      <c r="F8" s="10"/>
      <c r="G8" s="10"/>
      <c r="H8" s="10"/>
      <c r="I8" s="10"/>
      <c r="J8" s="8" t="s">
        <v>15</v>
      </c>
      <c r="K8" s="8"/>
      <c r="L8" s="8"/>
      <c r="M8" s="8"/>
      <c r="N8" s="8"/>
      <c r="O8" s="9"/>
    </row>
    <row r="9" customFormat="false" ht="16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8" t="s">
        <v>16</v>
      </c>
      <c r="K9" s="8"/>
      <c r="L9" s="8"/>
      <c r="M9" s="8"/>
      <c r="N9" s="8"/>
      <c r="O9" s="9"/>
    </row>
    <row r="10" customFormat="false" ht="16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8" t="s">
        <v>17</v>
      </c>
      <c r="K10" s="8"/>
      <c r="L10" s="8"/>
      <c r="M10" s="8"/>
      <c r="N10" s="8"/>
      <c r="O10" s="9"/>
    </row>
    <row r="11" customFormat="false" ht="16.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8" t="s">
        <v>18</v>
      </c>
      <c r="K11" s="8"/>
      <c r="L11" s="8"/>
      <c r="M11" s="8"/>
      <c r="N11" s="8"/>
      <c r="O11" s="9"/>
    </row>
    <row r="12" customFormat="false" ht="16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8" t="s">
        <v>19</v>
      </c>
      <c r="K12" s="8"/>
      <c r="L12" s="8"/>
      <c r="M12" s="8"/>
      <c r="N12" s="8"/>
      <c r="O12" s="9"/>
    </row>
    <row r="13" customFormat="false" ht="16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8" t="s">
        <v>20</v>
      </c>
      <c r="K13" s="8"/>
      <c r="L13" s="8"/>
      <c r="M13" s="8"/>
      <c r="N13" s="8"/>
      <c r="O13" s="9"/>
    </row>
    <row r="14" customFormat="false" ht="16.5" hidden="false" customHeight="true" outlineLevel="0" collapsed="false">
      <c r="A14" s="11" t="s">
        <v>21</v>
      </c>
      <c r="B14" s="12" t="s">
        <v>22</v>
      </c>
      <c r="C14" s="12" t="s">
        <v>23</v>
      </c>
      <c r="D14" s="12" t="s">
        <v>24</v>
      </c>
      <c r="E14" s="12" t="s">
        <v>25</v>
      </c>
      <c r="F14" s="12" t="s">
        <v>26</v>
      </c>
      <c r="G14" s="12" t="s">
        <v>27</v>
      </c>
      <c r="H14" s="13" t="s">
        <v>28</v>
      </c>
      <c r="I14" s="13"/>
      <c r="J14" s="13"/>
      <c r="K14" s="13"/>
      <c r="L14" s="13"/>
      <c r="M14" s="12" t="s">
        <v>29</v>
      </c>
      <c r="N14" s="12" t="s">
        <v>30</v>
      </c>
      <c r="O14" s="9" t="s">
        <v>31</v>
      </c>
    </row>
    <row r="15" customFormat="false" ht="16.5" hidden="false" customHeight="true" outlineLevel="0" collapsed="false">
      <c r="A15" s="11"/>
      <c r="B15" s="12"/>
      <c r="C15" s="12"/>
      <c r="D15" s="12"/>
      <c r="E15" s="12"/>
      <c r="F15" s="12"/>
      <c r="G15" s="12"/>
      <c r="H15" s="12" t="s">
        <v>32</v>
      </c>
      <c r="I15" s="14" t="s">
        <v>33</v>
      </c>
      <c r="J15" s="12" t="s">
        <v>34</v>
      </c>
      <c r="K15" s="14" t="s">
        <v>35</v>
      </c>
      <c r="L15" s="12" t="s">
        <v>36</v>
      </c>
      <c r="M15" s="12"/>
      <c r="N15" s="12"/>
      <c r="O15" s="9"/>
    </row>
    <row r="16" customFormat="false" ht="16.5" hidden="false" customHeight="true" outlineLevel="0" collapsed="false">
      <c r="A16" s="15" t="n">
        <v>1</v>
      </c>
      <c r="B16" s="16"/>
      <c r="C16" s="17"/>
      <c r="D16" s="17"/>
      <c r="E16" s="18" t="s">
        <v>37</v>
      </c>
      <c r="F16" s="19"/>
      <c r="G16" s="19"/>
      <c r="H16" s="19"/>
      <c r="I16" s="19"/>
      <c r="J16" s="19"/>
      <c r="K16" s="19"/>
      <c r="L16" s="19"/>
      <c r="M16" s="20" t="n">
        <f aca="false">SUM(M17:M28)</f>
        <v>87184.3639378712</v>
      </c>
      <c r="N16" s="21" t="n">
        <f aca="false">SUM(N17:N28)</f>
        <v>1</v>
      </c>
      <c r="O16" s="9"/>
    </row>
    <row r="17" customFormat="false" ht="26.25" hidden="false" customHeight="true" outlineLevel="0" collapsed="false">
      <c r="A17" s="22" t="s">
        <v>38</v>
      </c>
      <c r="B17" s="22" t="s">
        <v>39</v>
      </c>
      <c r="C17" s="23" t="n">
        <v>90776</v>
      </c>
      <c r="D17" s="23" t="s">
        <v>40</v>
      </c>
      <c r="E17" s="24" t="s">
        <v>41</v>
      </c>
      <c r="F17" s="25" t="s">
        <v>42</v>
      </c>
      <c r="G17" s="22" t="n">
        <v>205</v>
      </c>
      <c r="H17" s="26" t="n">
        <v>47.89</v>
      </c>
      <c r="I17" s="27" t="n">
        <f aca="false">H17*0.2232</f>
        <v>10.689048</v>
      </c>
      <c r="J17" s="27" t="n">
        <f aca="false">H17+I17</f>
        <v>58.579048</v>
      </c>
      <c r="K17" s="27" t="n">
        <f aca="false">J17*(0.03%)</f>
        <v>0.0175737144</v>
      </c>
      <c r="L17" s="27" t="n">
        <f aca="false">J17-K17</f>
        <v>58.5614742856</v>
      </c>
      <c r="M17" s="27" t="n">
        <f aca="false">L17*G17</f>
        <v>12005.102228548</v>
      </c>
      <c r="N17" s="27" t="n">
        <f aca="false">M17/M$16</f>
        <v>0.137697881664917</v>
      </c>
      <c r="O17" s="9"/>
    </row>
    <row r="18" customFormat="false" ht="26.25" hidden="false" customHeight="true" outlineLevel="0" collapsed="false">
      <c r="A18" s="22" t="s">
        <v>43</v>
      </c>
      <c r="B18" s="22" t="s">
        <v>39</v>
      </c>
      <c r="C18" s="23" t="n">
        <v>88267</v>
      </c>
      <c r="D18" s="23" t="s">
        <v>40</v>
      </c>
      <c r="E18" s="24" t="s">
        <v>44</v>
      </c>
      <c r="F18" s="25" t="s">
        <v>42</v>
      </c>
      <c r="G18" s="22" t="n">
        <v>198</v>
      </c>
      <c r="H18" s="26" t="n">
        <v>36.11</v>
      </c>
      <c r="I18" s="27" t="n">
        <f aca="false">H18*0.2232</f>
        <v>8.059752</v>
      </c>
      <c r="J18" s="27" t="n">
        <f aca="false">H18+I18</f>
        <v>44.169752</v>
      </c>
      <c r="K18" s="27" t="n">
        <f aca="false">J18*(0.03%)</f>
        <v>0.0132509256</v>
      </c>
      <c r="L18" s="27" t="n">
        <f aca="false">J18-K18</f>
        <v>44.1565010744</v>
      </c>
      <c r="M18" s="27" t="n">
        <f aca="false">L18*G18</f>
        <v>8742.9872127312</v>
      </c>
      <c r="N18" s="27" t="n">
        <f aca="false">M18/M$16</f>
        <v>0.100281596582635</v>
      </c>
      <c r="O18" s="9"/>
    </row>
    <row r="19" customFormat="false" ht="26.25" hidden="false" customHeight="true" outlineLevel="0" collapsed="false">
      <c r="A19" s="22" t="s">
        <v>45</v>
      </c>
      <c r="B19" s="22" t="s">
        <v>39</v>
      </c>
      <c r="C19" s="23" t="s">
        <v>46</v>
      </c>
      <c r="D19" s="23" t="s">
        <v>40</v>
      </c>
      <c r="E19" s="24" t="s">
        <v>44</v>
      </c>
      <c r="F19" s="25" t="s">
        <v>42</v>
      </c>
      <c r="G19" s="22" t="n">
        <v>180</v>
      </c>
      <c r="H19" s="26" t="n">
        <v>36.11</v>
      </c>
      <c r="I19" s="27" t="n">
        <f aca="false">H19*0.2232</f>
        <v>8.059752</v>
      </c>
      <c r="J19" s="27" t="n">
        <f aca="false">H19+I19</f>
        <v>44.169752</v>
      </c>
      <c r="K19" s="27" t="n">
        <f aca="false">J19*(0.03%)</f>
        <v>0.0132509256</v>
      </c>
      <c r="L19" s="27" t="n">
        <f aca="false">J19-K19</f>
        <v>44.1565010744</v>
      </c>
      <c r="M19" s="27" t="n">
        <f aca="false">L19*G19</f>
        <v>7948.170193392</v>
      </c>
      <c r="N19" s="27" t="n">
        <f aca="false">M19/M$16</f>
        <v>0.0911650878023952</v>
      </c>
      <c r="O19" s="9"/>
    </row>
    <row r="20" customFormat="false" ht="26.25" hidden="false" customHeight="true" outlineLevel="0" collapsed="false">
      <c r="A20" s="22" t="s">
        <v>47</v>
      </c>
      <c r="B20" s="22" t="s">
        <v>39</v>
      </c>
      <c r="C20" s="23" t="n">
        <v>88248</v>
      </c>
      <c r="D20" s="23" t="s">
        <v>40</v>
      </c>
      <c r="E20" s="24" t="s">
        <v>48</v>
      </c>
      <c r="F20" s="25" t="s">
        <v>42</v>
      </c>
      <c r="G20" s="22" t="n">
        <v>180</v>
      </c>
      <c r="H20" s="26" t="n">
        <v>29.77</v>
      </c>
      <c r="I20" s="27" t="n">
        <f aca="false">H20*0.2232</f>
        <v>6.644664</v>
      </c>
      <c r="J20" s="27" t="n">
        <f aca="false">H20+I20</f>
        <v>36.414664</v>
      </c>
      <c r="K20" s="27" t="n">
        <f aca="false">J20*(0.03%)</f>
        <v>0.0109243992</v>
      </c>
      <c r="L20" s="27" t="n">
        <f aca="false">J20-K20</f>
        <v>36.4037396008</v>
      </c>
      <c r="M20" s="27" t="n">
        <f aca="false">L20*G20</f>
        <v>6552.673128144</v>
      </c>
      <c r="N20" s="27" t="n">
        <f aca="false">M20/M$16</f>
        <v>0.0751588109630934</v>
      </c>
      <c r="O20" s="9"/>
    </row>
    <row r="21" customFormat="false" ht="26.25" hidden="false" customHeight="true" outlineLevel="0" collapsed="false">
      <c r="A21" s="22" t="s">
        <v>49</v>
      </c>
      <c r="B21" s="22" t="s">
        <v>39</v>
      </c>
      <c r="C21" s="23" t="s">
        <v>50</v>
      </c>
      <c r="D21" s="23" t="s">
        <v>40</v>
      </c>
      <c r="E21" s="24" t="s">
        <v>48</v>
      </c>
      <c r="F21" s="25" t="s">
        <v>42</v>
      </c>
      <c r="G21" s="22" t="n">
        <v>180</v>
      </c>
      <c r="H21" s="26" t="n">
        <v>29.77</v>
      </c>
      <c r="I21" s="27" t="n">
        <f aca="false">H21*0.2232</f>
        <v>6.644664</v>
      </c>
      <c r="J21" s="27" t="n">
        <f aca="false">H21+I21</f>
        <v>36.414664</v>
      </c>
      <c r="K21" s="27" t="n">
        <f aca="false">J21*(0.03%)</f>
        <v>0.0109243992</v>
      </c>
      <c r="L21" s="27" t="n">
        <f aca="false">J21-K21</f>
        <v>36.4037396008</v>
      </c>
      <c r="M21" s="27" t="n">
        <f aca="false">L21*G21</f>
        <v>6552.673128144</v>
      </c>
      <c r="N21" s="27" t="n">
        <f aca="false">M21/M$16</f>
        <v>0.0751588109630934</v>
      </c>
      <c r="O21" s="9"/>
    </row>
    <row r="22" customFormat="false" ht="26.25" hidden="false" customHeight="true" outlineLevel="0" collapsed="false">
      <c r="A22" s="22" t="s">
        <v>51</v>
      </c>
      <c r="B22" s="22" t="s">
        <v>39</v>
      </c>
      <c r="C22" s="23" t="n">
        <v>88309</v>
      </c>
      <c r="D22" s="23" t="s">
        <v>40</v>
      </c>
      <c r="E22" s="24" t="s">
        <v>52</v>
      </c>
      <c r="F22" s="25" t="s">
        <v>42</v>
      </c>
      <c r="G22" s="22" t="n">
        <v>180</v>
      </c>
      <c r="H22" s="26" t="n">
        <v>32.57</v>
      </c>
      <c r="I22" s="27" t="n">
        <f aca="false">H22*0.2232</f>
        <v>7.269624</v>
      </c>
      <c r="J22" s="27" t="n">
        <f aca="false">H22+I22</f>
        <v>39.839624</v>
      </c>
      <c r="K22" s="27" t="n">
        <f aca="false">J22*(0.03%)</f>
        <v>0.0119518872</v>
      </c>
      <c r="L22" s="27" t="n">
        <f aca="false">J22-K22</f>
        <v>39.8276721128</v>
      </c>
      <c r="M22" s="27" t="n">
        <f aca="false">L22*G22</f>
        <v>7168.980980304</v>
      </c>
      <c r="N22" s="27" t="n">
        <f aca="false">M22/M$16</f>
        <v>0.0822278291255611</v>
      </c>
      <c r="O22" s="9"/>
    </row>
    <row r="23" customFormat="false" ht="26.25" hidden="false" customHeight="true" outlineLevel="0" collapsed="false">
      <c r="A23" s="22" t="s">
        <v>53</v>
      </c>
      <c r="B23" s="22" t="s">
        <v>39</v>
      </c>
      <c r="C23" s="23" t="s">
        <v>54</v>
      </c>
      <c r="D23" s="23" t="s">
        <v>40</v>
      </c>
      <c r="E23" s="24" t="s">
        <v>52</v>
      </c>
      <c r="F23" s="25" t="s">
        <v>42</v>
      </c>
      <c r="G23" s="22" t="n">
        <v>180</v>
      </c>
      <c r="H23" s="26" t="n">
        <v>32.57</v>
      </c>
      <c r="I23" s="27" t="n">
        <f aca="false">H23*0.2232</f>
        <v>7.269624</v>
      </c>
      <c r="J23" s="27" t="n">
        <f aca="false">H23+I23</f>
        <v>39.839624</v>
      </c>
      <c r="K23" s="27" t="n">
        <f aca="false">J23*(0.03%)</f>
        <v>0.0119518872</v>
      </c>
      <c r="L23" s="27" t="n">
        <f aca="false">J23-K23</f>
        <v>39.8276721128</v>
      </c>
      <c r="M23" s="27" t="n">
        <f aca="false">L23*G23</f>
        <v>7168.980980304</v>
      </c>
      <c r="N23" s="27" t="n">
        <f aca="false">M23/M$16</f>
        <v>0.0822278291255611</v>
      </c>
      <c r="O23" s="9"/>
    </row>
    <row r="24" customFormat="false" ht="26.25" hidden="false" customHeight="true" outlineLevel="0" collapsed="false">
      <c r="A24" s="22" t="s">
        <v>55</v>
      </c>
      <c r="B24" s="22" t="s">
        <v>39</v>
      </c>
      <c r="C24" s="23" t="n">
        <v>88242</v>
      </c>
      <c r="D24" s="23" t="s">
        <v>40</v>
      </c>
      <c r="E24" s="24" t="s">
        <v>56</v>
      </c>
      <c r="F24" s="25" t="s">
        <v>42</v>
      </c>
      <c r="G24" s="22" t="n">
        <v>180</v>
      </c>
      <c r="H24" s="26" t="n">
        <v>30.38</v>
      </c>
      <c r="I24" s="27" t="n">
        <f aca="false">H24*0.2232</f>
        <v>6.780816</v>
      </c>
      <c r="J24" s="27" t="n">
        <f aca="false">H24+I24</f>
        <v>37.160816</v>
      </c>
      <c r="K24" s="27" t="n">
        <f aca="false">J24*(0.03%)</f>
        <v>0.0111482448</v>
      </c>
      <c r="L24" s="27" t="n">
        <f aca="false">J24-K24</f>
        <v>37.1496677552</v>
      </c>
      <c r="M24" s="27" t="n">
        <f aca="false">L24*G24</f>
        <v>6686.940195936</v>
      </c>
      <c r="N24" s="27" t="n">
        <f aca="false">M24/M$16</f>
        <v>0.0766988470627739</v>
      </c>
      <c r="O24" s="9"/>
    </row>
    <row r="25" customFormat="false" ht="26.25" hidden="false" customHeight="true" outlineLevel="0" collapsed="false">
      <c r="A25" s="22" t="s">
        <v>57</v>
      </c>
      <c r="B25" s="22" t="s">
        <v>39</v>
      </c>
      <c r="C25" s="23" t="s">
        <v>58</v>
      </c>
      <c r="D25" s="23" t="s">
        <v>40</v>
      </c>
      <c r="E25" s="24" t="s">
        <v>56</v>
      </c>
      <c r="F25" s="25" t="s">
        <v>42</v>
      </c>
      <c r="G25" s="22" t="n">
        <v>180</v>
      </c>
      <c r="H25" s="26" t="n">
        <v>30.38</v>
      </c>
      <c r="I25" s="27" t="n">
        <f aca="false">H25*0.2232</f>
        <v>6.780816</v>
      </c>
      <c r="J25" s="27" t="n">
        <f aca="false">H25+I25</f>
        <v>37.160816</v>
      </c>
      <c r="K25" s="27" t="n">
        <f aca="false">J25*(0.03%)</f>
        <v>0.0111482448</v>
      </c>
      <c r="L25" s="27" t="n">
        <f aca="false">J25-K25</f>
        <v>37.1496677552</v>
      </c>
      <c r="M25" s="27" t="n">
        <f aca="false">L25*G25</f>
        <v>6686.940195936</v>
      </c>
      <c r="N25" s="27" t="n">
        <f aca="false">M25/M$16</f>
        <v>0.0766988470627739</v>
      </c>
      <c r="O25" s="9"/>
    </row>
    <row r="26" customFormat="false" ht="26.25" hidden="false" customHeight="true" outlineLevel="0" collapsed="false">
      <c r="A26" s="22" t="s">
        <v>59</v>
      </c>
      <c r="B26" s="22" t="s">
        <v>39</v>
      </c>
      <c r="C26" s="23" t="s">
        <v>58</v>
      </c>
      <c r="D26" s="23" t="s">
        <v>40</v>
      </c>
      <c r="E26" s="24" t="s">
        <v>56</v>
      </c>
      <c r="F26" s="25" t="s">
        <v>42</v>
      </c>
      <c r="G26" s="22" t="n">
        <v>180</v>
      </c>
      <c r="H26" s="26" t="n">
        <v>30.38</v>
      </c>
      <c r="I26" s="27" t="n">
        <f aca="false">H26*0.2232</f>
        <v>6.780816</v>
      </c>
      <c r="J26" s="27" t="n">
        <f aca="false">H26+I26</f>
        <v>37.160816</v>
      </c>
      <c r="K26" s="27" t="n">
        <f aca="false">J26*(0.03%)</f>
        <v>0.0111482448</v>
      </c>
      <c r="L26" s="27" t="n">
        <f aca="false">J26-K26</f>
        <v>37.1496677552</v>
      </c>
      <c r="M26" s="27" t="n">
        <f aca="false">L26*G26</f>
        <v>6686.940195936</v>
      </c>
      <c r="N26" s="27" t="n">
        <f aca="false">M26/M$16</f>
        <v>0.0766988470627739</v>
      </c>
      <c r="O26" s="9"/>
    </row>
    <row r="27" customFormat="false" ht="26.25" hidden="false" customHeight="true" outlineLevel="0" collapsed="false">
      <c r="A27" s="22" t="s">
        <v>60</v>
      </c>
      <c r="B27" s="22" t="s">
        <v>39</v>
      </c>
      <c r="C27" s="23" t="n">
        <v>88241</v>
      </c>
      <c r="D27" s="23" t="s">
        <v>40</v>
      </c>
      <c r="E27" s="24" t="s">
        <v>61</v>
      </c>
      <c r="F27" s="25" t="s">
        <v>42</v>
      </c>
      <c r="G27" s="22" t="n">
        <v>144</v>
      </c>
      <c r="H27" s="26" t="n">
        <v>28.07</v>
      </c>
      <c r="I27" s="27" t="n">
        <f aca="false">H27*0.2232</f>
        <v>6.265224</v>
      </c>
      <c r="J27" s="27" t="n">
        <f aca="false">H27+I27</f>
        <v>34.335224</v>
      </c>
      <c r="K27" s="27" t="n">
        <f aca="false">J27*(0.03%)</f>
        <v>0.0103005672</v>
      </c>
      <c r="L27" s="27" t="n">
        <f aca="false">J27-K27</f>
        <v>34.3249234328</v>
      </c>
      <c r="M27" s="27" t="n">
        <f aca="false">L27*G27</f>
        <v>4942.7889743232</v>
      </c>
      <c r="N27" s="27" t="n">
        <f aca="false">M27/M$16</f>
        <v>0.0566935256629905</v>
      </c>
      <c r="O27" s="9"/>
    </row>
    <row r="28" customFormat="false" ht="26.25" hidden="false" customHeight="true" outlineLevel="0" collapsed="false">
      <c r="A28" s="22" t="s">
        <v>62</v>
      </c>
      <c r="B28" s="22" t="s">
        <v>39</v>
      </c>
      <c r="C28" s="23" t="s">
        <v>63</v>
      </c>
      <c r="D28" s="23" t="s">
        <v>40</v>
      </c>
      <c r="E28" s="24" t="s">
        <v>61</v>
      </c>
      <c r="F28" s="25" t="s">
        <v>42</v>
      </c>
      <c r="G28" s="28" t="n">
        <v>176</v>
      </c>
      <c r="H28" s="26" t="n">
        <v>28.07</v>
      </c>
      <c r="I28" s="27" t="n">
        <f aca="false">H28*0.2232</f>
        <v>6.265224</v>
      </c>
      <c r="J28" s="27" t="n">
        <f aca="false">H28+I28</f>
        <v>34.335224</v>
      </c>
      <c r="K28" s="27" t="n">
        <f aca="false">J28*(0.03%)</f>
        <v>0.0103005672</v>
      </c>
      <c r="L28" s="27" t="n">
        <f aca="false">J28-K28</f>
        <v>34.3249234328</v>
      </c>
      <c r="M28" s="27" t="n">
        <f aca="false">L28*G28</f>
        <v>6041.1865241728</v>
      </c>
      <c r="N28" s="27" t="n">
        <f aca="false">M28/M$16</f>
        <v>0.0692920869214328</v>
      </c>
      <c r="O28" s="9"/>
    </row>
    <row r="29" customFormat="false" ht="13.8" hidden="false" customHeight="false" outlineLevel="0" collapsed="false">
      <c r="A29" s="11" t="s">
        <v>21</v>
      </c>
      <c r="B29" s="12" t="s">
        <v>22</v>
      </c>
      <c r="C29" s="12" t="s">
        <v>23</v>
      </c>
      <c r="D29" s="12" t="s">
        <v>24</v>
      </c>
      <c r="E29" s="12" t="s">
        <v>25</v>
      </c>
      <c r="F29" s="12" t="s">
        <v>26</v>
      </c>
      <c r="G29" s="12" t="s">
        <v>27</v>
      </c>
      <c r="H29" s="13" t="s">
        <v>28</v>
      </c>
      <c r="I29" s="13"/>
      <c r="J29" s="13"/>
      <c r="K29" s="13"/>
      <c r="L29" s="13"/>
      <c r="M29" s="12" t="s">
        <v>29</v>
      </c>
      <c r="N29" s="12" t="s">
        <v>30</v>
      </c>
      <c r="O29" s="9"/>
    </row>
    <row r="30" customFormat="false" ht="16.5" hidden="false" customHeight="true" outlineLevel="0" collapsed="false">
      <c r="A30" s="11"/>
      <c r="B30" s="12"/>
      <c r="C30" s="12"/>
      <c r="D30" s="12"/>
      <c r="E30" s="12"/>
      <c r="F30" s="12"/>
      <c r="G30" s="12"/>
      <c r="H30" s="12" t="s">
        <v>32</v>
      </c>
      <c r="I30" s="29" t="s">
        <v>64</v>
      </c>
      <c r="J30" s="12" t="s">
        <v>34</v>
      </c>
      <c r="K30" s="14" t="s">
        <v>35</v>
      </c>
      <c r="L30" s="12" t="s">
        <v>36</v>
      </c>
      <c r="M30" s="12"/>
      <c r="N30" s="12"/>
      <c r="O30" s="9"/>
    </row>
    <row r="31" customFormat="false" ht="16.5" hidden="false" customHeight="true" outlineLevel="0" collapsed="false">
      <c r="A31" s="30" t="n">
        <v>2</v>
      </c>
      <c r="B31" s="31" t="s">
        <v>65</v>
      </c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3" t="n">
        <f aca="false">SUM(M32:M79)</f>
        <v>17089.082326823</v>
      </c>
      <c r="N31" s="32"/>
      <c r="O31" s="9"/>
    </row>
    <row r="32" s="39" customFormat="true" ht="17.25" hidden="false" customHeight="true" outlineLevel="0" collapsed="false">
      <c r="A32" s="34" t="s">
        <v>66</v>
      </c>
      <c r="B32" s="35" t="s">
        <v>67</v>
      </c>
      <c r="C32" s="35" t="n">
        <v>1379</v>
      </c>
      <c r="D32" s="35" t="s">
        <v>40</v>
      </c>
      <c r="E32" s="36" t="s">
        <v>68</v>
      </c>
      <c r="F32" s="35" t="s">
        <v>26</v>
      </c>
      <c r="G32" s="35" t="n">
        <v>1000</v>
      </c>
      <c r="H32" s="37" t="n">
        <v>0.6</v>
      </c>
      <c r="I32" s="27" t="n">
        <f aca="false">H32*0.1532</f>
        <v>0.09192</v>
      </c>
      <c r="J32" s="27" t="n">
        <f aca="false">H32+I32</f>
        <v>0.69192</v>
      </c>
      <c r="K32" s="27" t="n">
        <f aca="false">J32*(0.03%)</f>
        <v>0.000207576</v>
      </c>
      <c r="L32" s="27" t="n">
        <f aca="false">J32-K32</f>
        <v>0.691712424</v>
      </c>
      <c r="M32" s="27" t="n">
        <f aca="false">L32*G32</f>
        <v>691.712424</v>
      </c>
      <c r="N32" s="38" t="n">
        <f aca="false">M32/M$31</f>
        <v>0.0404768618215555</v>
      </c>
      <c r="O32" s="9"/>
    </row>
    <row r="33" s="39" customFormat="true" ht="17.25" hidden="false" customHeight="true" outlineLevel="0" collapsed="false">
      <c r="A33" s="34" t="s">
        <v>69</v>
      </c>
      <c r="B33" s="35" t="s">
        <v>67</v>
      </c>
      <c r="C33" s="35" t="n">
        <v>1381</v>
      </c>
      <c r="D33" s="35" t="s">
        <v>40</v>
      </c>
      <c r="E33" s="36" t="s">
        <v>70</v>
      </c>
      <c r="F33" s="35" t="s">
        <v>71</v>
      </c>
      <c r="G33" s="35" t="n">
        <v>20</v>
      </c>
      <c r="H33" s="37" t="n">
        <v>0.75</v>
      </c>
      <c r="I33" s="27" t="n">
        <f aca="false">H33*0.1532</f>
        <v>0.1149</v>
      </c>
      <c r="J33" s="27" t="n">
        <f aca="false">H33+I33</f>
        <v>0.8649</v>
      </c>
      <c r="K33" s="27" t="n">
        <f aca="false">J33*(0.03%)</f>
        <v>0.00025947</v>
      </c>
      <c r="L33" s="27" t="n">
        <f aca="false">J33-K33</f>
        <v>0.86464053</v>
      </c>
      <c r="M33" s="27" t="n">
        <f aca="false">L33*G33</f>
        <v>17.2928106</v>
      </c>
      <c r="N33" s="38" t="n">
        <f aca="false">M33/M$31</f>
        <v>0.00101192154553889</v>
      </c>
      <c r="O33" s="9"/>
    </row>
    <row r="34" s="39" customFormat="true" ht="17.25" hidden="false" customHeight="true" outlineLevel="0" collapsed="false">
      <c r="A34" s="34" t="s">
        <v>72</v>
      </c>
      <c r="B34" s="35" t="s">
        <v>67</v>
      </c>
      <c r="C34" s="40" t="s">
        <v>73</v>
      </c>
      <c r="D34" s="40" t="s">
        <v>74</v>
      </c>
      <c r="E34" s="41" t="s">
        <v>75</v>
      </c>
      <c r="F34" s="35" t="s">
        <v>26</v>
      </c>
      <c r="G34" s="40" t="n">
        <v>2</v>
      </c>
      <c r="H34" s="42" t="n">
        <v>427.99</v>
      </c>
      <c r="I34" s="27" t="n">
        <f aca="false">H34*0.2232</f>
        <v>95.527368</v>
      </c>
      <c r="J34" s="27" t="n">
        <f aca="false">H34+I34</f>
        <v>523.517368</v>
      </c>
      <c r="K34" s="27" t="n">
        <f aca="false">J34*(0.03%)</f>
        <v>0.1570552104</v>
      </c>
      <c r="L34" s="27" t="n">
        <f aca="false">J34-K34</f>
        <v>523.3603127896</v>
      </c>
      <c r="M34" s="27" t="n">
        <f aca="false">L34*G34</f>
        <v>1046.7206255792</v>
      </c>
      <c r="N34" s="38" t="n">
        <f aca="false">M34/M$31</f>
        <v>0.0612508387262123</v>
      </c>
      <c r="O34" s="9"/>
    </row>
    <row r="35" s="39" customFormat="true" ht="17.25" hidden="false" customHeight="true" outlineLevel="0" collapsed="false">
      <c r="A35" s="34" t="s">
        <v>76</v>
      </c>
      <c r="B35" s="35" t="s">
        <v>67</v>
      </c>
      <c r="C35" s="40" t="n">
        <v>44396</v>
      </c>
      <c r="D35" s="40" t="s">
        <v>40</v>
      </c>
      <c r="E35" s="43" t="s">
        <v>77</v>
      </c>
      <c r="F35" s="35" t="s">
        <v>71</v>
      </c>
      <c r="G35" s="40" t="n">
        <v>1</v>
      </c>
      <c r="H35" s="42" t="n">
        <v>44.82</v>
      </c>
      <c r="I35" s="44" t="n">
        <f aca="false">H35*0.1532</f>
        <v>6.866424</v>
      </c>
      <c r="J35" s="27" t="n">
        <f aca="false">H35+I35</f>
        <v>51.686424</v>
      </c>
      <c r="K35" s="27" t="n">
        <f aca="false">J35*(0.03%)</f>
        <v>0.0155059272</v>
      </c>
      <c r="L35" s="27" t="n">
        <f aca="false">J35-K35</f>
        <v>51.6709180728</v>
      </c>
      <c r="M35" s="27" t="n">
        <f aca="false">L35*G35</f>
        <v>51.6709180728</v>
      </c>
      <c r="N35" s="38" t="n">
        <f aca="false">M35/M$31</f>
        <v>0.00302362157807019</v>
      </c>
      <c r="O35" s="9"/>
    </row>
    <row r="36" s="39" customFormat="true" ht="17.25" hidden="false" customHeight="true" outlineLevel="0" collapsed="false">
      <c r="A36" s="34" t="s">
        <v>78</v>
      </c>
      <c r="B36" s="35" t="s">
        <v>67</v>
      </c>
      <c r="C36" s="23" t="n">
        <v>377</v>
      </c>
      <c r="D36" s="35" t="s">
        <v>40</v>
      </c>
      <c r="E36" s="45" t="s">
        <v>79</v>
      </c>
      <c r="F36" s="35" t="s">
        <v>26</v>
      </c>
      <c r="G36" s="35" t="n">
        <v>20</v>
      </c>
      <c r="H36" s="46" t="n">
        <v>42.5</v>
      </c>
      <c r="I36" s="27" t="n">
        <f aca="false">H36*0.1532</f>
        <v>6.511</v>
      </c>
      <c r="J36" s="27" t="n">
        <f aca="false">H36+I36</f>
        <v>49.011</v>
      </c>
      <c r="K36" s="27" t="n">
        <f aca="false">J36*(0.03%)</f>
        <v>0.0147033</v>
      </c>
      <c r="L36" s="27" t="n">
        <f aca="false">J36-K36</f>
        <v>48.9962967</v>
      </c>
      <c r="M36" s="27" t="n">
        <f aca="false">L36*G36</f>
        <v>979.925934</v>
      </c>
      <c r="N36" s="38" t="n">
        <f aca="false">M36/M$31</f>
        <v>0.0573422209138702</v>
      </c>
      <c r="O36" s="9"/>
    </row>
    <row r="37" s="39" customFormat="true" ht="17.25" hidden="false" customHeight="true" outlineLevel="0" collapsed="false">
      <c r="A37" s="34" t="s">
        <v>80</v>
      </c>
      <c r="B37" s="35" t="s">
        <v>67</v>
      </c>
      <c r="C37" s="35" t="n">
        <v>43132</v>
      </c>
      <c r="D37" s="35" t="s">
        <v>40</v>
      </c>
      <c r="E37" s="36" t="s">
        <v>81</v>
      </c>
      <c r="F37" s="35" t="s">
        <v>71</v>
      </c>
      <c r="G37" s="35" t="n">
        <v>5</v>
      </c>
      <c r="H37" s="47" t="n">
        <v>16.5</v>
      </c>
      <c r="I37" s="27" t="n">
        <f aca="false">H37*0.1532</f>
        <v>2.5278</v>
      </c>
      <c r="J37" s="27" t="n">
        <f aca="false">H37+I37</f>
        <v>19.0278</v>
      </c>
      <c r="K37" s="27" t="n">
        <f aca="false">J37*(0.03%)</f>
        <v>0.00570834</v>
      </c>
      <c r="L37" s="27" t="n">
        <f aca="false">J37-K37</f>
        <v>19.02209166</v>
      </c>
      <c r="M37" s="27" t="n">
        <f aca="false">L37*G37</f>
        <v>95.1104583</v>
      </c>
      <c r="N37" s="38" t="n">
        <f aca="false">M37/M$31</f>
        <v>0.00556556850046388</v>
      </c>
      <c r="O37" s="9"/>
    </row>
    <row r="38" s="39" customFormat="true" ht="17.25" hidden="false" customHeight="true" outlineLevel="0" collapsed="false">
      <c r="A38" s="34" t="s">
        <v>82</v>
      </c>
      <c r="B38" s="35" t="s">
        <v>67</v>
      </c>
      <c r="C38" s="35" t="n">
        <v>3080</v>
      </c>
      <c r="D38" s="35" t="s">
        <v>40</v>
      </c>
      <c r="E38" s="45" t="s">
        <v>83</v>
      </c>
      <c r="F38" s="35" t="s">
        <v>26</v>
      </c>
      <c r="G38" s="35" t="n">
        <v>5</v>
      </c>
      <c r="H38" s="47" t="n">
        <v>95</v>
      </c>
      <c r="I38" s="27" t="n">
        <f aca="false">H38*0.1532</f>
        <v>14.554</v>
      </c>
      <c r="J38" s="27" t="n">
        <f aca="false">H38+I38</f>
        <v>109.554</v>
      </c>
      <c r="K38" s="27" t="n">
        <f aca="false">J38*(0.03%)</f>
        <v>0.0328662</v>
      </c>
      <c r="L38" s="27" t="n">
        <f aca="false">J38-K38</f>
        <v>109.5211338</v>
      </c>
      <c r="M38" s="27" t="n">
        <f aca="false">L38*G38</f>
        <v>547.605669</v>
      </c>
      <c r="N38" s="38" t="n">
        <f aca="false">M38/M$31</f>
        <v>0.0320441822753981</v>
      </c>
      <c r="O38" s="9"/>
    </row>
    <row r="39" s="39" customFormat="true" ht="17.25" hidden="false" customHeight="true" outlineLevel="0" collapsed="false">
      <c r="A39" s="34" t="s">
        <v>84</v>
      </c>
      <c r="B39" s="35" t="s">
        <v>67</v>
      </c>
      <c r="C39" s="35" t="n">
        <v>3536</v>
      </c>
      <c r="D39" s="35" t="s">
        <v>40</v>
      </c>
      <c r="E39" s="36" t="s">
        <v>85</v>
      </c>
      <c r="F39" s="35" t="s">
        <v>26</v>
      </c>
      <c r="G39" s="35" t="n">
        <v>10</v>
      </c>
      <c r="H39" s="47" t="n">
        <v>2.01</v>
      </c>
      <c r="I39" s="27" t="n">
        <f aca="false">H39*0.1532</f>
        <v>0.307932</v>
      </c>
      <c r="J39" s="27" t="n">
        <f aca="false">H39+I39</f>
        <v>2.317932</v>
      </c>
      <c r="K39" s="27" t="n">
        <f aca="false">J39*(0.03%)</f>
        <v>0.0006953796</v>
      </c>
      <c r="L39" s="27" t="n">
        <f aca="false">J39-K39</f>
        <v>2.3172366204</v>
      </c>
      <c r="M39" s="27" t="n">
        <f aca="false">L39*G39</f>
        <v>23.172366204</v>
      </c>
      <c r="N39" s="38" t="n">
        <f aca="false">M39/M$31</f>
        <v>0.00135597487102211</v>
      </c>
      <c r="O39" s="9"/>
    </row>
    <row r="40" s="39" customFormat="true" ht="17.25" hidden="false" customHeight="true" outlineLevel="0" collapsed="false">
      <c r="A40" s="34" t="s">
        <v>86</v>
      </c>
      <c r="B40" s="35" t="s">
        <v>67</v>
      </c>
      <c r="C40" s="35" t="n">
        <v>3529</v>
      </c>
      <c r="D40" s="35" t="s">
        <v>40</v>
      </c>
      <c r="E40" s="36" t="s">
        <v>87</v>
      </c>
      <c r="F40" s="35" t="s">
        <v>26</v>
      </c>
      <c r="G40" s="35" t="n">
        <v>10</v>
      </c>
      <c r="H40" s="47" t="n">
        <v>0.6</v>
      </c>
      <c r="I40" s="27" t="n">
        <f aca="false">H40*0.1532</f>
        <v>0.09192</v>
      </c>
      <c r="J40" s="27" t="n">
        <f aca="false">H40+I40</f>
        <v>0.69192</v>
      </c>
      <c r="K40" s="27" t="n">
        <f aca="false">J40*(0.03%)</f>
        <v>0.000207576</v>
      </c>
      <c r="L40" s="27" t="n">
        <f aca="false">J40-K40</f>
        <v>0.691712424</v>
      </c>
      <c r="M40" s="27" t="n">
        <f aca="false">L40*G40</f>
        <v>6.91712424</v>
      </c>
      <c r="N40" s="38" t="n">
        <f aca="false">M40/M$31</f>
        <v>0.000404768618215555</v>
      </c>
      <c r="O40" s="9"/>
    </row>
    <row r="41" s="39" customFormat="true" ht="17.25" hidden="false" customHeight="true" outlineLevel="0" collapsed="false">
      <c r="A41" s="34" t="s">
        <v>88</v>
      </c>
      <c r="B41" s="35" t="s">
        <v>67</v>
      </c>
      <c r="C41" s="40" t="n">
        <v>1926</v>
      </c>
      <c r="D41" s="35" t="s">
        <v>40</v>
      </c>
      <c r="E41" s="48" t="s">
        <v>89</v>
      </c>
      <c r="F41" s="35" t="s">
        <v>26</v>
      </c>
      <c r="G41" s="40" t="n">
        <v>10</v>
      </c>
      <c r="H41" s="42" t="n">
        <v>1.81</v>
      </c>
      <c r="I41" s="27" t="n">
        <f aca="false">H41*0.1532</f>
        <v>0.277292</v>
      </c>
      <c r="J41" s="27" t="n">
        <f aca="false">H41+I41</f>
        <v>2.087292</v>
      </c>
      <c r="K41" s="27" t="n">
        <f aca="false">J41*(0.03%)</f>
        <v>0.0006261876</v>
      </c>
      <c r="L41" s="27" t="n">
        <f aca="false">J41-K41</f>
        <v>2.0866658124</v>
      </c>
      <c r="M41" s="27" t="n">
        <f aca="false">L41*G41</f>
        <v>20.866658124</v>
      </c>
      <c r="N41" s="38" t="n">
        <f aca="false">M41/M$31</f>
        <v>0.00122105199828359</v>
      </c>
      <c r="O41" s="9"/>
    </row>
    <row r="42" s="39" customFormat="true" ht="17.25" hidden="false" customHeight="true" outlineLevel="0" collapsed="false">
      <c r="A42" s="34" t="s">
        <v>90</v>
      </c>
      <c r="B42" s="35" t="s">
        <v>67</v>
      </c>
      <c r="C42" s="40" t="n">
        <v>1194</v>
      </c>
      <c r="D42" s="35" t="s">
        <v>40</v>
      </c>
      <c r="E42" s="48" t="s">
        <v>91</v>
      </c>
      <c r="F42" s="35" t="s">
        <v>26</v>
      </c>
      <c r="G42" s="40" t="n">
        <v>5</v>
      </c>
      <c r="H42" s="42" t="n">
        <v>5.89</v>
      </c>
      <c r="I42" s="27" t="n">
        <f aca="false">H42*0.1532</f>
        <v>0.902348</v>
      </c>
      <c r="J42" s="27" t="n">
        <f aca="false">H42+I42</f>
        <v>6.792348</v>
      </c>
      <c r="K42" s="27" t="n">
        <f aca="false">J42*(0.03%)</f>
        <v>0.0020377044</v>
      </c>
      <c r="L42" s="27" t="n">
        <f aca="false">J42-K42</f>
        <v>6.7903102956</v>
      </c>
      <c r="M42" s="27" t="n">
        <f aca="false">L42*G42</f>
        <v>33.951551478</v>
      </c>
      <c r="N42" s="38" t="n">
        <f aca="false">M42/M$31</f>
        <v>0.00198673930107468</v>
      </c>
      <c r="O42" s="9"/>
    </row>
    <row r="43" s="39" customFormat="true" ht="17.25" hidden="false" customHeight="true" outlineLevel="0" collapsed="false">
      <c r="A43" s="34" t="s">
        <v>92</v>
      </c>
      <c r="B43" s="35" t="s">
        <v>67</v>
      </c>
      <c r="C43" s="40" t="n">
        <v>813</v>
      </c>
      <c r="D43" s="35" t="s">
        <v>40</v>
      </c>
      <c r="E43" s="48" t="s">
        <v>93</v>
      </c>
      <c r="F43" s="35" t="s">
        <v>26</v>
      </c>
      <c r="G43" s="40" t="n">
        <v>10</v>
      </c>
      <c r="H43" s="42" t="n">
        <v>3.52</v>
      </c>
      <c r="I43" s="27" t="n">
        <f aca="false">H43*0.1532</f>
        <v>0.539264</v>
      </c>
      <c r="J43" s="27" t="n">
        <f aca="false">H43+I43</f>
        <v>4.059264</v>
      </c>
      <c r="K43" s="27" t="n">
        <f aca="false">J43*(0.03%)</f>
        <v>0.0012177792</v>
      </c>
      <c r="L43" s="27" t="n">
        <f aca="false">J43-K43</f>
        <v>4.0580462208</v>
      </c>
      <c r="M43" s="27" t="n">
        <f aca="false">L43*G43</f>
        <v>40.580462208</v>
      </c>
      <c r="N43" s="38" t="n">
        <f aca="false">M43/M$31</f>
        <v>0.00237464256019792</v>
      </c>
      <c r="O43" s="9"/>
    </row>
    <row r="44" s="39" customFormat="true" ht="17.25" hidden="false" customHeight="true" outlineLevel="0" collapsed="false">
      <c r="A44" s="34" t="s">
        <v>94</v>
      </c>
      <c r="B44" s="35" t="s">
        <v>67</v>
      </c>
      <c r="C44" s="35" t="n">
        <v>829</v>
      </c>
      <c r="D44" s="35" t="s">
        <v>40</v>
      </c>
      <c r="E44" s="49" t="s">
        <v>95</v>
      </c>
      <c r="F44" s="35" t="s">
        <v>26</v>
      </c>
      <c r="G44" s="35" t="n">
        <v>15</v>
      </c>
      <c r="H44" s="50" t="n">
        <v>0.79</v>
      </c>
      <c r="I44" s="27" t="n">
        <f aca="false">H44*0.1532</f>
        <v>0.121028</v>
      </c>
      <c r="J44" s="27" t="n">
        <f aca="false">H44+I44</f>
        <v>0.911028</v>
      </c>
      <c r="K44" s="27" t="n">
        <f aca="false">J44*(0.03%)</f>
        <v>0.0002733084</v>
      </c>
      <c r="L44" s="27" t="n">
        <f aca="false">J44-K44</f>
        <v>0.9107546916</v>
      </c>
      <c r="M44" s="27" t="n">
        <f aca="false">L44*G44</f>
        <v>13.661320374</v>
      </c>
      <c r="N44" s="38" t="n">
        <f aca="false">M44/M$31</f>
        <v>0.00079941802097572</v>
      </c>
      <c r="O44" s="9"/>
    </row>
    <row r="45" s="39" customFormat="true" ht="17.25" hidden="false" customHeight="true" outlineLevel="0" collapsed="false">
      <c r="A45" s="34" t="s">
        <v>96</v>
      </c>
      <c r="B45" s="35" t="s">
        <v>67</v>
      </c>
      <c r="C45" s="40" t="n">
        <v>1198</v>
      </c>
      <c r="D45" s="35" t="s">
        <v>40</v>
      </c>
      <c r="E45" s="48" t="s">
        <v>97</v>
      </c>
      <c r="F45" s="35" t="s">
        <v>26</v>
      </c>
      <c r="G45" s="40" t="n">
        <v>20</v>
      </c>
      <c r="H45" s="42" t="n">
        <v>1.91</v>
      </c>
      <c r="I45" s="27" t="n">
        <f aca="false">H45*0.1532</f>
        <v>0.292612</v>
      </c>
      <c r="J45" s="27" t="n">
        <f aca="false">H45+I45</f>
        <v>2.202612</v>
      </c>
      <c r="K45" s="27" t="n">
        <f aca="false">J45*(0.03%)</f>
        <v>0.0006607836</v>
      </c>
      <c r="L45" s="27" t="n">
        <f aca="false">J45-K45</f>
        <v>2.2019512164</v>
      </c>
      <c r="M45" s="27" t="n">
        <f aca="false">L45*G45</f>
        <v>44.039024328</v>
      </c>
      <c r="N45" s="38" t="n">
        <f aca="false">M45/M$31</f>
        <v>0.0025770268693057</v>
      </c>
      <c r="O45" s="9"/>
    </row>
    <row r="46" s="39" customFormat="true" ht="17.25" hidden="false" customHeight="true" outlineLevel="0" collapsed="false">
      <c r="A46" s="34" t="s">
        <v>98</v>
      </c>
      <c r="B46" s="35" t="s">
        <v>67</v>
      </c>
      <c r="C46" s="40" t="n">
        <v>1197</v>
      </c>
      <c r="D46" s="35" t="s">
        <v>40</v>
      </c>
      <c r="E46" s="48" t="s">
        <v>99</v>
      </c>
      <c r="F46" s="35" t="s">
        <v>26</v>
      </c>
      <c r="G46" s="40" t="n">
        <v>20</v>
      </c>
      <c r="H46" s="42" t="n">
        <v>1.45</v>
      </c>
      <c r="I46" s="27" t="n">
        <f aca="false">H46*0.1532</f>
        <v>0.22214</v>
      </c>
      <c r="J46" s="27" t="n">
        <f aca="false">H46+I46</f>
        <v>1.67214</v>
      </c>
      <c r="K46" s="27" t="n">
        <f aca="false">J46*(0.03%)</f>
        <v>0.000501642</v>
      </c>
      <c r="L46" s="27" t="n">
        <f aca="false">J46-K46</f>
        <v>1.671638358</v>
      </c>
      <c r="M46" s="27" t="n">
        <f aca="false">L46*G46</f>
        <v>33.43276716</v>
      </c>
      <c r="N46" s="38" t="n">
        <f aca="false">M46/M$31</f>
        <v>0.00195638165470851</v>
      </c>
      <c r="O46" s="9"/>
    </row>
    <row r="47" s="52" customFormat="true" ht="17.25" hidden="false" customHeight="true" outlineLevel="0" collapsed="false">
      <c r="A47" s="34" t="s">
        <v>100</v>
      </c>
      <c r="B47" s="35" t="s">
        <v>67</v>
      </c>
      <c r="C47" s="35" t="n">
        <v>13531</v>
      </c>
      <c r="D47" s="35" t="s">
        <v>101</v>
      </c>
      <c r="E47" s="36" t="s">
        <v>102</v>
      </c>
      <c r="F47" s="35" t="s">
        <v>26</v>
      </c>
      <c r="G47" s="35" t="n">
        <v>40</v>
      </c>
      <c r="H47" s="51" t="n">
        <v>0.29</v>
      </c>
      <c r="I47" s="27" t="n">
        <f aca="false">H47*0.1532</f>
        <v>0.044428</v>
      </c>
      <c r="J47" s="27" t="n">
        <f aca="false">H47+I47</f>
        <v>0.334428</v>
      </c>
      <c r="K47" s="27" t="n">
        <f aca="false">J47*(0.03%)</f>
        <v>0.0001003284</v>
      </c>
      <c r="L47" s="27" t="n">
        <f aca="false">J47-K47</f>
        <v>0.3343276716</v>
      </c>
      <c r="M47" s="27" t="n">
        <f aca="false">L47*G47</f>
        <v>13.373106864</v>
      </c>
      <c r="N47" s="38" t="n">
        <f aca="false">M47/M$31</f>
        <v>0.000782552661883405</v>
      </c>
      <c r="O47" s="9"/>
    </row>
    <row r="48" s="39" customFormat="true" ht="17.25" hidden="false" customHeight="true" outlineLevel="0" collapsed="false">
      <c r="A48" s="34" t="s">
        <v>103</v>
      </c>
      <c r="B48" s="35" t="s">
        <v>67</v>
      </c>
      <c r="C48" s="53" t="n">
        <v>10228</v>
      </c>
      <c r="D48" s="35" t="s">
        <v>40</v>
      </c>
      <c r="E48" s="54" t="s">
        <v>104</v>
      </c>
      <c r="F48" s="35" t="s">
        <v>26</v>
      </c>
      <c r="G48" s="35" t="n">
        <v>10</v>
      </c>
      <c r="H48" s="26" t="n">
        <v>314.51</v>
      </c>
      <c r="I48" s="27" t="n">
        <f aca="false">H48*0.1532</f>
        <v>48.182932</v>
      </c>
      <c r="J48" s="27" t="n">
        <f aca="false">H48+I48</f>
        <v>362.692932</v>
      </c>
      <c r="K48" s="27" t="n">
        <f aca="false">J48*(0.03%)</f>
        <v>0.1088078796</v>
      </c>
      <c r="L48" s="27" t="n">
        <f aca="false">J48-K48</f>
        <v>362.5841241204</v>
      </c>
      <c r="M48" s="27" t="n">
        <f aca="false">L48*G48</f>
        <v>3625.841241204</v>
      </c>
      <c r="N48" s="38" t="n">
        <f aca="false">M48/M$31</f>
        <v>0.212172963524957</v>
      </c>
      <c r="O48" s="9"/>
    </row>
    <row r="49" s="39" customFormat="true" ht="17.25" hidden="false" customHeight="true" outlineLevel="0" collapsed="false">
      <c r="A49" s="34" t="s">
        <v>105</v>
      </c>
      <c r="B49" s="35" t="s">
        <v>67</v>
      </c>
      <c r="C49" s="35" t="n">
        <v>6754</v>
      </c>
      <c r="D49" s="35" t="s">
        <v>101</v>
      </c>
      <c r="E49" s="45" t="s">
        <v>106</v>
      </c>
      <c r="F49" s="35" t="s">
        <v>71</v>
      </c>
      <c r="G49" s="35" t="n">
        <v>1.7</v>
      </c>
      <c r="H49" s="47" t="n">
        <v>318.53</v>
      </c>
      <c r="I49" s="27" t="n">
        <f aca="false">H49*0.1532</f>
        <v>48.798796</v>
      </c>
      <c r="J49" s="27" t="n">
        <f aca="false">H49+I49</f>
        <v>367.328796</v>
      </c>
      <c r="K49" s="27" t="n">
        <f aca="false">J49*(0.03%)</f>
        <v>0.1101986388</v>
      </c>
      <c r="L49" s="27" t="n">
        <f aca="false">J49-K49</f>
        <v>367.2185973612</v>
      </c>
      <c r="M49" s="27" t="n">
        <f aca="false">L49*G49</f>
        <v>624.27161551404</v>
      </c>
      <c r="N49" s="38" t="n">
        <f aca="false">M49/M$31</f>
        <v>0.0365304352553902</v>
      </c>
      <c r="O49" s="9"/>
    </row>
    <row r="50" s="39" customFormat="true" ht="17.25" hidden="false" customHeight="true" outlineLevel="0" collapsed="false">
      <c r="A50" s="34" t="s">
        <v>107</v>
      </c>
      <c r="B50" s="35" t="s">
        <v>67</v>
      </c>
      <c r="C50" s="40" t="n">
        <v>44945</v>
      </c>
      <c r="D50" s="40" t="s">
        <v>40</v>
      </c>
      <c r="E50" s="48" t="s">
        <v>108</v>
      </c>
      <c r="F50" s="35" t="s">
        <v>26</v>
      </c>
      <c r="G50" s="40" t="n">
        <v>20</v>
      </c>
      <c r="H50" s="42" t="n">
        <v>10.93</v>
      </c>
      <c r="I50" s="27" t="n">
        <f aca="false">H50*0.1532</f>
        <v>1.674476</v>
      </c>
      <c r="J50" s="27" t="n">
        <f aca="false">H50+I50</f>
        <v>12.604476</v>
      </c>
      <c r="K50" s="27" t="n">
        <f aca="false">J50*(0.03%)</f>
        <v>0.0037813428</v>
      </c>
      <c r="L50" s="27" t="n">
        <f aca="false">J50-K50</f>
        <v>12.6006946572</v>
      </c>
      <c r="M50" s="27" t="n">
        <f aca="false">L50*G50</f>
        <v>252.013893144</v>
      </c>
      <c r="N50" s="38" t="n">
        <f aca="false">M50/M$31</f>
        <v>0.01474706999032</v>
      </c>
      <c r="O50" s="9"/>
    </row>
    <row r="51" s="39" customFormat="true" ht="17.25" hidden="false" customHeight="true" outlineLevel="0" collapsed="false">
      <c r="A51" s="34" t="s">
        <v>109</v>
      </c>
      <c r="B51" s="35" t="s">
        <v>67</v>
      </c>
      <c r="C51" s="35" t="n">
        <v>11762</v>
      </c>
      <c r="D51" s="35" t="s">
        <v>40</v>
      </c>
      <c r="E51" s="36" t="s">
        <v>110</v>
      </c>
      <c r="F51" s="35" t="s">
        <v>26</v>
      </c>
      <c r="G51" s="35" t="n">
        <v>15</v>
      </c>
      <c r="H51" s="51" t="n">
        <v>51.67</v>
      </c>
      <c r="I51" s="27" t="n">
        <f aca="false">H51*0.1532</f>
        <v>7.915844</v>
      </c>
      <c r="J51" s="27" t="n">
        <f aca="false">H51+I51</f>
        <v>59.585844</v>
      </c>
      <c r="K51" s="27" t="n">
        <f aca="false">J51*(0.03%)</f>
        <v>0.0178757532</v>
      </c>
      <c r="L51" s="27" t="n">
        <f aca="false">J51-K51</f>
        <v>59.5679682468</v>
      </c>
      <c r="M51" s="27" t="n">
        <f aca="false">L51*G51</f>
        <v>893.519523702</v>
      </c>
      <c r="N51" s="38" t="n">
        <f aca="false">M51/M$31</f>
        <v>0.0522859862579943</v>
      </c>
      <c r="O51" s="9"/>
    </row>
    <row r="52" s="39" customFormat="true" ht="17.25" hidden="false" customHeight="true" outlineLevel="0" collapsed="false">
      <c r="A52" s="34" t="s">
        <v>111</v>
      </c>
      <c r="B52" s="35" t="s">
        <v>67</v>
      </c>
      <c r="C52" s="35" t="n">
        <v>11684</v>
      </c>
      <c r="D52" s="35" t="s">
        <v>40</v>
      </c>
      <c r="E52" s="36" t="s">
        <v>112</v>
      </c>
      <c r="F52" s="35" t="s">
        <v>26</v>
      </c>
      <c r="G52" s="35" t="n">
        <v>15</v>
      </c>
      <c r="H52" s="47" t="n">
        <v>45.54</v>
      </c>
      <c r="I52" s="27" t="n">
        <f aca="false">H52*0.1532</f>
        <v>6.976728</v>
      </c>
      <c r="J52" s="27" t="n">
        <f aca="false">H52+I52</f>
        <v>52.516728</v>
      </c>
      <c r="K52" s="27" t="n">
        <f aca="false">J52*(0.03%)</f>
        <v>0.0157550184</v>
      </c>
      <c r="L52" s="27" t="n">
        <f aca="false">J52-K52</f>
        <v>52.5009729816</v>
      </c>
      <c r="M52" s="27" t="n">
        <f aca="false">L52*G52</f>
        <v>787.514594724</v>
      </c>
      <c r="N52" s="38" t="n">
        <f aca="false">M52/M$31</f>
        <v>0.0460829071838409</v>
      </c>
      <c r="O52" s="9"/>
    </row>
    <row r="53" s="52" customFormat="true" ht="17.25" hidden="false" customHeight="true" outlineLevel="0" collapsed="false">
      <c r="A53" s="34" t="s">
        <v>113</v>
      </c>
      <c r="B53" s="35" t="s">
        <v>67</v>
      </c>
      <c r="C53" s="35" t="n">
        <v>36791</v>
      </c>
      <c r="D53" s="35" t="s">
        <v>40</v>
      </c>
      <c r="E53" s="36" t="s">
        <v>114</v>
      </c>
      <c r="F53" s="35" t="s">
        <v>26</v>
      </c>
      <c r="G53" s="35" t="n">
        <v>15</v>
      </c>
      <c r="H53" s="47" t="n">
        <v>122.95</v>
      </c>
      <c r="I53" s="27" t="n">
        <f aca="false">H53*0.1532</f>
        <v>18.83594</v>
      </c>
      <c r="J53" s="27" t="n">
        <f aca="false">H53+I53</f>
        <v>141.78594</v>
      </c>
      <c r="K53" s="27" t="n">
        <f aca="false">J53*(0.03%)</f>
        <v>0.042535782</v>
      </c>
      <c r="L53" s="27" t="n">
        <f aca="false">J53-K53</f>
        <v>141.743404218</v>
      </c>
      <c r="M53" s="27" t="n">
        <f aca="false">L53*G53</f>
        <v>2126.15106327</v>
      </c>
      <c r="N53" s="38" t="n">
        <f aca="false">M53/M$31</f>
        <v>0.124415754024006</v>
      </c>
      <c r="O53" s="9"/>
    </row>
    <row r="54" s="39" customFormat="true" ht="17.25" hidden="false" customHeight="true" outlineLevel="0" collapsed="false">
      <c r="A54" s="34" t="s">
        <v>115</v>
      </c>
      <c r="B54" s="35" t="s">
        <v>67</v>
      </c>
      <c r="C54" s="35" t="n">
        <v>4177</v>
      </c>
      <c r="D54" s="35" t="s">
        <v>40</v>
      </c>
      <c r="E54" s="54" t="s">
        <v>116</v>
      </c>
      <c r="F54" s="35" t="s">
        <v>26</v>
      </c>
      <c r="G54" s="35" t="n">
        <v>15</v>
      </c>
      <c r="H54" s="26" t="n">
        <v>6.3</v>
      </c>
      <c r="I54" s="27" t="n">
        <f aca="false">H54*0.1532</f>
        <v>0.96516</v>
      </c>
      <c r="J54" s="27" t="n">
        <f aca="false">H54+I54</f>
        <v>7.26516</v>
      </c>
      <c r="K54" s="27" t="n">
        <f aca="false">J54*(0.03%)</f>
        <v>0.002179548</v>
      </c>
      <c r="L54" s="27" t="n">
        <f aca="false">J54-K54</f>
        <v>7.262980452</v>
      </c>
      <c r="M54" s="27" t="n">
        <f aca="false">L54*G54</f>
        <v>108.94470678</v>
      </c>
      <c r="N54" s="38" t="n">
        <f aca="false">M54/M$31</f>
        <v>0.00637510573689499</v>
      </c>
      <c r="O54" s="9"/>
    </row>
    <row r="55" s="52" customFormat="true" ht="17.25" hidden="false" customHeight="true" outlineLevel="0" collapsed="false">
      <c r="A55" s="34" t="s">
        <v>117</v>
      </c>
      <c r="B55" s="35" t="s">
        <v>67</v>
      </c>
      <c r="C55" s="35" t="n">
        <v>11772</v>
      </c>
      <c r="D55" s="35" t="s">
        <v>40</v>
      </c>
      <c r="E55" s="45" t="s">
        <v>118</v>
      </c>
      <c r="F55" s="35" t="s">
        <v>26</v>
      </c>
      <c r="G55" s="35" t="n">
        <v>20</v>
      </c>
      <c r="H55" s="47" t="n">
        <v>109.27</v>
      </c>
      <c r="I55" s="27" t="n">
        <f aca="false">H55*0.1532</f>
        <v>16.740164</v>
      </c>
      <c r="J55" s="27" t="n">
        <f aca="false">H55+I55</f>
        <v>126.010164</v>
      </c>
      <c r="K55" s="27" t="n">
        <f aca="false">J55*(0.03%)</f>
        <v>0.0378030492</v>
      </c>
      <c r="L55" s="27" t="n">
        <f aca="false">J55-K55</f>
        <v>125.9723609508</v>
      </c>
      <c r="M55" s="27" t="n">
        <f aca="false">L55*G55</f>
        <v>2519.447219016</v>
      </c>
      <c r="N55" s="38" t="n">
        <f aca="false">M55/M$31</f>
        <v>0.147430223041379</v>
      </c>
      <c r="O55" s="9"/>
    </row>
    <row r="56" s="39" customFormat="true" ht="17.25" hidden="false" customHeight="true" outlineLevel="0" collapsed="false">
      <c r="A56" s="34" t="s">
        <v>119</v>
      </c>
      <c r="B56" s="35" t="s">
        <v>67</v>
      </c>
      <c r="C56" s="35" t="n">
        <v>6142</v>
      </c>
      <c r="D56" s="35" t="s">
        <v>40</v>
      </c>
      <c r="E56" s="49" t="s">
        <v>120</v>
      </c>
      <c r="F56" s="35" t="s">
        <v>26</v>
      </c>
      <c r="G56" s="35" t="n">
        <v>10</v>
      </c>
      <c r="H56" s="47" t="n">
        <v>9.99</v>
      </c>
      <c r="I56" s="27" t="n">
        <f aca="false">H56*0.1532</f>
        <v>1.530468</v>
      </c>
      <c r="J56" s="27" t="n">
        <f aca="false">H56+I56</f>
        <v>11.520468</v>
      </c>
      <c r="K56" s="27" t="n">
        <f aca="false">J56*(0.03%)</f>
        <v>0.0034561404</v>
      </c>
      <c r="L56" s="27" t="n">
        <f aca="false">J56-K56</f>
        <v>11.5170118596</v>
      </c>
      <c r="M56" s="27" t="n">
        <f aca="false">L56*G56</f>
        <v>115.170118596</v>
      </c>
      <c r="N56" s="38" t="n">
        <f aca="false">M56/M$31</f>
        <v>0.00673939749328899</v>
      </c>
      <c r="O56" s="9"/>
    </row>
    <row r="57" s="39" customFormat="true" ht="17.25" hidden="false" customHeight="true" outlineLevel="0" collapsed="false">
      <c r="A57" s="34" t="s">
        <v>121</v>
      </c>
      <c r="B57" s="35" t="s">
        <v>67</v>
      </c>
      <c r="C57" s="35" t="n">
        <v>2305</v>
      </c>
      <c r="D57" s="35" t="s">
        <v>101</v>
      </c>
      <c r="E57" s="49" t="s">
        <v>122</v>
      </c>
      <c r="F57" s="35" t="s">
        <v>26</v>
      </c>
      <c r="G57" s="35" t="n">
        <v>20</v>
      </c>
      <c r="H57" s="47" t="n">
        <v>9.13</v>
      </c>
      <c r="I57" s="27" t="n">
        <f aca="false">H57*0.1532</f>
        <v>1.398716</v>
      </c>
      <c r="J57" s="27" t="n">
        <f aca="false">H57+I57</f>
        <v>10.528716</v>
      </c>
      <c r="K57" s="27" t="n">
        <f aca="false">J57*(0.03%)</f>
        <v>0.0031586148</v>
      </c>
      <c r="L57" s="27" t="n">
        <f aca="false">J57-K57</f>
        <v>10.5255573852</v>
      </c>
      <c r="M57" s="27" t="n">
        <f aca="false">L57*G57</f>
        <v>210.511147704</v>
      </c>
      <c r="N57" s="38" t="n">
        <f aca="false">M57/M$31</f>
        <v>0.0123184582810267</v>
      </c>
      <c r="O57" s="9"/>
    </row>
    <row r="58" s="39" customFormat="true" ht="17.25" hidden="false" customHeight="true" outlineLevel="0" collapsed="false">
      <c r="A58" s="34" t="s">
        <v>123</v>
      </c>
      <c r="B58" s="35" t="s">
        <v>67</v>
      </c>
      <c r="C58" s="35" t="n">
        <v>12909</v>
      </c>
      <c r="D58" s="35" t="s">
        <v>40</v>
      </c>
      <c r="E58" s="49" t="s">
        <v>124</v>
      </c>
      <c r="F58" s="35" t="s">
        <v>26</v>
      </c>
      <c r="G58" s="35" t="n">
        <v>10</v>
      </c>
      <c r="H58" s="47" t="n">
        <v>4.05</v>
      </c>
      <c r="I58" s="27" t="n">
        <f aca="false">H58*0.1532</f>
        <v>0.62046</v>
      </c>
      <c r="J58" s="27" t="n">
        <f aca="false">H58+I58</f>
        <v>4.67046</v>
      </c>
      <c r="K58" s="27" t="n">
        <f aca="false">J58*(0.03%)</f>
        <v>0.001401138</v>
      </c>
      <c r="L58" s="27" t="n">
        <f aca="false">J58-K58</f>
        <v>4.669058862</v>
      </c>
      <c r="M58" s="27" t="n">
        <f aca="false">L58*G58</f>
        <v>46.69058862</v>
      </c>
      <c r="N58" s="38" t="n">
        <f aca="false">M58/M$31</f>
        <v>0.00273218817295499</v>
      </c>
      <c r="O58" s="9"/>
    </row>
    <row r="59" s="39" customFormat="true" ht="17.25" hidden="false" customHeight="true" outlineLevel="0" collapsed="false">
      <c r="A59" s="34" t="s">
        <v>125</v>
      </c>
      <c r="B59" s="35" t="s">
        <v>67</v>
      </c>
      <c r="C59" s="35" t="n">
        <v>3148</v>
      </c>
      <c r="D59" s="35" t="s">
        <v>40</v>
      </c>
      <c r="E59" s="55" t="s">
        <v>126</v>
      </c>
      <c r="F59" s="35" t="s">
        <v>26</v>
      </c>
      <c r="G59" s="35" t="n">
        <v>15</v>
      </c>
      <c r="H59" s="47" t="n">
        <v>8.07</v>
      </c>
      <c r="I59" s="27" t="n">
        <f aca="false">H59*0.1532</f>
        <v>1.236324</v>
      </c>
      <c r="J59" s="27" t="n">
        <f aca="false">H59+I59</f>
        <v>9.306324</v>
      </c>
      <c r="K59" s="27" t="n">
        <f aca="false">J59*(0.03%)</f>
        <v>0.0027918972</v>
      </c>
      <c r="L59" s="27" t="n">
        <f aca="false">J59-K59</f>
        <v>9.3035321028</v>
      </c>
      <c r="M59" s="27" t="n">
        <f aca="false">L59*G59</f>
        <v>139.552981542</v>
      </c>
      <c r="N59" s="38" t="n">
        <f aca="false">M59/M$31</f>
        <v>0.00816620687249882</v>
      </c>
      <c r="O59" s="9"/>
    </row>
    <row r="60" s="39" customFormat="true" ht="17.25" hidden="false" customHeight="true" outlineLevel="0" collapsed="false">
      <c r="A60" s="34" t="s">
        <v>127</v>
      </c>
      <c r="B60" s="35" t="s">
        <v>67</v>
      </c>
      <c r="C60" s="35" t="n">
        <v>7267</v>
      </c>
      <c r="D60" s="35" t="s">
        <v>101</v>
      </c>
      <c r="E60" s="49" t="s">
        <v>128</v>
      </c>
      <c r="F60" s="35" t="s">
        <v>26</v>
      </c>
      <c r="G60" s="35" t="n">
        <v>12</v>
      </c>
      <c r="H60" s="47" t="n">
        <v>12</v>
      </c>
      <c r="I60" s="27" t="n">
        <f aca="false">H60*0.1532</f>
        <v>1.8384</v>
      </c>
      <c r="J60" s="27" t="n">
        <f aca="false">H60+I60</f>
        <v>13.8384</v>
      </c>
      <c r="K60" s="27" t="n">
        <f aca="false">J60*(0.03%)</f>
        <v>0.00415152</v>
      </c>
      <c r="L60" s="27" t="n">
        <f aca="false">J60-K60</f>
        <v>13.83424848</v>
      </c>
      <c r="M60" s="27" t="n">
        <f aca="false">L60*G60</f>
        <v>166.01098176</v>
      </c>
      <c r="N60" s="38" t="n">
        <f aca="false">M60/M$31</f>
        <v>0.00971444683717331</v>
      </c>
      <c r="O60" s="9"/>
    </row>
    <row r="61" s="39" customFormat="true" ht="17.25" hidden="false" customHeight="true" outlineLevel="0" collapsed="false">
      <c r="A61" s="34" t="s">
        <v>129</v>
      </c>
      <c r="B61" s="35" t="s">
        <v>67</v>
      </c>
      <c r="C61" s="35" t="n">
        <v>3529</v>
      </c>
      <c r="D61" s="35" t="s">
        <v>40</v>
      </c>
      <c r="E61" s="36" t="s">
        <v>87</v>
      </c>
      <c r="F61" s="35" t="s">
        <v>26</v>
      </c>
      <c r="G61" s="35" t="n">
        <v>15</v>
      </c>
      <c r="H61" s="47" t="n">
        <v>0.6</v>
      </c>
      <c r="I61" s="27" t="n">
        <f aca="false">H61*0.1532</f>
        <v>0.09192</v>
      </c>
      <c r="J61" s="27" t="n">
        <f aca="false">H61+I61</f>
        <v>0.69192</v>
      </c>
      <c r="K61" s="27" t="n">
        <f aca="false">J61*(0.03%)</f>
        <v>0.000207576</v>
      </c>
      <c r="L61" s="27" t="n">
        <f aca="false">J61-K61</f>
        <v>0.691712424</v>
      </c>
      <c r="M61" s="27" t="n">
        <f aca="false">L61*G61</f>
        <v>10.37568636</v>
      </c>
      <c r="N61" s="38" t="n">
        <f aca="false">M61/M$31</f>
        <v>0.000607152927323332</v>
      </c>
      <c r="O61" s="9"/>
    </row>
    <row r="62" s="39" customFormat="true" ht="17.25" hidden="false" customHeight="true" outlineLevel="0" collapsed="false">
      <c r="A62" s="34" t="s">
        <v>130</v>
      </c>
      <c r="B62" s="35" t="s">
        <v>67</v>
      </c>
      <c r="C62" s="35" t="n">
        <v>7139</v>
      </c>
      <c r="D62" s="35" t="s">
        <v>40</v>
      </c>
      <c r="E62" s="49" t="s">
        <v>131</v>
      </c>
      <c r="F62" s="35" t="s">
        <v>26</v>
      </c>
      <c r="G62" s="35" t="n">
        <v>15</v>
      </c>
      <c r="H62" s="47" t="n">
        <v>1</v>
      </c>
      <c r="I62" s="27" t="n">
        <f aca="false">H62*0.1532</f>
        <v>0.1532</v>
      </c>
      <c r="J62" s="27" t="n">
        <f aca="false">H62+I62</f>
        <v>1.1532</v>
      </c>
      <c r="K62" s="27" t="n">
        <f aca="false">J62*(0.03%)</f>
        <v>0.00034596</v>
      </c>
      <c r="L62" s="27" t="n">
        <f aca="false">J62-K62</f>
        <v>1.15285404</v>
      </c>
      <c r="M62" s="27" t="n">
        <f aca="false">L62*G62</f>
        <v>17.2928106</v>
      </c>
      <c r="N62" s="38" t="n">
        <f aca="false">M62/M$31</f>
        <v>0.00101192154553889</v>
      </c>
      <c r="O62" s="9"/>
    </row>
    <row r="63" s="39" customFormat="true" ht="17.25" hidden="false" customHeight="true" outlineLevel="0" collapsed="false">
      <c r="A63" s="34" t="s">
        <v>132</v>
      </c>
      <c r="B63" s="35" t="s">
        <v>67</v>
      </c>
      <c r="C63" s="23" t="n">
        <v>779</v>
      </c>
      <c r="D63" s="35" t="s">
        <v>40</v>
      </c>
      <c r="E63" s="54" t="s">
        <v>133</v>
      </c>
      <c r="F63" s="35" t="s">
        <v>26</v>
      </c>
      <c r="G63" s="35" t="n">
        <v>20</v>
      </c>
      <c r="H63" s="50" t="n">
        <v>7.71</v>
      </c>
      <c r="I63" s="27" t="n">
        <f aca="false">H63*0.1532</f>
        <v>1.181172</v>
      </c>
      <c r="J63" s="27" t="n">
        <f aca="false">H63+I63</f>
        <v>8.891172</v>
      </c>
      <c r="K63" s="27" t="n">
        <f aca="false">J63*(0.03%)</f>
        <v>0.0026673516</v>
      </c>
      <c r="L63" s="27" t="n">
        <f aca="false">J63-K63</f>
        <v>8.8885046484</v>
      </c>
      <c r="M63" s="27" t="n">
        <f aca="false">L63*G63</f>
        <v>177.770092968</v>
      </c>
      <c r="N63" s="38" t="n">
        <f aca="false">M63/M$31</f>
        <v>0.0104025534881398</v>
      </c>
      <c r="O63" s="9"/>
    </row>
    <row r="64" s="39" customFormat="true" ht="17.25" hidden="false" customHeight="true" outlineLevel="0" collapsed="false">
      <c r="A64" s="34" t="s">
        <v>134</v>
      </c>
      <c r="B64" s="35" t="s">
        <v>67</v>
      </c>
      <c r="C64" s="35" t="n">
        <v>4823</v>
      </c>
      <c r="D64" s="35" t="s">
        <v>40</v>
      </c>
      <c r="E64" s="36" t="s">
        <v>135</v>
      </c>
      <c r="F64" s="35" t="s">
        <v>71</v>
      </c>
      <c r="G64" s="35" t="n">
        <v>2</v>
      </c>
      <c r="H64" s="47" t="n">
        <v>42.55</v>
      </c>
      <c r="I64" s="27" t="n">
        <f aca="false">H64*0.1532</f>
        <v>6.51866</v>
      </c>
      <c r="J64" s="27" t="n">
        <f aca="false">H64+I64</f>
        <v>49.06866</v>
      </c>
      <c r="K64" s="27" t="n">
        <f aca="false">J64*(0.03%)</f>
        <v>0.014720598</v>
      </c>
      <c r="L64" s="27" t="n">
        <f aca="false">J64-K64</f>
        <v>49.053939402</v>
      </c>
      <c r="M64" s="27" t="n">
        <f aca="false">L64*G64</f>
        <v>98.107878804</v>
      </c>
      <c r="N64" s="56" t="n">
        <f aca="false">M64/M$31</f>
        <v>0.00574096823502395</v>
      </c>
      <c r="O64" s="9"/>
    </row>
    <row r="65" s="39" customFormat="true" ht="17.25" hidden="false" customHeight="true" outlineLevel="0" collapsed="false">
      <c r="A65" s="34" t="s">
        <v>136</v>
      </c>
      <c r="B65" s="35" t="s">
        <v>67</v>
      </c>
      <c r="C65" s="35" t="n">
        <v>38383</v>
      </c>
      <c r="D65" s="35" t="s">
        <v>40</v>
      </c>
      <c r="E65" s="57" t="s">
        <v>137</v>
      </c>
      <c r="F65" s="35" t="s">
        <v>26</v>
      </c>
      <c r="G65" s="35" t="n">
        <v>20</v>
      </c>
      <c r="H65" s="47" t="n">
        <v>2.62</v>
      </c>
      <c r="I65" s="27" t="n">
        <f aca="false">H65*0.1532</f>
        <v>0.401384</v>
      </c>
      <c r="J65" s="27" t="n">
        <f aca="false">H65+I65</f>
        <v>3.021384</v>
      </c>
      <c r="K65" s="27" t="n">
        <f aca="false">J65*(0.03%)</f>
        <v>0.0009064152</v>
      </c>
      <c r="L65" s="27" t="n">
        <f aca="false">J65-K65</f>
        <v>3.0204775848</v>
      </c>
      <c r="M65" s="27" t="n">
        <f aca="false">L65*G65</f>
        <v>60.409551696</v>
      </c>
      <c r="N65" s="56" t="n">
        <f aca="false">M65/M$31</f>
        <v>0.00353497926574918</v>
      </c>
      <c r="O65" s="9"/>
    </row>
    <row r="66" s="39" customFormat="true" ht="17.25" hidden="false" customHeight="true" outlineLevel="0" collapsed="false">
      <c r="A66" s="34" t="s">
        <v>138</v>
      </c>
      <c r="B66" s="35" t="s">
        <v>67</v>
      </c>
      <c r="C66" s="35" t="n">
        <v>3904</v>
      </c>
      <c r="D66" s="35" t="s">
        <v>40</v>
      </c>
      <c r="E66" s="54" t="s">
        <v>139</v>
      </c>
      <c r="F66" s="35" t="s">
        <v>26</v>
      </c>
      <c r="G66" s="35" t="n">
        <v>10</v>
      </c>
      <c r="H66" s="50" t="n">
        <v>0.68</v>
      </c>
      <c r="I66" s="27" t="n">
        <f aca="false">H66*0.1532</f>
        <v>0.104176</v>
      </c>
      <c r="J66" s="27" t="n">
        <f aca="false">H66+I66</f>
        <v>0.784176</v>
      </c>
      <c r="K66" s="27" t="n">
        <f aca="false">J66*(0.03%)</f>
        <v>0.0002352528</v>
      </c>
      <c r="L66" s="27" t="n">
        <f aca="false">J66-K66</f>
        <v>0.7839407472</v>
      </c>
      <c r="M66" s="27" t="n">
        <f aca="false">L66*G66</f>
        <v>7.839407472</v>
      </c>
      <c r="N66" s="56" t="n">
        <f aca="false">M66/M$31</f>
        <v>0.000458737767310962</v>
      </c>
      <c r="O66" s="9"/>
    </row>
    <row r="67" s="39" customFormat="true" ht="17.25" hidden="false" customHeight="true" outlineLevel="0" collapsed="false">
      <c r="A67" s="34" t="s">
        <v>140</v>
      </c>
      <c r="B67" s="35" t="s">
        <v>67</v>
      </c>
      <c r="C67" s="35" t="n">
        <v>3874</v>
      </c>
      <c r="D67" s="35" t="s">
        <v>40</v>
      </c>
      <c r="E67" s="36" t="s">
        <v>141</v>
      </c>
      <c r="F67" s="35" t="s">
        <v>26</v>
      </c>
      <c r="G67" s="35" t="n">
        <v>10</v>
      </c>
      <c r="H67" s="47" t="n">
        <v>4.97</v>
      </c>
      <c r="I67" s="27" t="n">
        <f aca="false">H67*0.1532</f>
        <v>0.761404</v>
      </c>
      <c r="J67" s="27" t="n">
        <f aca="false">H67+I67</f>
        <v>5.731404</v>
      </c>
      <c r="K67" s="27" t="n">
        <f aca="false">J67*(0.03%)</f>
        <v>0.0017194212</v>
      </c>
      <c r="L67" s="27" t="n">
        <f aca="false">J67-K67</f>
        <v>5.7296845788</v>
      </c>
      <c r="M67" s="27" t="n">
        <f aca="false">L67*G67</f>
        <v>57.296845788</v>
      </c>
      <c r="N67" s="56" t="n">
        <f aca="false">M67/M$31</f>
        <v>0.00335283338755218</v>
      </c>
      <c r="O67" s="9"/>
    </row>
    <row r="68" s="39" customFormat="true" ht="17.25" hidden="false" customHeight="true" outlineLevel="0" collapsed="false">
      <c r="A68" s="34" t="s">
        <v>142</v>
      </c>
      <c r="B68" s="35" t="s">
        <v>67</v>
      </c>
      <c r="C68" s="35" t="n">
        <v>9868</v>
      </c>
      <c r="D68" s="35" t="s">
        <v>40</v>
      </c>
      <c r="E68" s="58" t="s">
        <v>143</v>
      </c>
      <c r="F68" s="35" t="s">
        <v>144</v>
      </c>
      <c r="G68" s="35" t="n">
        <v>90</v>
      </c>
      <c r="H68" s="47" t="n">
        <v>3.45</v>
      </c>
      <c r="I68" s="27" t="n">
        <f aca="false">H68*0.1532</f>
        <v>0.52854</v>
      </c>
      <c r="J68" s="27" t="n">
        <f aca="false">H68+I68</f>
        <v>3.97854</v>
      </c>
      <c r="K68" s="27" t="n">
        <f aca="false">J68*(0.03%)</f>
        <v>0.001193562</v>
      </c>
      <c r="L68" s="27" t="n">
        <f aca="false">J68-K68</f>
        <v>3.977346438</v>
      </c>
      <c r="M68" s="27" t="n">
        <f aca="false">L68*G68</f>
        <v>357.96117942</v>
      </c>
      <c r="N68" s="56" t="n">
        <f aca="false">M68/M$31</f>
        <v>0.020946775992655</v>
      </c>
      <c r="O68" s="9"/>
    </row>
    <row r="69" s="39" customFormat="true" ht="17.25" hidden="false" customHeight="true" outlineLevel="0" collapsed="false">
      <c r="A69" s="34" t="s">
        <v>145</v>
      </c>
      <c r="B69" s="35" t="s">
        <v>67</v>
      </c>
      <c r="C69" s="35" t="n">
        <v>9869</v>
      </c>
      <c r="D69" s="35" t="s">
        <v>40</v>
      </c>
      <c r="E69" s="36" t="s">
        <v>146</v>
      </c>
      <c r="F69" s="35" t="s">
        <v>144</v>
      </c>
      <c r="G69" s="35" t="n">
        <v>90</v>
      </c>
      <c r="H69" s="47" t="n">
        <v>7.44</v>
      </c>
      <c r="I69" s="27" t="n">
        <f aca="false">H69*0.1532</f>
        <v>1.139808</v>
      </c>
      <c r="J69" s="27" t="n">
        <f aca="false">H69+I69</f>
        <v>8.579808</v>
      </c>
      <c r="K69" s="27" t="n">
        <f aca="false">J69*(0.03%)</f>
        <v>0.0025739424</v>
      </c>
      <c r="L69" s="27" t="n">
        <f aca="false">J69-K69</f>
        <v>8.5772340576</v>
      </c>
      <c r="M69" s="27" t="n">
        <f aca="false">L69*G69</f>
        <v>771.951065184</v>
      </c>
      <c r="N69" s="56" t="n">
        <f aca="false">M69/M$31</f>
        <v>0.0451721777928559</v>
      </c>
      <c r="O69" s="9"/>
    </row>
    <row r="70" s="39" customFormat="true" ht="17.25" hidden="false" customHeight="true" outlineLevel="0" collapsed="false">
      <c r="A70" s="34" t="s">
        <v>147</v>
      </c>
      <c r="B70" s="35" t="s">
        <v>67</v>
      </c>
      <c r="C70" s="35" t="n">
        <v>11756</v>
      </c>
      <c r="D70" s="35" t="s">
        <v>40</v>
      </c>
      <c r="E70" s="45" t="s">
        <v>148</v>
      </c>
      <c r="F70" s="35" t="s">
        <v>26</v>
      </c>
      <c r="G70" s="35" t="n">
        <v>5</v>
      </c>
      <c r="H70" s="47" t="n">
        <v>32.19</v>
      </c>
      <c r="I70" s="27" t="n">
        <f aca="false">H70*0.1532</f>
        <v>4.931508</v>
      </c>
      <c r="J70" s="27" t="n">
        <f aca="false">H70+I70</f>
        <v>37.121508</v>
      </c>
      <c r="K70" s="27" t="n">
        <f aca="false">J70*(0.03%)</f>
        <v>0.0111364524</v>
      </c>
      <c r="L70" s="27" t="n">
        <f aca="false">J70-K70</f>
        <v>37.1103715476</v>
      </c>
      <c r="M70" s="27" t="n">
        <f aca="false">L70*G70</f>
        <v>185.551857738</v>
      </c>
      <c r="N70" s="56" t="n">
        <f aca="false">M70/M$31</f>
        <v>0.0108579181836323</v>
      </c>
      <c r="O70" s="9"/>
      <c r="Q70" s="39" t="s">
        <v>149</v>
      </c>
    </row>
    <row r="71" s="39" customFormat="true" ht="17.25" hidden="false" customHeight="true" outlineLevel="0" collapsed="false">
      <c r="A71" s="34" t="s">
        <v>150</v>
      </c>
      <c r="B71" s="35" t="s">
        <v>67</v>
      </c>
      <c r="C71" s="35" t="n">
        <v>7334</v>
      </c>
      <c r="D71" s="35" t="s">
        <v>40</v>
      </c>
      <c r="E71" s="36" t="s">
        <v>151</v>
      </c>
      <c r="F71" s="35" t="s">
        <v>152</v>
      </c>
      <c r="G71" s="35" t="n">
        <v>3.6</v>
      </c>
      <c r="H71" s="47" t="n">
        <v>16.59</v>
      </c>
      <c r="I71" s="27" t="n">
        <f aca="false">H71*0.1532</f>
        <v>2.541588</v>
      </c>
      <c r="J71" s="27" t="n">
        <f aca="false">H71+I71</f>
        <v>19.131588</v>
      </c>
      <c r="K71" s="27" t="n">
        <f aca="false">J71*(0.03%)</f>
        <v>0.0057394764</v>
      </c>
      <c r="L71" s="27" t="n">
        <f aca="false">J71-K71</f>
        <v>19.1258485236</v>
      </c>
      <c r="M71" s="27" t="n">
        <f aca="false">L71*G71</f>
        <v>68.85305468496</v>
      </c>
      <c r="N71" s="56" t="n">
        <f aca="false">M71/M$31</f>
        <v>0.00402906682571763</v>
      </c>
      <c r="O71" s="9"/>
      <c r="Q71" s="39" t="n">
        <f aca="false">SUM(N32:N71)</f>
        <v>1</v>
      </c>
    </row>
    <row r="72" s="39" customFormat="true" ht="17.25" hidden="false" customHeight="true" outlineLevel="0" collapsed="false">
      <c r="A72" s="35"/>
      <c r="B72" s="35"/>
      <c r="C72" s="35"/>
      <c r="D72" s="35"/>
      <c r="E72" s="36"/>
      <c r="F72" s="35"/>
      <c r="G72" s="35"/>
      <c r="H72" s="59"/>
      <c r="I72" s="27"/>
      <c r="J72" s="27"/>
      <c r="K72" s="27"/>
      <c r="L72" s="27"/>
      <c r="M72" s="27"/>
      <c r="N72" s="27"/>
      <c r="O72" s="9"/>
    </row>
    <row r="73" s="39" customFormat="true" ht="17.25" hidden="false" customHeight="true" outlineLevel="0" collapsed="false">
      <c r="A73" s="35"/>
      <c r="B73" s="35"/>
      <c r="C73" s="35"/>
      <c r="D73" s="35"/>
      <c r="E73" s="36"/>
      <c r="F73" s="35"/>
      <c r="G73" s="35"/>
      <c r="H73" s="59"/>
      <c r="I73" s="27"/>
      <c r="J73" s="27"/>
      <c r="K73" s="27"/>
      <c r="L73" s="27"/>
      <c r="M73" s="27"/>
      <c r="N73" s="27"/>
      <c r="O73" s="9"/>
    </row>
    <row r="74" s="39" customFormat="true" ht="17.25" hidden="false" customHeight="true" outlineLevel="0" collapsed="false">
      <c r="A74" s="35"/>
      <c r="B74" s="35"/>
      <c r="C74" s="35"/>
      <c r="D74" s="35"/>
      <c r="E74" s="36"/>
      <c r="F74" s="35"/>
      <c r="G74" s="35"/>
      <c r="H74" s="59"/>
      <c r="I74" s="27"/>
      <c r="J74" s="27"/>
      <c r="K74" s="27"/>
      <c r="L74" s="27"/>
      <c r="M74" s="27"/>
      <c r="N74" s="27"/>
      <c r="O74" s="9"/>
    </row>
    <row r="75" s="39" customFormat="true" ht="17.25" hidden="false" customHeight="true" outlineLevel="0" collapsed="false">
      <c r="A75" s="35"/>
      <c r="B75" s="35"/>
      <c r="C75" s="35"/>
      <c r="D75" s="35"/>
      <c r="E75" s="36"/>
      <c r="F75" s="35"/>
      <c r="G75" s="35"/>
      <c r="H75" s="59"/>
      <c r="I75" s="27"/>
      <c r="J75" s="27"/>
      <c r="K75" s="27"/>
      <c r="L75" s="27"/>
      <c r="M75" s="27"/>
      <c r="N75" s="27"/>
      <c r="O75" s="9"/>
    </row>
    <row r="76" s="39" customFormat="true" ht="17.25" hidden="false" customHeight="true" outlineLevel="0" collapsed="false">
      <c r="A76" s="35"/>
      <c r="B76" s="35"/>
      <c r="C76" s="35"/>
      <c r="D76" s="35"/>
      <c r="E76" s="36"/>
      <c r="F76" s="35"/>
      <c r="G76" s="35"/>
      <c r="H76" s="59"/>
      <c r="I76" s="27"/>
      <c r="J76" s="27"/>
      <c r="K76" s="27"/>
      <c r="L76" s="27"/>
      <c r="M76" s="27"/>
      <c r="N76" s="27"/>
      <c r="O76" s="9"/>
    </row>
    <row r="77" s="39" customFormat="true" ht="17.25" hidden="false" customHeight="true" outlineLevel="0" collapsed="false">
      <c r="A77" s="35"/>
      <c r="B77" s="35"/>
      <c r="C77" s="35"/>
      <c r="D77" s="35"/>
      <c r="E77" s="36"/>
      <c r="F77" s="35"/>
      <c r="G77" s="35"/>
      <c r="H77" s="59"/>
      <c r="I77" s="27"/>
      <c r="J77" s="27"/>
      <c r="K77" s="27"/>
      <c r="L77" s="27"/>
      <c r="M77" s="27"/>
      <c r="N77" s="27"/>
      <c r="O77" s="9"/>
    </row>
    <row r="78" s="39" customFormat="true" ht="17.25" hidden="false" customHeight="true" outlineLevel="0" collapsed="false">
      <c r="A78" s="35"/>
      <c r="B78" s="35"/>
      <c r="C78" s="35"/>
      <c r="D78" s="35"/>
      <c r="E78" s="36"/>
      <c r="F78" s="35"/>
      <c r="G78" s="35"/>
      <c r="H78" s="59"/>
      <c r="I78" s="27"/>
      <c r="J78" s="27"/>
      <c r="K78" s="27"/>
      <c r="L78" s="27"/>
      <c r="M78" s="27"/>
      <c r="N78" s="27"/>
      <c r="O78" s="9"/>
    </row>
    <row r="79" s="63" customFormat="true" ht="17.25" hidden="false" customHeight="true" outlineLevel="0" collapsed="false">
      <c r="A79" s="35"/>
      <c r="B79" s="35"/>
      <c r="C79" s="60"/>
      <c r="D79" s="35"/>
      <c r="E79" s="61"/>
      <c r="F79" s="35"/>
      <c r="G79" s="35"/>
      <c r="H79" s="62"/>
      <c r="I79" s="27"/>
      <c r="J79" s="27"/>
      <c r="K79" s="27"/>
      <c r="L79" s="27"/>
      <c r="M79" s="27"/>
      <c r="N79" s="27"/>
      <c r="O79" s="9"/>
    </row>
    <row r="80" s="66" customFormat="true" ht="16.5" hidden="false" customHeight="true" outlineLevel="0" collapsed="false">
      <c r="A80" s="64" t="s">
        <v>21</v>
      </c>
      <c r="B80" s="14" t="s">
        <v>22</v>
      </c>
      <c r="C80" s="14" t="s">
        <v>23</v>
      </c>
      <c r="D80" s="14" t="s">
        <v>24</v>
      </c>
      <c r="E80" s="14" t="s">
        <v>25</v>
      </c>
      <c r="F80" s="14" t="s">
        <v>26</v>
      </c>
      <c r="G80" s="14" t="s">
        <v>27</v>
      </c>
      <c r="H80" s="65" t="s">
        <v>28</v>
      </c>
      <c r="I80" s="65"/>
      <c r="J80" s="65"/>
      <c r="K80" s="65"/>
      <c r="L80" s="65"/>
      <c r="M80" s="14" t="s">
        <v>29</v>
      </c>
      <c r="N80" s="14" t="s">
        <v>30</v>
      </c>
      <c r="O80" s="9"/>
    </row>
    <row r="81" s="66" customFormat="true" ht="16.5" hidden="false" customHeight="true" outlineLevel="0" collapsed="false">
      <c r="A81" s="64"/>
      <c r="B81" s="14"/>
      <c r="C81" s="14"/>
      <c r="D81" s="14"/>
      <c r="E81" s="14"/>
      <c r="F81" s="14"/>
      <c r="G81" s="14"/>
      <c r="H81" s="14" t="s">
        <v>32</v>
      </c>
      <c r="I81" s="14" t="s">
        <v>33</v>
      </c>
      <c r="J81" s="14" t="s">
        <v>34</v>
      </c>
      <c r="K81" s="14" t="s">
        <v>153</v>
      </c>
      <c r="L81" s="14" t="s">
        <v>36</v>
      </c>
      <c r="M81" s="14"/>
      <c r="N81" s="14"/>
      <c r="O81" s="9"/>
    </row>
    <row r="82" s="71" customFormat="true" ht="16.5" hidden="false" customHeight="true" outlineLevel="0" collapsed="false">
      <c r="A82" s="67" t="n">
        <v>3</v>
      </c>
      <c r="B82" s="68" t="s">
        <v>154</v>
      </c>
      <c r="C82" s="68"/>
      <c r="D82" s="68"/>
      <c r="E82" s="68"/>
      <c r="F82" s="68"/>
      <c r="G82" s="69"/>
      <c r="H82" s="69"/>
      <c r="I82" s="69"/>
      <c r="J82" s="69"/>
      <c r="K82" s="69"/>
      <c r="L82" s="69"/>
      <c r="M82" s="70" t="n">
        <f aca="false">SUM(M83:M99)</f>
        <v>60642.4804252914</v>
      </c>
      <c r="N82" s="69"/>
      <c r="O82" s="9"/>
    </row>
    <row r="83" s="71" customFormat="true" ht="26.25" hidden="false" customHeight="true" outlineLevel="0" collapsed="false">
      <c r="A83" s="72" t="s">
        <v>155</v>
      </c>
      <c r="B83" s="72" t="s">
        <v>39</v>
      </c>
      <c r="C83" s="72" t="s">
        <v>54</v>
      </c>
      <c r="D83" s="72" t="s">
        <v>40</v>
      </c>
      <c r="E83" s="73" t="s">
        <v>52</v>
      </c>
      <c r="F83" s="74" t="s">
        <v>42</v>
      </c>
      <c r="G83" s="75" t="n">
        <v>158</v>
      </c>
      <c r="H83" s="26" t="n">
        <v>32.57</v>
      </c>
      <c r="I83" s="76" t="n">
        <f aca="false">H83*0.2232</f>
        <v>7.269624</v>
      </c>
      <c r="J83" s="76" t="n">
        <f aca="false">H83+I83</f>
        <v>39.839624</v>
      </c>
      <c r="K83" s="76" t="n">
        <f aca="false">J83*(0.03%)</f>
        <v>0.0119518872</v>
      </c>
      <c r="L83" s="76" t="n">
        <f aca="false">J83-K83</f>
        <v>39.8276721128</v>
      </c>
      <c r="M83" s="76" t="n">
        <f aca="false">L83*G83</f>
        <v>6292.7721938224</v>
      </c>
      <c r="N83" s="77" t="n">
        <f aca="false">M83/M$82</f>
        <v>0.103768383972598</v>
      </c>
      <c r="O83" s="9"/>
    </row>
    <row r="84" s="71" customFormat="true" ht="23.25" hidden="false" customHeight="true" outlineLevel="0" collapsed="false">
      <c r="A84" s="72" t="s">
        <v>156</v>
      </c>
      <c r="B84" s="72" t="s">
        <v>39</v>
      </c>
      <c r="C84" s="72" t="s">
        <v>58</v>
      </c>
      <c r="D84" s="72" t="s">
        <v>40</v>
      </c>
      <c r="E84" s="73" t="s">
        <v>56</v>
      </c>
      <c r="F84" s="74" t="s">
        <v>42</v>
      </c>
      <c r="G84" s="72" t="n">
        <f aca="false">7*9</f>
        <v>63</v>
      </c>
      <c r="H84" s="26" t="n">
        <v>30.38</v>
      </c>
      <c r="I84" s="76" t="n">
        <f aca="false">H84*0.2232</f>
        <v>6.780816</v>
      </c>
      <c r="J84" s="76" t="n">
        <f aca="false">H84+I84</f>
        <v>37.160816</v>
      </c>
      <c r="K84" s="76" t="n">
        <f aca="false">J84*(0.03%)</f>
        <v>0.0111482448</v>
      </c>
      <c r="L84" s="76" t="n">
        <f aca="false">J84-K84</f>
        <v>37.1496677552</v>
      </c>
      <c r="M84" s="76" t="n">
        <f aca="false">L84*G84</f>
        <v>2340.4290685776</v>
      </c>
      <c r="N84" s="77" t="n">
        <f aca="false">M84/M$82</f>
        <v>0.0385938875218156</v>
      </c>
      <c r="O84" s="9"/>
    </row>
    <row r="85" s="71" customFormat="true" ht="23.25" hidden="false" customHeight="true" outlineLevel="0" collapsed="false">
      <c r="A85" s="23" t="s">
        <v>157</v>
      </c>
      <c r="B85" s="23" t="s">
        <v>39</v>
      </c>
      <c r="C85" s="23" t="n">
        <v>88310</v>
      </c>
      <c r="D85" s="23" t="s">
        <v>40</v>
      </c>
      <c r="E85" s="24" t="s">
        <v>158</v>
      </c>
      <c r="F85" s="25" t="s">
        <v>42</v>
      </c>
      <c r="G85" s="23" t="n">
        <v>63</v>
      </c>
      <c r="H85" s="26" t="n">
        <v>35.88</v>
      </c>
      <c r="I85" s="27" t="n">
        <f aca="false">H85*0.2232</f>
        <v>8.008416</v>
      </c>
      <c r="J85" s="27" t="n">
        <f aca="false">H85+I85</f>
        <v>43.888416</v>
      </c>
      <c r="K85" s="27" t="n">
        <f aca="false">J85*(0.03%)</f>
        <v>0.0131665248</v>
      </c>
      <c r="L85" s="27" t="n">
        <f aca="false">J85-K85</f>
        <v>43.8752494752</v>
      </c>
      <c r="M85" s="27" t="n">
        <f aca="false">L85*G85</f>
        <v>2764.1407169376</v>
      </c>
      <c r="N85" s="77" t="n">
        <f aca="false">M85/M$82</f>
        <v>0.0455809310165486</v>
      </c>
      <c r="O85" s="9"/>
    </row>
    <row r="86" s="71" customFormat="true" ht="23.25" hidden="false" customHeight="true" outlineLevel="0" collapsed="false">
      <c r="A86" s="78" t="s">
        <v>159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9"/>
    </row>
    <row r="87" s="71" customFormat="true" ht="23.25" hidden="false" customHeight="true" outlineLevel="0" collapsed="false">
      <c r="A87" s="79" t="s">
        <v>160</v>
      </c>
      <c r="B87" s="72" t="s">
        <v>39</v>
      </c>
      <c r="C87" s="80" t="n">
        <v>12631</v>
      </c>
      <c r="D87" s="80" t="s">
        <v>101</v>
      </c>
      <c r="E87" s="81" t="s">
        <v>161</v>
      </c>
      <c r="F87" s="80" t="s">
        <v>162</v>
      </c>
      <c r="G87" s="80" t="n">
        <f aca="false">114.85-5.4</f>
        <v>109.45</v>
      </c>
      <c r="H87" s="82" t="n">
        <v>26.39</v>
      </c>
      <c r="I87" s="76" t="n">
        <f aca="false">H87*0.2232</f>
        <v>5.890248</v>
      </c>
      <c r="J87" s="76" t="n">
        <f aca="false">H87+I87</f>
        <v>32.280248</v>
      </c>
      <c r="K87" s="76" t="n">
        <f aca="false">J87*(0.03%)</f>
        <v>0.0096840744</v>
      </c>
      <c r="L87" s="76" t="n">
        <f aca="false">J87-K87</f>
        <v>32.2705639256</v>
      </c>
      <c r="M87" s="76" t="n">
        <f aca="false">L87*G87</f>
        <v>3532.01322165692</v>
      </c>
      <c r="N87" s="77" t="n">
        <f aca="false">M87/M$82</f>
        <v>0.0582432182339275</v>
      </c>
      <c r="O87" s="9"/>
    </row>
    <row r="88" s="71" customFormat="true" ht="23.25" hidden="false" customHeight="true" outlineLevel="0" collapsed="false">
      <c r="A88" s="79" t="s">
        <v>163</v>
      </c>
      <c r="B88" s="72" t="s">
        <v>39</v>
      </c>
      <c r="C88" s="80" t="n">
        <v>102191</v>
      </c>
      <c r="D88" s="80" t="s">
        <v>40</v>
      </c>
      <c r="E88" s="83" t="s">
        <v>164</v>
      </c>
      <c r="F88" s="80" t="s">
        <v>162</v>
      </c>
      <c r="G88" s="80" t="n">
        <f aca="false">27.3-5.4</f>
        <v>21.9</v>
      </c>
      <c r="H88" s="84" t="n">
        <v>27.04</v>
      </c>
      <c r="I88" s="76" t="n">
        <f aca="false">H88*0.2232</f>
        <v>6.035328</v>
      </c>
      <c r="J88" s="76" t="n">
        <f aca="false">H88+I88</f>
        <v>33.075328</v>
      </c>
      <c r="K88" s="76" t="n">
        <f aca="false">J88*(0.03%)</f>
        <v>0.0099225984</v>
      </c>
      <c r="L88" s="76" t="n">
        <f aca="false">J88-K88</f>
        <v>33.0654054016</v>
      </c>
      <c r="M88" s="76" t="n">
        <f aca="false">L88*G88</f>
        <v>724.13237829504</v>
      </c>
      <c r="N88" s="77" t="n">
        <f aca="false">M88/M$82</f>
        <v>0.0119410085672062</v>
      </c>
      <c r="O88" s="9"/>
    </row>
    <row r="89" s="71" customFormat="true" ht="23.25" hidden="false" customHeight="true" outlineLevel="0" collapsed="false">
      <c r="A89" s="79" t="s">
        <v>165</v>
      </c>
      <c r="B89" s="72" t="s">
        <v>39</v>
      </c>
      <c r="C89" s="85" t="s">
        <v>166</v>
      </c>
      <c r="D89" s="85" t="s">
        <v>167</v>
      </c>
      <c r="E89" s="86" t="s">
        <v>168</v>
      </c>
      <c r="F89" s="85" t="s">
        <v>162</v>
      </c>
      <c r="G89" s="85" t="n">
        <v>87.15</v>
      </c>
      <c r="H89" s="87" t="n">
        <v>160.18</v>
      </c>
      <c r="I89" s="76" t="n">
        <f aca="false">H89*0.2232</f>
        <v>35.752176</v>
      </c>
      <c r="J89" s="76" t="n">
        <f aca="false">H89+I89</f>
        <v>195.932176</v>
      </c>
      <c r="K89" s="76" t="n">
        <f aca="false">J89*(0.03%)</f>
        <v>0.0587796528</v>
      </c>
      <c r="L89" s="76" t="n">
        <f aca="false">J89-K89</f>
        <v>195.8733963472</v>
      </c>
      <c r="M89" s="76" t="n">
        <f aca="false">L89*G89</f>
        <v>17070.3664916585</v>
      </c>
      <c r="N89" s="77" t="n">
        <f aca="false">M89/M$82</f>
        <v>0.281491891029892</v>
      </c>
      <c r="O89" s="9"/>
    </row>
    <row r="90" s="71" customFormat="true" ht="23.25" hidden="false" customHeight="true" outlineLevel="0" collapsed="false">
      <c r="A90" s="79" t="s">
        <v>169</v>
      </c>
      <c r="B90" s="72" t="s">
        <v>39</v>
      </c>
      <c r="C90" s="85" t="n">
        <v>4066</v>
      </c>
      <c r="D90" s="85" t="s">
        <v>101</v>
      </c>
      <c r="E90" s="88" t="s">
        <v>170</v>
      </c>
      <c r="F90" s="85" t="s">
        <v>171</v>
      </c>
      <c r="G90" s="85" t="n">
        <v>4</v>
      </c>
      <c r="H90" s="89" t="n">
        <v>314.17</v>
      </c>
      <c r="I90" s="76" t="n">
        <f aca="false">H90*0.2232</f>
        <v>70.122744</v>
      </c>
      <c r="J90" s="76" t="n">
        <f aca="false">H90+I90</f>
        <v>384.292744</v>
      </c>
      <c r="K90" s="76" t="n">
        <f aca="false">J90*(0.03%)</f>
        <v>0.1152878232</v>
      </c>
      <c r="L90" s="76" t="n">
        <f aca="false">J90-K90</f>
        <v>384.1774561768</v>
      </c>
      <c r="M90" s="76" t="n">
        <f aca="false">L90*G90</f>
        <v>1536.7098247072</v>
      </c>
      <c r="N90" s="77" t="n">
        <f aca="false">M90/M$82</f>
        <v>0.0253404843260057</v>
      </c>
      <c r="O90" s="9"/>
    </row>
    <row r="91" s="71" customFormat="true" ht="23.25" hidden="false" customHeight="true" outlineLevel="0" collapsed="false">
      <c r="A91" s="79" t="s">
        <v>172</v>
      </c>
      <c r="B91" s="72" t="s">
        <v>39</v>
      </c>
      <c r="C91" s="80" t="n">
        <v>102161</v>
      </c>
      <c r="D91" s="80" t="s">
        <v>40</v>
      </c>
      <c r="E91" s="83" t="s">
        <v>173</v>
      </c>
      <c r="F91" s="80" t="s">
        <v>162</v>
      </c>
      <c r="G91" s="80" t="n">
        <v>27.3</v>
      </c>
      <c r="H91" s="90" t="n">
        <f aca="false">297.45-140</f>
        <v>157.45</v>
      </c>
      <c r="I91" s="76" t="n">
        <f aca="false">H91*0.2232</f>
        <v>35.14284</v>
      </c>
      <c r="J91" s="76" t="n">
        <f aca="false">H91+I91</f>
        <v>192.59284</v>
      </c>
      <c r="K91" s="76" t="n">
        <f aca="false">J91*(0.03%)</f>
        <v>0.057777852</v>
      </c>
      <c r="L91" s="76" t="n">
        <f aca="false">J91-K91</f>
        <v>192.535062148</v>
      </c>
      <c r="M91" s="76" t="n">
        <f aca="false">L91*G91</f>
        <v>5256.2071966404</v>
      </c>
      <c r="N91" s="77" t="n">
        <f aca="false">M91/M$82</f>
        <v>0.0866753331951156</v>
      </c>
      <c r="O91" s="9"/>
    </row>
    <row r="92" s="71" customFormat="true" ht="23.25" hidden="false" customHeight="true" outlineLevel="0" collapsed="false">
      <c r="A92" s="78" t="s">
        <v>174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9"/>
    </row>
    <row r="93" s="71" customFormat="true" ht="23.25" hidden="false" customHeight="true" outlineLevel="0" collapsed="false">
      <c r="A93" s="76" t="s">
        <v>175</v>
      </c>
      <c r="B93" s="72" t="s">
        <v>39</v>
      </c>
      <c r="C93" s="80" t="n">
        <v>102491</v>
      </c>
      <c r="D93" s="80" t="s">
        <v>40</v>
      </c>
      <c r="E93" s="81" t="s">
        <v>176</v>
      </c>
      <c r="F93" s="80" t="s">
        <v>162</v>
      </c>
      <c r="G93" s="80" t="n">
        <v>59.7</v>
      </c>
      <c r="H93" s="82" t="n">
        <v>23.83</v>
      </c>
      <c r="I93" s="76" t="n">
        <f aca="false">H93*0.2232</f>
        <v>5.318856</v>
      </c>
      <c r="J93" s="76" t="n">
        <f aca="false">H93+I93</f>
        <v>29.148856</v>
      </c>
      <c r="K93" s="76" t="n">
        <f aca="false">J93*(0.03%)</f>
        <v>0.0087446568</v>
      </c>
      <c r="L93" s="76" t="n">
        <f aca="false">J93-K93</f>
        <v>29.1401113432</v>
      </c>
      <c r="M93" s="76" t="n">
        <f aca="false">L93*G93</f>
        <v>1739.66464718904</v>
      </c>
      <c r="N93" s="77" t="n">
        <f aca="false">M93/M$82</f>
        <v>0.0286872277484135</v>
      </c>
      <c r="O93" s="9"/>
    </row>
    <row r="94" s="71" customFormat="true" ht="23.25" hidden="false" customHeight="true" outlineLevel="0" collapsed="false">
      <c r="A94" s="23" t="s">
        <v>177</v>
      </c>
      <c r="B94" s="23" t="s">
        <v>39</v>
      </c>
      <c r="C94" s="91" t="s">
        <v>178</v>
      </c>
      <c r="D94" s="91" t="s">
        <v>40</v>
      </c>
      <c r="E94" s="92" t="s">
        <v>179</v>
      </c>
      <c r="F94" s="91" t="s">
        <v>162</v>
      </c>
      <c r="G94" s="91" t="n">
        <v>805.93</v>
      </c>
      <c r="H94" s="82" t="n">
        <v>14.4</v>
      </c>
      <c r="I94" s="93" t="n">
        <f aca="false">H94*0.2232</f>
        <v>3.21408</v>
      </c>
      <c r="J94" s="93" t="n">
        <f aca="false">H94+I94</f>
        <v>17.61408</v>
      </c>
      <c r="K94" s="93" t="n">
        <f aca="false">J94*(0.03%)</f>
        <v>0.005284224</v>
      </c>
      <c r="L94" s="93" t="n">
        <f aca="false">J94-K94</f>
        <v>17.608795776</v>
      </c>
      <c r="M94" s="93" t="n">
        <f aca="false">L94*G94</f>
        <v>14191.4567797517</v>
      </c>
      <c r="N94" s="94" t="n">
        <f aca="false">M94/M$82</f>
        <v>0.234018408881459</v>
      </c>
      <c r="O94" s="9"/>
    </row>
    <row r="95" s="71" customFormat="true" ht="23.25" hidden="false" customHeight="true" outlineLevel="0" collapsed="false">
      <c r="A95" s="23" t="s">
        <v>180</v>
      </c>
      <c r="B95" s="23" t="s">
        <v>39</v>
      </c>
      <c r="C95" s="91" t="n">
        <v>100746</v>
      </c>
      <c r="D95" s="91" t="s">
        <v>40</v>
      </c>
      <c r="E95" s="92" t="s">
        <v>181</v>
      </c>
      <c r="F95" s="91" t="s">
        <v>162</v>
      </c>
      <c r="G95" s="91" t="n">
        <v>56.4</v>
      </c>
      <c r="H95" s="82" t="n">
        <v>29.83</v>
      </c>
      <c r="I95" s="93" t="n">
        <f aca="false">H95*0.2232</f>
        <v>6.658056</v>
      </c>
      <c r="J95" s="93" t="n">
        <f aca="false">H95+I95</f>
        <v>36.488056</v>
      </c>
      <c r="K95" s="93" t="n">
        <f aca="false">J95*(0.03%)</f>
        <v>0.0109464168</v>
      </c>
      <c r="L95" s="93" t="n">
        <f aca="false">J95-K95</f>
        <v>36.4771095832</v>
      </c>
      <c r="M95" s="93" t="n">
        <f aca="false">L95*G95</f>
        <v>2057.30898049248</v>
      </c>
      <c r="N95" s="94" t="n">
        <f aca="false">M95/M$82</f>
        <v>0.0339252116019065</v>
      </c>
      <c r="O95" s="9"/>
    </row>
    <row r="96" s="71" customFormat="true" ht="23.25" hidden="false" customHeight="true" outlineLevel="0" collapsed="false">
      <c r="A96" s="23" t="s">
        <v>182</v>
      </c>
      <c r="B96" s="23" t="s">
        <v>39</v>
      </c>
      <c r="C96" s="91" t="n">
        <v>102213</v>
      </c>
      <c r="D96" s="91" t="s">
        <v>40</v>
      </c>
      <c r="E96" s="92" t="s">
        <v>183</v>
      </c>
      <c r="F96" s="91" t="s">
        <v>162</v>
      </c>
      <c r="G96" s="91" t="n">
        <f aca="false">(3*0.8*2.1*2)+(2*1.1*6)</f>
        <v>23.28</v>
      </c>
      <c r="H96" s="82" t="n">
        <v>23.64</v>
      </c>
      <c r="I96" s="93" t="n">
        <f aca="false">H96*0.2232</f>
        <v>5.276448</v>
      </c>
      <c r="J96" s="93" t="n">
        <f aca="false">H96+I96</f>
        <v>28.916448</v>
      </c>
      <c r="K96" s="93" t="n">
        <f aca="false">J96*(0.03%)</f>
        <v>0.0086749344</v>
      </c>
      <c r="L96" s="93" t="n">
        <f aca="false">J96-K96</f>
        <v>28.9077730656</v>
      </c>
      <c r="M96" s="93" t="n">
        <f aca="false">L96*G96</f>
        <v>672.972956967168</v>
      </c>
      <c r="N96" s="94" t="n">
        <f aca="false">M96/M$82</f>
        <v>0.0110973850714474</v>
      </c>
      <c r="O96" s="9"/>
    </row>
    <row r="97" s="71" customFormat="true" ht="23.25" hidden="false" customHeight="true" outlineLevel="0" collapsed="false">
      <c r="A97" s="23" t="s">
        <v>184</v>
      </c>
      <c r="B97" s="23" t="s">
        <v>39</v>
      </c>
      <c r="C97" s="91" t="n">
        <v>88485</v>
      </c>
      <c r="D97" s="91" t="s">
        <v>40</v>
      </c>
      <c r="E97" s="92" t="s">
        <v>185</v>
      </c>
      <c r="F97" s="91" t="s">
        <v>162</v>
      </c>
      <c r="G97" s="91" t="n">
        <v>126.92</v>
      </c>
      <c r="H97" s="82" t="n">
        <v>4.91</v>
      </c>
      <c r="I97" s="93" t="n">
        <f aca="false">H97*0.2232</f>
        <v>1.095912</v>
      </c>
      <c r="J97" s="93" t="n">
        <f aca="false">H97+I97</f>
        <v>6.005912</v>
      </c>
      <c r="K97" s="93" t="n">
        <f aca="false">J97*(0.03%)</f>
        <v>0.0018017736</v>
      </c>
      <c r="L97" s="93" t="n">
        <f aca="false">J97-K97</f>
        <v>6.0041102264</v>
      </c>
      <c r="M97" s="93" t="n">
        <f aca="false">L97*G97</f>
        <v>762.041669934688</v>
      </c>
      <c r="N97" s="94" t="n">
        <f aca="false">M97/M$82</f>
        <v>0.0125661362231627</v>
      </c>
      <c r="O97" s="9"/>
    </row>
    <row r="98" s="71" customFormat="true" ht="23.25" hidden="false" customHeight="true" outlineLevel="0" collapsed="false">
      <c r="A98" s="78" t="s">
        <v>186</v>
      </c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9"/>
      <c r="Q98" s="71" t="s">
        <v>149</v>
      </c>
    </row>
    <row r="99" s="71" customFormat="true" ht="23.25" hidden="false" customHeight="true" outlineLevel="0" collapsed="false">
      <c r="A99" s="76" t="s">
        <v>187</v>
      </c>
      <c r="B99" s="72" t="s">
        <v>39</v>
      </c>
      <c r="C99" s="91" t="n">
        <v>102161</v>
      </c>
      <c r="D99" s="91" t="s">
        <v>40</v>
      </c>
      <c r="E99" s="95" t="s">
        <v>188</v>
      </c>
      <c r="F99" s="91" t="s">
        <v>162</v>
      </c>
      <c r="G99" s="91" t="n">
        <v>4.68</v>
      </c>
      <c r="H99" s="89" t="n">
        <v>297.45</v>
      </c>
      <c r="I99" s="76" t="n">
        <f aca="false">H99*0.2232</f>
        <v>66.39084</v>
      </c>
      <c r="J99" s="76" t="n">
        <f aca="false">H99+I99</f>
        <v>363.84084</v>
      </c>
      <c r="K99" s="76" t="n">
        <f aca="false">J99*(0.03%)</f>
        <v>0.109152252</v>
      </c>
      <c r="L99" s="76" t="n">
        <f aca="false">J99-K99</f>
        <v>363.731687748</v>
      </c>
      <c r="M99" s="76" t="n">
        <f aca="false">L99*G99</f>
        <v>1702.26429866064</v>
      </c>
      <c r="N99" s="77" t="n">
        <f aca="false">M99/M$82</f>
        <v>0.0280704926105018</v>
      </c>
      <c r="O99" s="9"/>
      <c r="Q99" s="71" t="n">
        <f aca="false">N83+N84+N85+N87+N88+N89+N90+N91+N93+N94+N95+N96+N97+N99</f>
        <v>1</v>
      </c>
    </row>
    <row r="100" s="97" customFormat="true" ht="16.5" hidden="false" customHeight="true" outlineLevel="0" collapsed="false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"/>
    </row>
    <row r="101" s="97" customFormat="true" ht="16.5" hidden="false" customHeight="true" outlineLevel="0" collapsed="false">
      <c r="A101" s="98"/>
      <c r="B101" s="98"/>
      <c r="C101" s="98"/>
      <c r="D101" s="98"/>
      <c r="E101" s="98"/>
      <c r="F101" s="98"/>
      <c r="G101" s="98"/>
      <c r="H101" s="99" t="s">
        <v>189</v>
      </c>
      <c r="I101" s="100"/>
      <c r="J101" s="101" t="n">
        <f aca="false">M16+M31+M82</f>
        <v>164915.926689986</v>
      </c>
      <c r="K101" s="101"/>
      <c r="L101" s="101"/>
      <c r="M101" s="101"/>
      <c r="N101" s="101"/>
      <c r="O101" s="9"/>
    </row>
    <row r="102" customFormat="false" ht="16.5" hidden="false" customHeight="true" outlineLevel="0" collapsed="false">
      <c r="A102" s="102" t="s">
        <v>190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9"/>
    </row>
    <row r="103" customFormat="false" ht="16.5" hidden="false" customHeight="true" outlineLevel="0" collapsed="false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9"/>
    </row>
    <row r="104" customFormat="false" ht="16.5" hidden="false" customHeight="true" outlineLevel="0" collapsed="false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9"/>
    </row>
    <row r="105" customFormat="false" ht="16.5" hidden="false" customHeight="true" outlineLevel="0" collapsed="false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9"/>
    </row>
    <row r="106" customFormat="false" ht="16.5" hidden="false" customHeight="true" outlineLevel="0" collapsed="false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9"/>
    </row>
    <row r="107" customFormat="false" ht="16.5" hidden="false" customHeight="true" outlineLevel="0" collapsed="false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9"/>
    </row>
    <row r="108" customFormat="false" ht="16.5" hidden="false" customHeight="true" outlineLevel="0" collapsed="false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9"/>
    </row>
    <row r="109" customFormat="false" ht="16.5" hidden="false" customHeight="true" outlineLevel="0" collapsed="false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</row>
    <row r="110" customFormat="false" ht="16.5" hidden="false" customHeight="true" outlineLevel="0" collapsed="false">
      <c r="A110" s="104" t="s">
        <v>191</v>
      </c>
      <c r="B110" s="104"/>
      <c r="C110" s="104"/>
      <c r="D110" s="104"/>
      <c r="E110" s="104"/>
      <c r="F110" s="104"/>
      <c r="G110" s="105" t="s">
        <v>192</v>
      </c>
      <c r="H110" s="105"/>
      <c r="I110" s="105"/>
      <c r="J110" s="105"/>
      <c r="K110" s="106"/>
      <c r="L110" s="106"/>
      <c r="M110" s="106"/>
      <c r="N110" s="106"/>
      <c r="O110" s="107" t="s">
        <v>193</v>
      </c>
    </row>
    <row r="111" customFormat="false" ht="16.5" hidden="false" customHeight="true" outlineLevel="0" collapsed="false">
      <c r="A111" s="108" t="s">
        <v>194</v>
      </c>
      <c r="B111" s="108"/>
      <c r="C111" s="108"/>
      <c r="D111" s="108"/>
      <c r="E111" s="108"/>
      <c r="F111" s="108"/>
      <c r="G111" s="109" t="s">
        <v>195</v>
      </c>
      <c r="H111" s="109"/>
      <c r="I111" s="109"/>
      <c r="J111" s="109"/>
      <c r="K111" s="106"/>
      <c r="L111" s="106"/>
      <c r="M111" s="106"/>
      <c r="N111" s="106"/>
      <c r="O111" s="107"/>
    </row>
    <row r="112" customFormat="false" ht="16.5" hidden="false" customHeight="true" outlineLevel="0" collapsed="false">
      <c r="A112" s="108"/>
      <c r="B112" s="108"/>
      <c r="C112" s="108"/>
      <c r="D112" s="108"/>
      <c r="E112" s="108"/>
      <c r="F112" s="108"/>
      <c r="G112" s="109"/>
      <c r="H112" s="109"/>
      <c r="I112" s="109"/>
      <c r="J112" s="109"/>
      <c r="K112" s="106"/>
      <c r="L112" s="106"/>
      <c r="M112" s="106"/>
      <c r="N112" s="106"/>
      <c r="O112" s="107"/>
    </row>
    <row r="113" customFormat="false" ht="16.5" hidden="false" customHeight="true" outlineLevel="0" collapsed="false">
      <c r="A113" s="108"/>
      <c r="B113" s="108"/>
      <c r="C113" s="108"/>
      <c r="D113" s="108"/>
      <c r="E113" s="108"/>
      <c r="F113" s="108"/>
      <c r="G113" s="109"/>
      <c r="H113" s="109"/>
      <c r="I113" s="109"/>
      <c r="J113" s="109"/>
      <c r="K113" s="106"/>
      <c r="L113" s="106"/>
      <c r="M113" s="106"/>
      <c r="N113" s="106"/>
      <c r="O113" s="107"/>
    </row>
    <row r="114" customFormat="false" ht="16.5" hidden="false" customHeight="true" outlineLevel="0" collapsed="false">
      <c r="A114" s="108"/>
      <c r="B114" s="108"/>
      <c r="C114" s="108"/>
      <c r="D114" s="108"/>
      <c r="E114" s="108"/>
      <c r="F114" s="108"/>
      <c r="G114" s="109"/>
      <c r="H114" s="109"/>
      <c r="I114" s="109"/>
      <c r="J114" s="109"/>
      <c r="K114" s="106"/>
      <c r="L114" s="106"/>
      <c r="M114" s="106"/>
      <c r="N114" s="106"/>
      <c r="O114" s="107"/>
    </row>
    <row r="115" customFormat="false" ht="16.5" hidden="false" customHeight="true" outlineLevel="0" collapsed="false">
      <c r="A115" s="108"/>
      <c r="B115" s="108"/>
      <c r="C115" s="108"/>
      <c r="D115" s="108"/>
      <c r="E115" s="108"/>
      <c r="F115" s="108"/>
      <c r="G115" s="109"/>
      <c r="H115" s="109"/>
      <c r="I115" s="109"/>
      <c r="J115" s="109"/>
      <c r="K115" s="106"/>
      <c r="L115" s="106"/>
      <c r="M115" s="106"/>
      <c r="N115" s="106"/>
      <c r="O115" s="107"/>
    </row>
    <row r="116" customFormat="false" ht="16.5" hidden="false" customHeight="true" outlineLevel="0" collapsed="false">
      <c r="A116" s="108"/>
      <c r="B116" s="108"/>
      <c r="C116" s="108"/>
      <c r="D116" s="108"/>
      <c r="E116" s="108"/>
      <c r="F116" s="108"/>
      <c r="G116" s="109"/>
      <c r="H116" s="109"/>
      <c r="I116" s="109"/>
      <c r="J116" s="109"/>
      <c r="K116" s="106"/>
      <c r="L116" s="106"/>
      <c r="M116" s="106"/>
      <c r="N116" s="106"/>
      <c r="O116" s="107"/>
    </row>
    <row r="117" customFormat="false" ht="16.5" hidden="false" customHeight="true" outlineLevel="0" collapsed="false">
      <c r="A117" s="108"/>
      <c r="B117" s="108"/>
      <c r="C117" s="108"/>
      <c r="D117" s="108"/>
      <c r="E117" s="108"/>
      <c r="F117" s="108"/>
      <c r="G117" s="109"/>
      <c r="H117" s="109"/>
      <c r="I117" s="109"/>
      <c r="J117" s="109"/>
      <c r="K117" s="106"/>
      <c r="L117" s="106"/>
      <c r="M117" s="106"/>
      <c r="N117" s="106"/>
      <c r="O117" s="107"/>
    </row>
    <row r="118" customFormat="false" ht="16.5" hidden="false" customHeight="true" outlineLevel="0" collapsed="false">
      <c r="A118" s="108"/>
      <c r="B118" s="108"/>
      <c r="C118" s="108"/>
      <c r="D118" s="108"/>
      <c r="E118" s="108"/>
      <c r="F118" s="108"/>
      <c r="G118" s="109"/>
      <c r="H118" s="109"/>
      <c r="I118" s="109"/>
      <c r="J118" s="109"/>
      <c r="K118" s="106"/>
      <c r="L118" s="106"/>
      <c r="M118" s="106"/>
      <c r="N118" s="106"/>
      <c r="O118" s="107"/>
    </row>
    <row r="119" customFormat="false" ht="16.5" hidden="false" customHeight="true" outlineLevel="0" collapsed="false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</row>
    <row r="120" customFormat="false" ht="16.5" hidden="false" customHeight="true" outlineLevel="0" collapsed="false">
      <c r="A120" s="102" t="s">
        <v>196</v>
      </c>
      <c r="B120" s="102"/>
      <c r="C120" s="102"/>
      <c r="D120" s="102"/>
      <c r="E120" s="111" t="s">
        <v>197</v>
      </c>
      <c r="F120" s="111"/>
      <c r="G120" s="111"/>
      <c r="H120" s="111"/>
      <c r="I120" s="111"/>
      <c r="J120" s="111"/>
      <c r="K120" s="112" t="s">
        <v>198</v>
      </c>
      <c r="L120" s="112"/>
      <c r="M120" s="112"/>
      <c r="N120" s="112"/>
      <c r="O120" s="113" t="s">
        <v>199</v>
      </c>
    </row>
    <row r="121" customFormat="false" ht="16.5" hidden="false" customHeight="true" outlineLevel="0" collapsed="false">
      <c r="A121" s="102"/>
      <c r="B121" s="102"/>
      <c r="C121" s="102"/>
      <c r="D121" s="102"/>
      <c r="E121" s="111"/>
      <c r="F121" s="111"/>
      <c r="G121" s="111"/>
      <c r="H121" s="111"/>
      <c r="I121" s="111"/>
      <c r="J121" s="111"/>
      <c r="K121" s="112"/>
      <c r="L121" s="112"/>
      <c r="M121" s="112"/>
      <c r="N121" s="112"/>
      <c r="O121" s="113"/>
    </row>
    <row r="122" customFormat="false" ht="16.5" hidden="false" customHeight="true" outlineLevel="0" collapsed="false">
      <c r="A122" s="114" t="s">
        <v>200</v>
      </c>
      <c r="B122" s="114"/>
      <c r="C122" s="114"/>
      <c r="D122" s="114"/>
      <c r="E122" s="114"/>
      <c r="F122" s="114"/>
      <c r="G122" s="114"/>
      <c r="H122" s="114"/>
      <c r="I122" s="114"/>
      <c r="J122" s="114"/>
      <c r="K122" s="112"/>
      <c r="L122" s="112"/>
      <c r="M122" s="112"/>
      <c r="N122" s="112"/>
      <c r="O122" s="113"/>
    </row>
    <row r="123" customFormat="false" ht="16.5" hidden="false" customHeight="true" outlineLevel="0" collapsed="false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2"/>
      <c r="L123" s="112"/>
      <c r="M123" s="112"/>
      <c r="N123" s="112"/>
      <c r="O123" s="113"/>
    </row>
    <row r="124" customFormat="false" ht="16.5" hidden="false" customHeight="true" outlineLevel="0" collapsed="false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2"/>
      <c r="L124" s="112"/>
      <c r="M124" s="112"/>
      <c r="N124" s="112"/>
      <c r="O124" s="113"/>
    </row>
    <row r="125" customFormat="false" ht="16.5" hidden="false" customHeight="true" outlineLevel="0" collapsed="false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2"/>
      <c r="L125" s="112"/>
      <c r="M125" s="112"/>
      <c r="N125" s="112"/>
      <c r="O125" s="113"/>
    </row>
    <row r="126" customFormat="false" ht="16.5" hidden="false" customHeight="true" outlineLevel="0" collapsed="false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2"/>
      <c r="L126" s="112"/>
      <c r="M126" s="112"/>
      <c r="N126" s="112"/>
      <c r="O126" s="113"/>
    </row>
    <row r="127" customFormat="false" ht="13.5" hidden="false" customHeight="true" outlineLevel="0" collapsed="false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</row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</sheetData>
  <mergeCells count="75"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08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80:A81"/>
    <mergeCell ref="B80:B81"/>
    <mergeCell ref="C80:C81"/>
    <mergeCell ref="D80:D81"/>
    <mergeCell ref="E80:E81"/>
    <mergeCell ref="F80:F81"/>
    <mergeCell ref="G80:G81"/>
    <mergeCell ref="H80:L80"/>
    <mergeCell ref="M80:M81"/>
    <mergeCell ref="N80:N81"/>
    <mergeCell ref="B82:F82"/>
    <mergeCell ref="A86:N86"/>
    <mergeCell ref="A92:N92"/>
    <mergeCell ref="A98:N98"/>
    <mergeCell ref="A101:G101"/>
    <mergeCell ref="J101:N101"/>
    <mergeCell ref="A102:N108"/>
    <mergeCell ref="A109:O109"/>
    <mergeCell ref="A110:F110"/>
    <mergeCell ref="G110:J110"/>
    <mergeCell ref="K110:N118"/>
    <mergeCell ref="O110:O118"/>
    <mergeCell ref="A111:F118"/>
    <mergeCell ref="G111:J118"/>
    <mergeCell ref="A119:O119"/>
    <mergeCell ref="A120:D121"/>
    <mergeCell ref="E120:J121"/>
    <mergeCell ref="K120:N126"/>
    <mergeCell ref="O120:O126"/>
    <mergeCell ref="A122:J126"/>
    <mergeCell ref="A127:J127"/>
    <mergeCell ref="K127:S127"/>
  </mergeCells>
  <hyperlinks>
    <hyperlink ref="E59" r:id="rId1" display="FITA VEDA ROSCA EM ROLOS DE 18 MM X 50 M (L X C)"/>
    <hyperlink ref="E64" r:id="rId2" display="MASSA PLASTICA PARA MARMORE/GRANITO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953125" defaultRowHeight="15" zeroHeight="false" outlineLevelRow="0" outlineLevelCol="0"/>
  <cols>
    <col collapsed="false" customWidth="true" hidden="false" outlineLevel="0" max="9" min="4" style="0" width="18.71"/>
  </cols>
  <sheetData>
    <row r="2" customFormat="false" ht="15" hidden="false" customHeight="false" outlineLevel="0" collapsed="false">
      <c r="D2" s="116"/>
      <c r="E2" s="117" t="s">
        <v>201</v>
      </c>
      <c r="F2" s="117"/>
      <c r="G2" s="117"/>
      <c r="H2" s="117"/>
    </row>
    <row r="3" customFormat="false" ht="15" hidden="false" customHeight="false" outlineLevel="0" collapsed="false">
      <c r="D3" s="117" t="s">
        <v>202</v>
      </c>
      <c r="E3" s="117" t="s">
        <v>203</v>
      </c>
      <c r="F3" s="117" t="s">
        <v>204</v>
      </c>
      <c r="G3" s="117" t="s">
        <v>205</v>
      </c>
      <c r="H3" s="117" t="s">
        <v>162</v>
      </c>
    </row>
    <row r="4" customFormat="false" ht="15" hidden="false" customHeight="false" outlineLevel="0" collapsed="false">
      <c r="D4" s="116" t="s">
        <v>206</v>
      </c>
      <c r="E4" s="116" t="n">
        <v>2</v>
      </c>
      <c r="F4" s="116" t="n">
        <v>107</v>
      </c>
      <c r="G4" s="116" t="n">
        <v>105.5</v>
      </c>
      <c r="H4" s="116" t="n">
        <f aca="false">E4*F4*G4/10000</f>
        <v>2.2577</v>
      </c>
    </row>
    <row r="5" customFormat="false" ht="15" hidden="false" customHeight="false" outlineLevel="0" collapsed="false">
      <c r="D5" s="116" t="s">
        <v>207</v>
      </c>
      <c r="E5" s="116" t="n">
        <v>2</v>
      </c>
      <c r="F5" s="116" t="n">
        <v>70.5</v>
      </c>
      <c r="G5" s="116" t="n">
        <v>19</v>
      </c>
      <c r="H5" s="116" t="n">
        <f aca="false">E5*F5*G5/10000</f>
        <v>0.2679</v>
      </c>
    </row>
    <row r="6" customFormat="false" ht="15" hidden="false" customHeight="false" outlineLevel="0" collapsed="false">
      <c r="D6" s="116" t="s">
        <v>208</v>
      </c>
      <c r="E6" s="116" t="n">
        <v>2</v>
      </c>
      <c r="F6" s="116" t="n">
        <v>70</v>
      </c>
      <c r="G6" s="116" t="n">
        <v>70</v>
      </c>
      <c r="H6" s="116" t="n">
        <f aca="false">E6*F6*G6/10000</f>
        <v>0.98</v>
      </c>
    </row>
    <row r="7" customFormat="false" ht="15" hidden="false" customHeight="false" outlineLevel="0" collapsed="false">
      <c r="D7" s="116" t="s">
        <v>209</v>
      </c>
      <c r="E7" s="116" t="n">
        <v>1</v>
      </c>
      <c r="F7" s="116" t="n">
        <v>55.5</v>
      </c>
      <c r="G7" s="116" t="n">
        <v>19</v>
      </c>
      <c r="H7" s="116" t="n">
        <f aca="false">E7*F7*G7/10000</f>
        <v>0.10545</v>
      </c>
    </row>
    <row r="8" customFormat="false" ht="15" hidden="false" customHeight="false" outlineLevel="0" collapsed="false">
      <c r="D8" s="116" t="s">
        <v>210</v>
      </c>
      <c r="E8" s="116" t="n">
        <v>2</v>
      </c>
      <c r="F8" s="116" t="n">
        <v>48</v>
      </c>
      <c r="G8" s="116" t="n">
        <v>18</v>
      </c>
      <c r="H8" s="116" t="n">
        <f aca="false">E8*F8*G8/10000</f>
        <v>0.1728</v>
      </c>
    </row>
    <row r="9" customFormat="false" ht="15" hidden="false" customHeight="false" outlineLevel="0" collapsed="false">
      <c r="D9" s="116" t="s">
        <v>210</v>
      </c>
      <c r="E9" s="116" t="n">
        <v>1</v>
      </c>
      <c r="F9" s="116" t="n">
        <v>94</v>
      </c>
      <c r="G9" s="116" t="n">
        <v>24</v>
      </c>
      <c r="H9" s="116" t="n">
        <f aca="false">E9*F9*G9/10000</f>
        <v>0.2256</v>
      </c>
    </row>
    <row r="10" customFormat="false" ht="15" hidden="false" customHeight="false" outlineLevel="0" collapsed="false">
      <c r="D10" s="116" t="s">
        <v>210</v>
      </c>
      <c r="E10" s="116" t="n">
        <v>2</v>
      </c>
      <c r="F10" s="116" t="n">
        <v>75</v>
      </c>
      <c r="G10" s="116" t="n">
        <v>15.5</v>
      </c>
      <c r="H10" s="116" t="n">
        <f aca="false">E10*F10*G10/10000</f>
        <v>0.2325</v>
      </c>
    </row>
    <row r="11" customFormat="false" ht="15" hidden="false" customHeight="false" outlineLevel="0" collapsed="false">
      <c r="D11" s="116" t="s">
        <v>211</v>
      </c>
      <c r="E11" s="116" t="n">
        <v>1</v>
      </c>
      <c r="F11" s="116" t="n">
        <v>70</v>
      </c>
      <c r="G11" s="116" t="n">
        <v>49</v>
      </c>
      <c r="H11" s="116" t="n">
        <f aca="false">E11*F11*G11/10000</f>
        <v>0.343</v>
      </c>
    </row>
    <row r="12" customFormat="false" ht="15" hidden="false" customHeight="false" outlineLevel="0" collapsed="false">
      <c r="D12" s="116" t="s">
        <v>212</v>
      </c>
      <c r="E12" s="116" t="n">
        <v>1</v>
      </c>
      <c r="F12" s="116" t="n">
        <v>56</v>
      </c>
      <c r="G12" s="116" t="n">
        <v>17</v>
      </c>
      <c r="H12" s="116" t="n">
        <f aca="false">E12*F12*G12/10000</f>
        <v>0.0952</v>
      </c>
    </row>
    <row r="13" customFormat="false" ht="15" hidden="false" customHeight="false" outlineLevel="0" collapsed="false">
      <c r="D13" s="118" t="s">
        <v>213</v>
      </c>
      <c r="E13" s="118"/>
      <c r="F13" s="118"/>
      <c r="G13" s="118"/>
      <c r="H13" s="119" t="n">
        <f aca="false">SUM(H4:H12)</f>
        <v>4.68015</v>
      </c>
    </row>
  </sheetData>
  <mergeCells count="2">
    <mergeCell ref="E2:H2"/>
    <mergeCell ref="D13:G1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77DC0F-C884-473E-858F-ED23241C374E}"/>
</file>

<file path=customXml/itemProps2.xml><?xml version="1.0" encoding="utf-8"?>
<ds:datastoreItem xmlns:ds="http://schemas.openxmlformats.org/officeDocument/2006/customXml" ds:itemID="{55FCC5F9-C387-43B1-B36F-416000ADA282}"/>
</file>

<file path=customXml/itemProps3.xml><?xml version="1.0" encoding="utf-8"?>
<ds:datastoreItem xmlns:ds="http://schemas.openxmlformats.org/officeDocument/2006/customXml" ds:itemID="{CE7CC064-743C-4F19-8C69-04A6A94C28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Anivaldo Junior</dc:creator>
  <dc:description/>
  <cp:lastModifiedBy/>
  <cp:revision>2</cp:revision>
  <cp:lastPrinted>2022-04-24T23:49:58Z</cp:lastPrinted>
  <dcterms:created xsi:type="dcterms:W3CDTF">2022-01-02T19:12:46Z</dcterms:created>
  <dcterms:modified xsi:type="dcterms:W3CDTF">2024-10-17T11:06:08Z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