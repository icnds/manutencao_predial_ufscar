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7-Agosto-24\"/>
    </mc:Choice>
  </mc:AlternateContent>
  <xr:revisionPtr revIDLastSave="0" documentId="13_ncr:1_{68547FB6-B0FF-43B8-8F0B-B5F1C14A5AD8}" xr6:coauthVersionLast="47" xr6:coauthVersionMax="47" xr10:uidLastSave="{00000000-0000-0000-0000-000000000000}"/>
  <bookViews>
    <workbookView xWindow="-28920" yWindow="-4890" windowWidth="29040" windowHeight="15840" xr2:uid="{00000000-000D-0000-FFFF-FFFF00000000}"/>
  </bookViews>
  <sheets>
    <sheet name="São Carlos" sheetId="1" r:id="rId1"/>
  </sheets>
  <definedNames>
    <definedName name="_xlnm.Print_Area" localSheetId="0">'São Carlos'!$A$1:$O$106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4" i="1" l="1"/>
  <c r="N73" i="1"/>
  <c r="G76" i="1" l="1"/>
  <c r="I78" i="1"/>
  <c r="J78" i="1" s="1"/>
  <c r="G77" i="1"/>
  <c r="I77" i="1"/>
  <c r="J77" i="1" s="1"/>
  <c r="G71" i="1"/>
  <c r="I71" i="1"/>
  <c r="J71" i="1" s="1"/>
  <c r="K78" i="1" l="1"/>
  <c r="L78" i="1" s="1"/>
  <c r="M78" i="1" s="1"/>
  <c r="K77" i="1"/>
  <c r="L77" i="1" s="1"/>
  <c r="M77" i="1" s="1"/>
  <c r="K71" i="1"/>
  <c r="L71" i="1" s="1"/>
  <c r="M71" i="1" s="1"/>
  <c r="I79" i="1" l="1"/>
  <c r="J79" i="1" s="1"/>
  <c r="I76" i="1"/>
  <c r="J76" i="1" s="1"/>
  <c r="G79" i="1"/>
  <c r="K79" i="1" l="1"/>
  <c r="L79" i="1" s="1"/>
  <c r="M79" i="1" s="1"/>
  <c r="K76" i="1"/>
  <c r="L76" i="1" s="1"/>
  <c r="M76" i="1" s="1"/>
  <c r="I59" i="1" l="1"/>
  <c r="J59" i="1" s="1"/>
  <c r="I58" i="1"/>
  <c r="J58" i="1" s="1"/>
  <c r="I57" i="1"/>
  <c r="J57" i="1" s="1"/>
  <c r="K57" i="1" s="1"/>
  <c r="I56" i="1"/>
  <c r="J56" i="1" s="1"/>
  <c r="G52" i="1"/>
  <c r="I46" i="1"/>
  <c r="J46" i="1" s="1"/>
  <c r="I47" i="1"/>
  <c r="J47" i="1" s="1"/>
  <c r="K47" i="1" s="1"/>
  <c r="I48" i="1"/>
  <c r="J48" i="1" s="1"/>
  <c r="I49" i="1"/>
  <c r="J49" i="1" s="1"/>
  <c r="K49" i="1" s="1"/>
  <c r="I50" i="1"/>
  <c r="J50" i="1" s="1"/>
  <c r="I51" i="1"/>
  <c r="J51" i="1" s="1"/>
  <c r="K51" i="1" s="1"/>
  <c r="I52" i="1"/>
  <c r="J52" i="1" s="1"/>
  <c r="I53" i="1"/>
  <c r="J53" i="1" s="1"/>
  <c r="K53" i="1" s="1"/>
  <c r="I54" i="1"/>
  <c r="J54" i="1" s="1"/>
  <c r="I55" i="1"/>
  <c r="J55" i="1" s="1"/>
  <c r="K55" i="1" s="1"/>
  <c r="G44" i="1"/>
  <c r="G45" i="1"/>
  <c r="I45" i="1"/>
  <c r="J45" i="1" s="1"/>
  <c r="I44" i="1"/>
  <c r="J44" i="1" s="1"/>
  <c r="I43" i="1"/>
  <c r="J43" i="1" s="1"/>
  <c r="I42" i="1"/>
  <c r="J42" i="1" s="1"/>
  <c r="I39" i="1"/>
  <c r="J39" i="1" s="1"/>
  <c r="I38" i="1"/>
  <c r="J38" i="1" s="1"/>
  <c r="I40" i="1"/>
  <c r="J40" i="1" s="1"/>
  <c r="K40" i="1" s="1"/>
  <c r="I41" i="1"/>
  <c r="J41" i="1" s="1"/>
  <c r="I37" i="1"/>
  <c r="J37" i="1" s="1"/>
  <c r="L57" i="1" l="1"/>
  <c r="M57" i="1" s="1"/>
  <c r="K59" i="1"/>
  <c r="L59" i="1" s="1"/>
  <c r="M59" i="1" s="1"/>
  <c r="K58" i="1"/>
  <c r="L58" i="1"/>
  <c r="M58" i="1" s="1"/>
  <c r="N58" i="1" s="1"/>
  <c r="K56" i="1"/>
  <c r="L56" i="1" s="1"/>
  <c r="M56" i="1" s="1"/>
  <c r="K48" i="1"/>
  <c r="L48" i="1"/>
  <c r="M48" i="1" s="1"/>
  <c r="K52" i="1"/>
  <c r="L52" i="1" s="1"/>
  <c r="M52" i="1" s="1"/>
  <c r="N52" i="1" s="1"/>
  <c r="K50" i="1"/>
  <c r="L50" i="1" s="1"/>
  <c r="M50" i="1" s="1"/>
  <c r="K54" i="1"/>
  <c r="L54" i="1" s="1"/>
  <c r="M54" i="1" s="1"/>
  <c r="K46" i="1"/>
  <c r="L46" i="1"/>
  <c r="M46" i="1" s="1"/>
  <c r="L55" i="1"/>
  <c r="M55" i="1" s="1"/>
  <c r="L53" i="1"/>
  <c r="M53" i="1" s="1"/>
  <c r="L51" i="1"/>
  <c r="M51" i="1" s="1"/>
  <c r="N51" i="1" s="1"/>
  <c r="L49" i="1"/>
  <c r="M49" i="1" s="1"/>
  <c r="N49" i="1" s="1"/>
  <c r="L47" i="1"/>
  <c r="M47" i="1" s="1"/>
  <c r="K41" i="1"/>
  <c r="L41" i="1"/>
  <c r="M41" i="1" s="1"/>
  <c r="N41" i="1" s="1"/>
  <c r="K45" i="1"/>
  <c r="L45" i="1" s="1"/>
  <c r="M45" i="1" s="1"/>
  <c r="N45" i="1" s="1"/>
  <c r="K44" i="1"/>
  <c r="L44" i="1" s="1"/>
  <c r="M44" i="1" s="1"/>
  <c r="K43" i="1"/>
  <c r="L43" i="1" s="1"/>
  <c r="M43" i="1" s="1"/>
  <c r="K42" i="1"/>
  <c r="L42" i="1" s="1"/>
  <c r="M42" i="1" s="1"/>
  <c r="N42" i="1" s="1"/>
  <c r="K39" i="1"/>
  <c r="L39" i="1" s="1"/>
  <c r="M39" i="1" s="1"/>
  <c r="N39" i="1" s="1"/>
  <c r="K38" i="1"/>
  <c r="L38" i="1" s="1"/>
  <c r="M38" i="1" s="1"/>
  <c r="L40" i="1"/>
  <c r="M40" i="1" s="1"/>
  <c r="K37" i="1"/>
  <c r="L37" i="1" s="1"/>
  <c r="M37" i="1" s="1"/>
  <c r="N44" i="1" l="1"/>
  <c r="N55" i="1"/>
  <c r="N46" i="1"/>
  <c r="N48" i="1"/>
  <c r="N40" i="1"/>
  <c r="N43" i="1"/>
  <c r="N53" i="1"/>
  <c r="N54" i="1"/>
  <c r="N59" i="1"/>
  <c r="N38" i="1"/>
  <c r="N47" i="1"/>
  <c r="N50" i="1"/>
  <c r="N56" i="1"/>
  <c r="N57" i="1"/>
  <c r="I36" i="1" l="1"/>
  <c r="J36" i="1" s="1"/>
  <c r="K36" i="1" l="1"/>
  <c r="L36" i="1" s="1"/>
  <c r="M36" i="1" s="1"/>
  <c r="N37" i="1" l="1"/>
  <c r="I35" i="1"/>
  <c r="J35" i="1" s="1"/>
  <c r="I34" i="1"/>
  <c r="J34" i="1" s="1"/>
  <c r="I33" i="1"/>
  <c r="J33" i="1" s="1"/>
  <c r="K35" i="1" l="1"/>
  <c r="L35" i="1" s="1"/>
  <c r="M35" i="1" s="1"/>
  <c r="K34" i="1"/>
  <c r="L34" i="1" s="1"/>
  <c r="K33" i="1"/>
  <c r="L33" i="1" s="1"/>
  <c r="M33" i="1" s="1"/>
  <c r="N36" i="1" l="1"/>
  <c r="M34" i="1"/>
  <c r="N34" i="1" s="1"/>
  <c r="I32" i="1"/>
  <c r="J32" i="1" s="1"/>
  <c r="N35" i="1" l="1"/>
  <c r="K32" i="1"/>
  <c r="L32" i="1" s="1"/>
  <c r="M32" i="1" s="1"/>
  <c r="N33" i="1" s="1"/>
  <c r="I70" i="1" l="1"/>
  <c r="J70" i="1" s="1"/>
  <c r="I68" i="1"/>
  <c r="J68" i="1" s="1"/>
  <c r="I69" i="1"/>
  <c r="J69" i="1" s="1"/>
  <c r="K69" i="1" s="1"/>
  <c r="K70" i="1" l="1"/>
  <c r="L70" i="1" s="1"/>
  <c r="M70" i="1" s="1"/>
  <c r="N71" i="1" s="1"/>
  <c r="K68" i="1"/>
  <c r="L68" i="1" s="1"/>
  <c r="M68" i="1" s="1"/>
  <c r="L69" i="1"/>
  <c r="M69" i="1" s="1"/>
  <c r="M67" i="1" l="1"/>
  <c r="M31" i="1"/>
  <c r="N32" i="1" s="1"/>
  <c r="N79" i="1" l="1"/>
  <c r="N76" i="1"/>
  <c r="I18" i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77" i="1" l="1"/>
  <c r="N78" i="1"/>
  <c r="N68" i="1"/>
  <c r="N70" i="1"/>
  <c r="N69" i="1"/>
  <c r="N19" i="1"/>
  <c r="N18" i="1"/>
  <c r="N23" i="1"/>
  <c r="N21" i="1"/>
  <c r="N26" i="1"/>
  <c r="N20" i="1"/>
  <c r="N27" i="1"/>
  <c r="N25" i="1"/>
  <c r="N24" i="1"/>
  <c r="N28" i="1"/>
  <c r="N22" i="1"/>
  <c r="N17" i="1"/>
  <c r="J81" i="1"/>
  <c r="N16" i="1" l="1"/>
</calcChain>
</file>

<file path=xl/sharedStrings.xml><?xml version="1.0" encoding="utf-8"?>
<sst xmlns="http://schemas.openxmlformats.org/spreadsheetml/2006/main" count="343" uniqueCount="169">
  <si>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</si>
  <si>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</si>
  <si>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</si>
  <si>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</si>
  <si>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</si>
  <si>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</si>
  <si>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</si>
  <si>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</si>
  <si>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</si>
  <si>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</si>
  <si>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</si>
  <si>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</si>
  <si>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</si>
  <si>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</si>
  <si>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</si>
  <si>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</si>
  <si>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</si>
  <si>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</si>
  <si>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</si>
  <si>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</si>
  <si>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</si>
  <si>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</si>
  <si>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</si>
  <si>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</si>
  <si>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</si>
  <si>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</si>
  <si>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</si>
  <si>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</si>
  <si>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</si>
  <si>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</si>
  <si>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</si>
  <si>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</si>
  <si>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</si>
  <si>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</si>
  <si>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</si>
  <si>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</si>
  <si>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</si>
  <si>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</si>
  <si>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</si>
  <si>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</si>
  <si>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</si>
  <si>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</si>
  <si>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</si>
  <si>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</si>
  <si>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</si>
  <si>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</si>
  <si>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</si>
  <si>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</si>
  <si>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</si>
  <si>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</si>
  <si>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</si>
  <si>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</si>
  <si>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</si>
  <si>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</si>
  <si>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</si>
  <si>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</si>
  <si>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</si>
  <si>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</si>
  <si>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</si>
  <si>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</si>
  <si>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</si>
  <si>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</si>
  <si>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</si>
  <si>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</si>
  <si>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</si>
  <si>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</si>
  <si>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</si>
  <si>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</si>
  <si>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</si>
  <si>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</si>
  <si>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</si>
  <si>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</si>
  <si>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</si>
  <si>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</si>
  <si>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</si>
  <si>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</si>
  <si>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</si>
  <si>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</si>
  <si>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</si>
  <si>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</si>
  <si>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m²</t>
  </si>
  <si>
    <t>FDE</t>
  </si>
  <si>
    <t>PINTURA COM TINTA ALQUÍDICA DE ACABAMENTO (ESMALTE SINTÉTICO BRILHANTE) APLICADA A ROLO OU PINCEL SOBRE SUPERFÍCIES METÁLICAS (EXCETO PERFIL) EXECUTADO EM OBRA (POR DEMÃO). AF_01/2020</t>
  </si>
  <si>
    <t>3.4</t>
  </si>
  <si>
    <t>3.5</t>
  </si>
  <si>
    <t>3.6</t>
  </si>
  <si>
    <t>3.7</t>
  </si>
  <si>
    <t>3.8</t>
  </si>
  <si>
    <t>3.9</t>
  </si>
  <si>
    <t>2.21</t>
  </si>
  <si>
    <t>Insumos</t>
  </si>
  <si>
    <t>2.5</t>
  </si>
  <si>
    <t>CIMENTO PORTLAND COMPOSTO CP II-32</t>
  </si>
  <si>
    <t>KG</t>
  </si>
  <si>
    <t>2.24</t>
  </si>
  <si>
    <t>2.2</t>
  </si>
  <si>
    <t>2.11</t>
  </si>
  <si>
    <t>2.26</t>
  </si>
  <si>
    <t>2.15</t>
  </si>
  <si>
    <t>2.20</t>
  </si>
  <si>
    <t>2.27</t>
  </si>
  <si>
    <t>2.10</t>
  </si>
  <si>
    <t>2.8</t>
  </si>
  <si>
    <t>M</t>
  </si>
  <si>
    <t>2.1</t>
  </si>
  <si>
    <t>2.3</t>
  </si>
  <si>
    <t>2.4</t>
  </si>
  <si>
    <t>2.6</t>
  </si>
  <si>
    <t>2.7</t>
  </si>
  <si>
    <t>2.9</t>
  </si>
  <si>
    <t>2.12</t>
  </si>
  <si>
    <t>2.13</t>
  </si>
  <si>
    <t>2.14</t>
  </si>
  <si>
    <t>2.16</t>
  </si>
  <si>
    <t>2.17</t>
  </si>
  <si>
    <t>2.18</t>
  </si>
  <si>
    <t>2.19</t>
  </si>
  <si>
    <t>2.22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</si>
  <si>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</si>
  <si>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</si>
  <si>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</si>
  <si>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</si>
  <si>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</si>
  <si>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</si>
  <si>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3.10</t>
  </si>
  <si>
    <t>ARGAMASSA COLANTE AC I PARA CERAMICAS</t>
  </si>
  <si>
    <t>VALVULA DE DESCARGA METALICA, BASE 1 1/2 " E ACABAMENTO METALICO CROMADO</t>
  </si>
  <si>
    <t>8.01.02</t>
  </si>
  <si>
    <t>ALUGUEL CAÇAMBA 4M3</t>
  </si>
  <si>
    <t>CHAPA DE ACO GALVANIZADA BITOLA GSG 26, E = 0,50 MM (4,00 KG/M2)</t>
  </si>
  <si>
    <t>H</t>
  </si>
  <si>
    <t>CAMINHÃO PIPA 10.000 L TRUCADO, PESO BRUTO TOTAL 23.000 KG, CARGA ÚTIL MÁXIMA 15.935 KG, DISTÂNCIA ENTRE EIXOS 4,8 M, POTÊNCIA 230 CV, INCLUSIVE 
TANQUE 
DE 
AÇO 
PARA 
TRANSPORTE 
DE 
ÁGUA 
- 
MATERIAIS 
NA 
OPERAÇÃO. 
AF_06/2014</t>
  </si>
  <si>
    <t>AREIA GROSSA - POSTO JAZIDA/FORNECEDOR (RETIRADO NA JAZIDA, SEM TRANSPORTE)</t>
  </si>
  <si>
    <t>m3</t>
  </si>
  <si>
    <t>AREIA FINA - POSTO JAZIDA/FORNECEDOR (RETIRADO NA JAZIDA, SEM TRANSPORTE)</t>
  </si>
  <si>
    <t>PISO EM CERAMICA ESMALTADA EXTRA, COR LISA, PEI MAIOR OU IGUAL A 4, FORMATO MAIOR QUE 2025 CM2</t>
  </si>
  <si>
    <t>M2</t>
  </si>
  <si>
    <t>ARAME RECOZIDO 16 BWG, D = 1,65 MM (0,016 KG/M) OU 18 BWG, D = 1,25 MM (0,01 KG/M)</t>
  </si>
  <si>
    <t>ARGAMASSA COLANTE AC II</t>
  </si>
  <si>
    <t>FECHADURA ESPELHO PARA PORTA EXTERNA, EM ACO INOX (MAQUINA, TESTA E CONTRA-TESTA) E EM ZAMAC (MACANETA, LINGUETA E TRINCOS) COM ACABAMENTO CROMADO, MAQUINA DE 40 MM, INCLUINDO CHAVE TIPO CILINDRO</t>
  </si>
  <si>
    <t>ACO CA-60, 4,2 MM, OU 5,0 MM, OU 6,0 MM, OU 7,0 MM, VERGALHAO</t>
  </si>
  <si>
    <t>ACO CA-50, 8,0 MM, VERGALHAO</t>
  </si>
  <si>
    <t>REVESTIMENTO EM CERAMICA ESMALTADA COMERCIAL, PEI MENOR OU IGUAL A 3, FORMATO MENOR OU IGUAL A 2025 CM2</t>
  </si>
  <si>
    <t>JANELA BASCULANTE, EM ALUMINIO PERFIL 20, 80 X 60 CM (A X L), 4 FLS (1 FIXA E 3 MOVEIS), ACABAMENTO BRANCO OU BRILHANTE, BATENTE DE 3 A 4 CM, COM VIDRO 4 MM, SEM GUARNICAO</t>
  </si>
  <si>
    <t>REJUNTE CIMENTICIO, QUALQUER COR</t>
  </si>
  <si>
    <t>TANQUE SIMPLES EM MARMORE SINTETICO DE FIXAR NA PAREDE, CAPACIDADE *22* L, *60 X 46* CM</t>
  </si>
  <si>
    <t>TELA DE ARAME GALVANIZADA, HEXAGONAL, FIO 0,56 MM (24 BWG), MALHA 1/2", H = 1 M</t>
  </si>
  <si>
    <t>TELHA DE FIBROCIMENTO ONDULADA E = 6 MM, DE 3,66 X 1,10 M (SEM AMIANTO)</t>
  </si>
  <si>
    <t>TELHA DE FIBROCIMENTO ONDULADA E = 6 MM, DE 2,44 X 1,10 M (SEM AMIANTO)</t>
  </si>
  <si>
    <t>BLOCO CERAMICO / TIJOLO VAZADO PARA ALVENARIA DE VEDACAO, 8 FUROS NA HORIZONTAL DE 9 X 19 X 19 CM (L X A X C)</t>
  </si>
  <si>
    <t>TIJOLO CERAMICO MACICO COMUM DE *5 X 10 X 20* CM (L X A X C)</t>
  </si>
  <si>
    <t>TUBO PVC SERIE NORMAL, DN 100 MM, PARA ESGOTO PREDIAL (NBR 5688)</t>
  </si>
  <si>
    <t>UNIAO PVC, SOLDAVEL, 50 MM, PARA AGUA FRIA PREDIAL</t>
  </si>
  <si>
    <t>TE SOLDAVEL, PVC, 90 GRAUS, 75 MM, PARA AGUA FRIA PREDIAL (NBR 5648)</t>
  </si>
  <si>
    <t>BUCHA DE REDUCAO DE PVC, SOLDAVEL, LONGA, COM 75 X 50 MM, PARA AGUA FRIA PREDIAL</t>
  </si>
  <si>
    <t>REGISTRO DE ESFERA, PVC, COM VOLANTE, VS, SOLDAVEL, DN 60 MM, COM CORPO DIVIDIDO</t>
  </si>
  <si>
    <t>Serviço</t>
  </si>
  <si>
    <t>PORTA DE FERRO, DE ABRIR, TIPO GRADE COM CHAPA, COM GUARNIÇÕES. AF_12/2019</t>
  </si>
  <si>
    <t>Porta Depto Fisica - Criogenia</t>
  </si>
  <si>
    <t>UNID</t>
  </si>
  <si>
    <t>INSTALAÇÃO DE VIDRO LISO INCOLOR, E = 3 MM, EM ESQUADRIA DE ALUMÍNIO OU PVC, FIXADO COM BAGUETE. AF_01/2021_PS</t>
  </si>
  <si>
    <t>TRANSPORTE COM CAMINHÃO BASCULANTE DE 10 M³, EM VIA URBANA EM LEITO NATURAL (UNIDADE: M3XKM). AF_07/2020</t>
  </si>
  <si>
    <t>M3XKM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</si>
  <si>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AGOSTO/2024</t>
    </r>
  </si>
  <si>
    <t xml:space="preserve">FECHADURA DE EMBUTIR COM CILINDRO, EXTERNA, COMPLETA, ACABAMENTO PADRÃO POPULAR, INCLUSO EXECUÇÃO DE FURO - FORNECIMENTO E INSTALAÇÃO. AF_12/2019 </t>
  </si>
  <si>
    <t>ORSE (05/23)</t>
  </si>
  <si>
    <t>GRADE EM METALON</t>
  </si>
  <si>
    <t>PINTURA DE GRADIL METALICO</t>
  </si>
  <si>
    <t>Grades de proteção para esquadrias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</si>
</sst>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Arial"/>
      <family val="1"/>
    </font>
    <font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name val="Arial"/>
      <family val="2"/>
      <charset val="1"/>
    </font>
    <font>
      <sz val="8"/>
      <color rgb="FF000000"/>
      <name val="Arial"/>
      <family val="2"/>
    </font>
    <font>
      <b/>
      <sz val="8"/>
      <color theme="4"/>
      <name val="Arial"/>
      <family val="2"/>
    </font>
    <font>
      <b/>
      <sz val="8"/>
      <color rgb="FFFF0000"/>
      <name val="Arial"/>
      <family val="1"/>
    </font>
    <font>
      <b/>
      <sz val="8"/>
      <color theme="4"/>
      <name val="Arial"/>
      <family val="1"/>
    </font>
    <font>
      <sz val="8"/>
      <color theme="4"/>
      <name val="Arial"/>
      <family val="1"/>
    </font>
    <font>
      <sz val="8"/>
      <color theme="4"/>
      <name val="Arial"/>
      <family val="2"/>
    </font>
    <font>
      <sz val="8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4" fillId="0" borderId="0"/>
    <xf numFmtId="164" fontId="24" fillId="0" borderId="0" applyBorder="0" applyProtection="0"/>
    <xf numFmtId="0" fontId="25" fillId="0" borderId="0" applyBorder="0" applyProtection="0"/>
    <xf numFmtId="0" fontId="16" fillId="4" borderId="1" applyProtection="0"/>
    <xf numFmtId="0" fontId="26" fillId="0" borderId="0"/>
  </cellStyleXfs>
  <cellXfs count="181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0" fontId="15" fillId="0" borderId="24" xfId="0" applyFont="1" applyBorder="1"/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top" wrapText="1"/>
    </xf>
    <xf numFmtId="0" fontId="23" fillId="0" borderId="24" xfId="0" applyFont="1" applyBorder="1"/>
    <xf numFmtId="0" fontId="15" fillId="0" borderId="24" xfId="0" applyFont="1" applyBorder="1" applyAlignment="1">
      <alignment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4" fontId="8" fillId="0" borderId="24" xfId="0" applyNumberFormat="1" applyFont="1" applyBorder="1" applyAlignment="1">
      <alignment horizontal="center" vertical="center" wrapText="1"/>
    </xf>
    <xf numFmtId="4" fontId="22" fillId="0" borderId="24" xfId="2" applyNumberFormat="1" applyFont="1" applyFill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27" fillId="0" borderId="24" xfId="5" applyFont="1" applyFill="1" applyBorder="1" applyAlignment="1" applyProtection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4" fontId="27" fillId="0" borderId="24" xfId="6" applyNumberFormat="1" applyFont="1" applyBorder="1" applyAlignment="1" applyProtection="1">
      <alignment horizontal="center" vertical="center"/>
    </xf>
    <xf numFmtId="0" fontId="27" fillId="0" borderId="0" xfId="0" applyFont="1"/>
    <xf numFmtId="0" fontId="9" fillId="0" borderId="24" xfId="5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4" fontId="13" fillId="0" borderId="16" xfId="2" applyNumberFormat="1" applyFont="1" applyFill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28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left" vertical="center"/>
    </xf>
    <xf numFmtId="0" fontId="23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top" wrapText="1"/>
    </xf>
    <xf numFmtId="2" fontId="22" fillId="0" borderId="24" xfId="0" applyNumberFormat="1" applyFont="1" applyBorder="1" applyAlignment="1">
      <alignment horizontal="center" vertical="center" wrapText="1"/>
    </xf>
    <xf numFmtId="4" fontId="29" fillId="0" borderId="24" xfId="2" applyNumberFormat="1" applyFont="1" applyBorder="1" applyAlignment="1" applyProtection="1">
      <alignment horizontal="center" vertical="center"/>
    </xf>
    <xf numFmtId="4" fontId="29" fillId="0" borderId="24" xfId="0" applyNumberFormat="1" applyFont="1" applyBorder="1" applyAlignment="1">
      <alignment horizontal="center" vertical="center" wrapText="1"/>
    </xf>
    <xf numFmtId="4" fontId="30" fillId="5" borderId="15" xfId="0" applyNumberFormat="1" applyFont="1" applyFill="1" applyBorder="1" applyAlignment="1">
      <alignment horizontal="center" vertical="center" wrapText="1"/>
    </xf>
    <xf numFmtId="4" fontId="31" fillId="5" borderId="14" xfId="0" applyNumberFormat="1" applyFont="1" applyFill="1" applyBorder="1" applyAlignment="1">
      <alignment horizontal="center" vertical="center" wrapText="1"/>
    </xf>
    <xf numFmtId="4" fontId="31" fillId="5" borderId="15" xfId="0" applyNumberFormat="1" applyFont="1" applyFill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4" fontId="10" fillId="0" borderId="24" xfId="1" applyNumberFormat="1" applyFont="1" applyFill="1" applyBorder="1" applyAlignment="1">
      <alignment horizontal="center" vertical="center"/>
    </xf>
    <xf numFmtId="4" fontId="29" fillId="0" borderId="24" xfId="1" applyNumberFormat="1" applyFont="1" applyFill="1" applyBorder="1" applyAlignment="1">
      <alignment horizontal="center" vertical="center"/>
    </xf>
    <xf numFmtId="0" fontId="29" fillId="0" borderId="24" xfId="1" applyFont="1" applyFill="1" applyBorder="1" applyAlignment="1">
      <alignment horizontal="center" vertical="center"/>
    </xf>
    <xf numFmtId="2" fontId="29" fillId="0" borderId="24" xfId="5" applyNumberFormat="1" applyFont="1" applyFill="1" applyBorder="1" applyAlignment="1" applyProtection="1">
      <alignment horizontal="center" vertical="center"/>
    </xf>
    <xf numFmtId="4" fontId="33" fillId="0" borderId="24" xfId="2" applyNumberFormat="1" applyFont="1" applyFill="1" applyBorder="1" applyAlignment="1" applyProtection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2" fontId="29" fillId="0" borderId="24" xfId="1" applyNumberFormat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4" fontId="13" fillId="0" borderId="0" xfId="0" applyNumberFormat="1" applyFont="1"/>
    <xf numFmtId="43" fontId="13" fillId="0" borderId="0" xfId="0" applyNumberFormat="1" applyFont="1"/>
    <xf numFmtId="4" fontId="34" fillId="0" borderId="16" xfId="2" applyNumberFormat="1" applyFont="1" applyFill="1" applyBorder="1" applyAlignment="1" applyProtection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2" fillId="0" borderId="24" xfId="0" applyFont="1" applyBorder="1" applyAlignment="1">
      <alignment vertical="center" wrapText="1"/>
    </xf>
    <xf numFmtId="4" fontId="34" fillId="0" borderId="24" xfId="2" applyNumberFormat="1" applyFont="1" applyFill="1" applyBorder="1" applyAlignment="1" applyProtection="1">
      <alignment horizontal="center" vertical="center"/>
    </xf>
    <xf numFmtId="0" fontId="32" fillId="0" borderId="24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"/>
  <sheetViews>
    <sheetView tabSelected="1" zoomScale="85" zoomScaleNormal="85" workbookViewId="0">
      <selection activeCell="O100" sqref="A1:O106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8" max="18" width="9.5703125" bestFit="1" customWidth="1"/>
  </cols>
  <sheetData>
    <row r="1" spans="1:15" ht="17.100000000000001" customHeight="1" x14ac:dyDescent="0.25">
      <c r="A1" s="105" t="s">
        <v>0</v>
      </c>
      <c r="B1" s="106"/>
      <c r="C1" s="106"/>
      <c r="D1" s="106"/>
      <c r="E1" s="106"/>
      <c r="F1" s="106"/>
      <c r="G1" s="106"/>
      <c r="H1" s="106"/>
      <c r="I1" s="107"/>
      <c r="J1" s="114" t="s">
        <v>1</v>
      </c>
      <c r="K1" s="114"/>
      <c r="L1" s="114"/>
      <c r="M1" s="114"/>
      <c r="N1" s="114"/>
      <c r="O1" s="115"/>
    </row>
    <row r="2" spans="1:15" ht="17.100000000000001" customHeight="1" x14ac:dyDescent="0.25">
      <c r="A2" s="108"/>
      <c r="B2" s="109"/>
      <c r="C2" s="109"/>
      <c r="D2" s="109"/>
      <c r="E2" s="109"/>
      <c r="F2" s="109"/>
      <c r="G2" s="109"/>
      <c r="H2" s="109"/>
      <c r="I2" s="110"/>
      <c r="J2" s="116" t="s">
        <v>2</v>
      </c>
      <c r="K2" s="116"/>
      <c r="L2" s="116"/>
      <c r="M2" s="116"/>
      <c r="N2" s="116"/>
      <c r="O2" s="117"/>
    </row>
    <row r="3" spans="1:15" ht="17.100000000000001" customHeight="1" x14ac:dyDescent="0.25">
      <c r="A3" s="108"/>
      <c r="B3" s="109"/>
      <c r="C3" s="109"/>
      <c r="D3" s="109"/>
      <c r="E3" s="109"/>
      <c r="F3" s="109"/>
      <c r="G3" s="109"/>
      <c r="H3" s="109"/>
      <c r="I3" s="110"/>
      <c r="J3" s="116" t="s">
        <v>3</v>
      </c>
      <c r="K3" s="116"/>
      <c r="L3" s="116"/>
      <c r="M3" s="116" t="s">
        <v>4</v>
      </c>
      <c r="N3" s="116"/>
      <c r="O3" s="1"/>
    </row>
    <row r="4" spans="1:15" ht="17.100000000000001" customHeight="1" x14ac:dyDescent="0.25">
      <c r="A4" s="108"/>
      <c r="B4" s="109"/>
      <c r="C4" s="109"/>
      <c r="D4" s="109"/>
      <c r="E4" s="109"/>
      <c r="F4" s="109"/>
      <c r="G4" s="109"/>
      <c r="H4" s="109"/>
      <c r="I4" s="110"/>
      <c r="J4" s="116" t="s">
        <v>5</v>
      </c>
      <c r="K4" s="116"/>
      <c r="L4" s="116"/>
      <c r="M4" s="116" t="s">
        <v>6</v>
      </c>
      <c r="N4" s="116"/>
      <c r="O4" s="2"/>
    </row>
    <row r="5" spans="1:15" ht="17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10"/>
      <c r="J5" s="116" t="s">
        <v>7</v>
      </c>
      <c r="K5" s="116"/>
      <c r="L5" s="116"/>
      <c r="M5" s="116" t="s">
        <v>8</v>
      </c>
      <c r="N5" s="116"/>
      <c r="O5" s="1"/>
    </row>
    <row r="6" spans="1:15" ht="17.100000000000001" customHeight="1" x14ac:dyDescent="0.25">
      <c r="A6" s="111"/>
      <c r="B6" s="112"/>
      <c r="C6" s="112"/>
      <c r="D6" s="112"/>
      <c r="E6" s="112"/>
      <c r="F6" s="112"/>
      <c r="G6" s="112"/>
      <c r="H6" s="112"/>
      <c r="I6" s="113"/>
      <c r="J6" s="116" t="s">
        <v>9</v>
      </c>
      <c r="K6" s="116"/>
      <c r="L6" s="116"/>
      <c r="M6" s="116" t="s">
        <v>10</v>
      </c>
      <c r="N6" s="116"/>
      <c r="O6" s="1"/>
    </row>
    <row r="7" spans="1:15" ht="17.100000000000001" customHeight="1" x14ac:dyDescent="0.25">
      <c r="A7" s="89" t="s">
        <v>11</v>
      </c>
      <c r="B7" s="90"/>
      <c r="C7" s="90"/>
      <c r="D7" s="90"/>
      <c r="E7" s="90"/>
      <c r="F7" s="90"/>
      <c r="G7" s="90"/>
      <c r="H7" s="90"/>
      <c r="I7" s="91"/>
      <c r="J7" s="92" t="s">
        <v>51</v>
      </c>
      <c r="K7" s="93"/>
      <c r="L7" s="93"/>
      <c r="M7" s="93"/>
      <c r="N7" s="94"/>
      <c r="O7" s="95" t="s">
        <v>12</v>
      </c>
    </row>
    <row r="8" spans="1:15" ht="17.100000000000001" customHeight="1" x14ac:dyDescent="0.25">
      <c r="A8" s="96" t="s">
        <v>163</v>
      </c>
      <c r="B8" s="97"/>
      <c r="C8" s="97"/>
      <c r="D8" s="97"/>
      <c r="E8" s="97"/>
      <c r="F8" s="97"/>
      <c r="G8" s="97"/>
      <c r="H8" s="97"/>
      <c r="I8" s="98"/>
      <c r="J8" s="92" t="s">
        <v>13</v>
      </c>
      <c r="K8" s="93"/>
      <c r="L8" s="93"/>
      <c r="M8" s="93"/>
      <c r="N8" s="94"/>
      <c r="O8" s="95"/>
    </row>
    <row r="9" spans="1:15" ht="17.100000000000001" customHeight="1" x14ac:dyDescent="0.25">
      <c r="A9" s="99"/>
      <c r="B9" s="100"/>
      <c r="C9" s="100"/>
      <c r="D9" s="100"/>
      <c r="E9" s="100"/>
      <c r="F9" s="100"/>
      <c r="G9" s="100"/>
      <c r="H9" s="100"/>
      <c r="I9" s="101"/>
      <c r="J9" s="92" t="s">
        <v>14</v>
      </c>
      <c r="K9" s="93"/>
      <c r="L9" s="93"/>
      <c r="M9" s="93"/>
      <c r="N9" s="94"/>
      <c r="O9" s="95"/>
    </row>
    <row r="10" spans="1:15" ht="17.100000000000001" customHeight="1" x14ac:dyDescent="0.25">
      <c r="A10" s="99"/>
      <c r="B10" s="100"/>
      <c r="C10" s="100"/>
      <c r="D10" s="100"/>
      <c r="E10" s="100"/>
      <c r="F10" s="100"/>
      <c r="G10" s="100"/>
      <c r="H10" s="100"/>
      <c r="I10" s="101"/>
      <c r="J10" s="92" t="s">
        <v>15</v>
      </c>
      <c r="K10" s="93"/>
      <c r="L10" s="93"/>
      <c r="M10" s="93"/>
      <c r="N10" s="94"/>
      <c r="O10" s="95"/>
    </row>
    <row r="11" spans="1:15" ht="17.100000000000001" customHeight="1" x14ac:dyDescent="0.25">
      <c r="A11" s="99"/>
      <c r="B11" s="100"/>
      <c r="C11" s="100"/>
      <c r="D11" s="100"/>
      <c r="E11" s="100"/>
      <c r="F11" s="100"/>
      <c r="G11" s="100"/>
      <c r="H11" s="100"/>
      <c r="I11" s="101"/>
      <c r="J11" s="92" t="s">
        <v>50</v>
      </c>
      <c r="K11" s="93"/>
      <c r="L11" s="93"/>
      <c r="M11" s="93"/>
      <c r="N11" s="94"/>
      <c r="O11" s="95"/>
    </row>
    <row r="12" spans="1:15" ht="17.100000000000001" customHeight="1" x14ac:dyDescent="0.25">
      <c r="A12" s="99"/>
      <c r="B12" s="100"/>
      <c r="C12" s="100"/>
      <c r="D12" s="100"/>
      <c r="E12" s="100"/>
      <c r="F12" s="100"/>
      <c r="G12" s="100"/>
      <c r="H12" s="100"/>
      <c r="I12" s="101"/>
      <c r="J12" s="92" t="s">
        <v>123</v>
      </c>
      <c r="K12" s="93"/>
      <c r="L12" s="93"/>
      <c r="M12" s="93"/>
      <c r="N12" s="94"/>
      <c r="O12" s="95"/>
    </row>
    <row r="13" spans="1:15" ht="17.100000000000001" customHeight="1" x14ac:dyDescent="0.25">
      <c r="A13" s="102"/>
      <c r="B13" s="103"/>
      <c r="C13" s="103"/>
      <c r="D13" s="103"/>
      <c r="E13" s="103"/>
      <c r="F13" s="103"/>
      <c r="G13" s="103"/>
      <c r="H13" s="103"/>
      <c r="I13" s="104"/>
      <c r="J13" s="92" t="s">
        <v>122</v>
      </c>
      <c r="K13" s="93"/>
      <c r="L13" s="93"/>
      <c r="M13" s="93"/>
      <c r="N13" s="94"/>
      <c r="O13" s="95"/>
    </row>
    <row r="14" spans="1:15" ht="17.100000000000001" customHeight="1" x14ac:dyDescent="0.25">
      <c r="A14" s="118" t="s">
        <v>16</v>
      </c>
      <c r="B14" s="120" t="s">
        <v>17</v>
      </c>
      <c r="C14" s="120" t="s">
        <v>18</v>
      </c>
      <c r="D14" s="120" t="s">
        <v>19</v>
      </c>
      <c r="E14" s="120" t="s">
        <v>20</v>
      </c>
      <c r="F14" s="120" t="s">
        <v>21</v>
      </c>
      <c r="G14" s="120" t="s">
        <v>22</v>
      </c>
      <c r="H14" s="122" t="s">
        <v>23</v>
      </c>
      <c r="I14" s="122"/>
      <c r="J14" s="122"/>
      <c r="K14" s="122"/>
      <c r="L14" s="123"/>
      <c r="M14" s="120" t="s">
        <v>24</v>
      </c>
      <c r="N14" s="120" t="s">
        <v>25</v>
      </c>
      <c r="O14" s="95" t="s">
        <v>26</v>
      </c>
    </row>
    <row r="15" spans="1:15" ht="17.100000000000001" customHeight="1" x14ac:dyDescent="0.25">
      <c r="A15" s="119"/>
      <c r="B15" s="121"/>
      <c r="C15" s="121"/>
      <c r="D15" s="121"/>
      <c r="E15" s="121"/>
      <c r="F15" s="121"/>
      <c r="G15" s="121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21"/>
      <c r="N15" s="121"/>
      <c r="O15" s="95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81379.477670348002</v>
      </c>
      <c r="N16" s="10">
        <f>SUM(N17:N28)</f>
        <v>1</v>
      </c>
      <c r="O16" s="95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192</v>
      </c>
      <c r="H17" s="68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11243.803062835199</v>
      </c>
      <c r="N17" s="14">
        <f>M17/M$16</f>
        <v>0.13816509253575696</v>
      </c>
      <c r="O17" s="124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189</v>
      </c>
      <c r="H18" s="68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8345.5787030616011</v>
      </c>
      <c r="N18" s="14">
        <f t="shared" ref="N18:N28" si="5">M18/M$16</f>
        <v>0.10255139184928014</v>
      </c>
      <c r="O18" s="124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68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9.7667992237409657E-2</v>
      </c>
      <c r="O19" s="124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180</v>
      </c>
      <c r="H20" s="68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6552.6731281440007</v>
      </c>
      <c r="N20" s="14">
        <f t="shared" si="5"/>
        <v>8.0519970338069374E-2</v>
      </c>
      <c r="O20" s="124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180</v>
      </c>
      <c r="H21" s="68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8.0519970338069374E-2</v>
      </c>
      <c r="O21" s="124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182</v>
      </c>
      <c r="H22" s="68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7248.6363245296006</v>
      </c>
      <c r="N22" s="14">
        <f t="shared" si="5"/>
        <v>8.9072042879070543E-2</v>
      </c>
      <c r="O22" s="124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182</v>
      </c>
      <c r="H23" s="68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7248.6363245296006</v>
      </c>
      <c r="N23" s="14">
        <f t="shared" si="5"/>
        <v>8.9072042879070543E-2</v>
      </c>
      <c r="O23" s="124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180</v>
      </c>
      <c r="H24" s="68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8.2169858880434918E-2</v>
      </c>
      <c r="O24" s="124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180</v>
      </c>
      <c r="H25" s="68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8.2169858880434918E-2</v>
      </c>
      <c r="O25" s="124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180</v>
      </c>
      <c r="H26" s="68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8.2169858880434918E-2</v>
      </c>
      <c r="O26" s="124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17">
        <v>180</v>
      </c>
      <c r="H27" s="68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6178.4862179040001</v>
      </c>
      <c r="N27" s="14">
        <f t="shared" si="5"/>
        <v>7.5921920301968676E-2</v>
      </c>
      <c r="O27" s="124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17">
        <v>0</v>
      </c>
      <c r="H28" s="68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0</v>
      </c>
      <c r="N28" s="14">
        <f t="shared" si="5"/>
        <v>0</v>
      </c>
      <c r="O28" s="124"/>
    </row>
    <row r="29" spans="1:15" x14ac:dyDescent="0.25">
      <c r="A29" s="118" t="s">
        <v>16</v>
      </c>
      <c r="B29" s="120" t="s">
        <v>17</v>
      </c>
      <c r="C29" s="120" t="s">
        <v>18</v>
      </c>
      <c r="D29" s="120" t="s">
        <v>19</v>
      </c>
      <c r="E29" s="120" t="s">
        <v>20</v>
      </c>
      <c r="F29" s="120" t="s">
        <v>21</v>
      </c>
      <c r="G29" s="120" t="s">
        <v>22</v>
      </c>
      <c r="H29" s="122" t="s">
        <v>23</v>
      </c>
      <c r="I29" s="122"/>
      <c r="J29" s="122"/>
      <c r="K29" s="122"/>
      <c r="L29" s="123"/>
      <c r="M29" s="120" t="s">
        <v>24</v>
      </c>
      <c r="N29" s="120" t="s">
        <v>25</v>
      </c>
      <c r="O29" s="124"/>
    </row>
    <row r="30" spans="1:15" ht="17.100000000000001" customHeight="1" x14ac:dyDescent="0.25">
      <c r="A30" s="119"/>
      <c r="B30" s="121"/>
      <c r="C30" s="121"/>
      <c r="D30" s="121"/>
      <c r="E30" s="121"/>
      <c r="F30" s="121"/>
      <c r="G30" s="121"/>
      <c r="H30" s="3" t="s">
        <v>27</v>
      </c>
      <c r="I30" s="26" t="s">
        <v>36</v>
      </c>
      <c r="J30" s="3" t="s">
        <v>29</v>
      </c>
      <c r="K30" s="4" t="s">
        <v>52</v>
      </c>
      <c r="L30" s="3" t="s">
        <v>30</v>
      </c>
      <c r="M30" s="121"/>
      <c r="N30" s="121"/>
      <c r="O30" s="95"/>
    </row>
    <row r="31" spans="1:15" ht="17.100000000000001" customHeight="1" x14ac:dyDescent="0.25">
      <c r="A31" s="15">
        <v>2</v>
      </c>
      <c r="B31" s="125" t="s">
        <v>37</v>
      </c>
      <c r="C31" s="125"/>
      <c r="D31" s="126"/>
      <c r="E31" s="126"/>
      <c r="F31" s="126"/>
      <c r="G31" s="16"/>
      <c r="H31" s="16"/>
      <c r="I31" s="16"/>
      <c r="J31" s="16"/>
      <c r="K31" s="16"/>
      <c r="L31" s="16"/>
      <c r="M31" s="22">
        <f>SUM(M32:M64)</f>
        <v>18189.473676113274</v>
      </c>
      <c r="N31" s="16"/>
      <c r="O31" s="124"/>
    </row>
    <row r="32" spans="1:15" s="19" customFormat="1" ht="17.100000000000001" customHeight="1" x14ac:dyDescent="0.2">
      <c r="A32" s="18" t="s">
        <v>104</v>
      </c>
      <c r="B32" s="18" t="s">
        <v>90</v>
      </c>
      <c r="C32" s="18">
        <v>1379</v>
      </c>
      <c r="D32" s="18" t="s">
        <v>34</v>
      </c>
      <c r="E32" s="42" t="s">
        <v>92</v>
      </c>
      <c r="F32" s="18" t="s">
        <v>21</v>
      </c>
      <c r="G32" s="18">
        <v>3000</v>
      </c>
      <c r="H32" s="75">
        <v>0.6</v>
      </c>
      <c r="I32" s="14">
        <f t="shared" ref="I32" si="6">H32*0.1532</f>
        <v>9.1920000000000002E-2</v>
      </c>
      <c r="J32" s="14">
        <f t="shared" ref="J32" si="7">H32+I32</f>
        <v>0.69191999999999998</v>
      </c>
      <c r="K32" s="14">
        <f t="shared" ref="K32" si="8">J32*(0.03%)</f>
        <v>2.0757599999999998E-4</v>
      </c>
      <c r="L32" s="14">
        <f t="shared" ref="L32" si="9">J32-K32</f>
        <v>0.69171242399999999</v>
      </c>
      <c r="M32" s="14">
        <f t="shared" ref="M32:M34" si="10">L32*G32</f>
        <v>2075.1372719999999</v>
      </c>
      <c r="N32" s="14">
        <f>M32/M31</f>
        <v>0.11408451442578603</v>
      </c>
      <c r="O32" s="124"/>
    </row>
    <row r="33" spans="1:15" s="19" customFormat="1" ht="17.100000000000001" customHeight="1" x14ac:dyDescent="0.2">
      <c r="A33" s="18" t="s">
        <v>95</v>
      </c>
      <c r="B33" s="18" t="s">
        <v>90</v>
      </c>
      <c r="C33" s="18">
        <v>34353</v>
      </c>
      <c r="D33" s="18" t="s">
        <v>34</v>
      </c>
      <c r="E33" s="42" t="s">
        <v>138</v>
      </c>
      <c r="F33" s="18" t="s">
        <v>93</v>
      </c>
      <c r="G33" s="18">
        <v>200</v>
      </c>
      <c r="H33" s="74">
        <v>1.39</v>
      </c>
      <c r="I33" s="14">
        <f t="shared" ref="I33:I35" si="11">H33*0.1532</f>
        <v>0.212948</v>
      </c>
      <c r="J33" s="14">
        <f t="shared" ref="J33:J39" si="12">H33+I33</f>
        <v>1.6029479999999998</v>
      </c>
      <c r="K33" s="14">
        <f t="shared" ref="K33:K39" si="13">J33*(0.03%)</f>
        <v>4.8088439999999992E-4</v>
      </c>
      <c r="L33" s="14">
        <f t="shared" ref="L33:L39" si="14">J33-K33</f>
        <v>1.6024671155999999</v>
      </c>
      <c r="M33" s="14">
        <f t="shared" si="10"/>
        <v>320.49342311999999</v>
      </c>
      <c r="N33" s="14">
        <f t="shared" ref="N33:N59" si="15">M33/M32</f>
        <v>0.15444444444444444</v>
      </c>
      <c r="O33" s="124"/>
    </row>
    <row r="34" spans="1:15" s="19" customFormat="1" ht="17.100000000000001" customHeight="1" x14ac:dyDescent="0.2">
      <c r="A34" s="18" t="s">
        <v>105</v>
      </c>
      <c r="B34" s="18" t="s">
        <v>90</v>
      </c>
      <c r="C34" s="18">
        <v>1381</v>
      </c>
      <c r="D34" s="18" t="s">
        <v>34</v>
      </c>
      <c r="E34" s="46" t="s">
        <v>125</v>
      </c>
      <c r="F34" s="18" t="s">
        <v>93</v>
      </c>
      <c r="G34" s="18">
        <v>400</v>
      </c>
      <c r="H34" s="75">
        <v>0.75</v>
      </c>
      <c r="I34" s="14">
        <f t="shared" si="11"/>
        <v>0.1149</v>
      </c>
      <c r="J34" s="14">
        <f t="shared" si="12"/>
        <v>0.8649</v>
      </c>
      <c r="K34" s="14">
        <f t="shared" si="13"/>
        <v>2.5946999999999998E-4</v>
      </c>
      <c r="L34" s="14">
        <f t="shared" si="14"/>
        <v>0.86464052999999996</v>
      </c>
      <c r="M34" s="14">
        <f t="shared" si="10"/>
        <v>345.85621199999997</v>
      </c>
      <c r="N34" s="14">
        <f t="shared" si="15"/>
        <v>1.079136690647482</v>
      </c>
      <c r="O34" s="124"/>
    </row>
    <row r="35" spans="1:15" s="19" customFormat="1" ht="17.100000000000001" customHeight="1" x14ac:dyDescent="0.2">
      <c r="A35" s="18" t="s">
        <v>106</v>
      </c>
      <c r="B35" s="18" t="s">
        <v>90</v>
      </c>
      <c r="C35" s="18">
        <v>10228</v>
      </c>
      <c r="D35" s="18" t="s">
        <v>34</v>
      </c>
      <c r="E35" s="45" t="s">
        <v>126</v>
      </c>
      <c r="F35" s="18" t="s">
        <v>21</v>
      </c>
      <c r="G35" s="18">
        <v>2</v>
      </c>
      <c r="H35" s="75">
        <v>314.51</v>
      </c>
      <c r="I35" s="14">
        <f t="shared" si="11"/>
        <v>48.182932000000001</v>
      </c>
      <c r="J35" s="14">
        <f t="shared" si="12"/>
        <v>362.69293199999998</v>
      </c>
      <c r="K35" s="14">
        <f t="shared" si="13"/>
        <v>0.10880787959999999</v>
      </c>
      <c r="L35" s="14">
        <f t="shared" si="14"/>
        <v>362.58412412039996</v>
      </c>
      <c r="M35" s="14">
        <f t="shared" ref="M35:M36" si="16">L35*G35</f>
        <v>725.16824824079993</v>
      </c>
      <c r="N35" s="14">
        <f t="shared" si="15"/>
        <v>2.0967333333333333</v>
      </c>
      <c r="O35" s="124"/>
    </row>
    <row r="36" spans="1:15" s="19" customFormat="1" ht="17.100000000000001" customHeight="1" x14ac:dyDescent="0.2">
      <c r="A36" s="18" t="s">
        <v>91</v>
      </c>
      <c r="B36" s="18" t="s">
        <v>156</v>
      </c>
      <c r="C36" s="48" t="s">
        <v>127</v>
      </c>
      <c r="D36" s="48" t="s">
        <v>81</v>
      </c>
      <c r="E36" s="49" t="s">
        <v>128</v>
      </c>
      <c r="F36" s="18" t="s">
        <v>21</v>
      </c>
      <c r="G36" s="48">
        <v>4</v>
      </c>
      <c r="H36" s="69">
        <v>427.99</v>
      </c>
      <c r="I36" s="47">
        <f>H36*0.2232</f>
        <v>95.52736800000001</v>
      </c>
      <c r="J36" s="47">
        <f t="shared" si="12"/>
        <v>523.51736800000003</v>
      </c>
      <c r="K36" s="47">
        <f t="shared" si="13"/>
        <v>0.15705521040000001</v>
      </c>
      <c r="L36" s="47">
        <f t="shared" si="14"/>
        <v>523.36031278960002</v>
      </c>
      <c r="M36" s="47">
        <f t="shared" si="16"/>
        <v>2093.4412511584001</v>
      </c>
      <c r="N36" s="14">
        <f t="shared" si="15"/>
        <v>2.8868352361495706</v>
      </c>
      <c r="O36" s="124"/>
    </row>
    <row r="37" spans="1:15" s="19" customFormat="1" ht="17.100000000000001" customHeight="1" x14ac:dyDescent="0.2">
      <c r="A37" s="18" t="s">
        <v>107</v>
      </c>
      <c r="B37" s="18" t="s">
        <v>90</v>
      </c>
      <c r="C37" s="48">
        <v>11051</v>
      </c>
      <c r="D37" s="48" t="s">
        <v>34</v>
      </c>
      <c r="E37" s="49" t="s">
        <v>129</v>
      </c>
      <c r="F37" s="18" t="s">
        <v>93</v>
      </c>
      <c r="G37" s="48">
        <v>24</v>
      </c>
      <c r="H37" s="69">
        <v>12.04</v>
      </c>
      <c r="I37" s="47">
        <f>H37*0.2232</f>
        <v>2.6873279999999999</v>
      </c>
      <c r="J37" s="47">
        <f t="shared" si="12"/>
        <v>14.727328</v>
      </c>
      <c r="K37" s="47">
        <f t="shared" si="13"/>
        <v>4.4181983999999992E-3</v>
      </c>
      <c r="L37" s="47">
        <f t="shared" si="14"/>
        <v>14.7229098016</v>
      </c>
      <c r="M37" s="47">
        <f t="shared" ref="M37:M39" si="17">L37*G37</f>
        <v>353.34983523840003</v>
      </c>
      <c r="N37" s="14">
        <f t="shared" si="15"/>
        <v>0.1687889903969719</v>
      </c>
      <c r="O37" s="124"/>
    </row>
    <row r="38" spans="1:15" s="19" customFormat="1" ht="17.100000000000001" customHeight="1" x14ac:dyDescent="0.2">
      <c r="A38" s="18" t="s">
        <v>108</v>
      </c>
      <c r="B38" s="18" t="s">
        <v>90</v>
      </c>
      <c r="C38" s="18">
        <v>367</v>
      </c>
      <c r="D38" s="18" t="s">
        <v>34</v>
      </c>
      <c r="E38" s="24" t="s">
        <v>132</v>
      </c>
      <c r="F38" s="18" t="s">
        <v>133</v>
      </c>
      <c r="G38" s="18">
        <v>5</v>
      </c>
      <c r="H38" s="76">
        <v>65.84</v>
      </c>
      <c r="I38" s="14">
        <f t="shared" ref="I38" si="18">H38*0.1532</f>
        <v>10.086688000000001</v>
      </c>
      <c r="J38" s="14">
        <f t="shared" si="12"/>
        <v>75.926687999999999</v>
      </c>
      <c r="K38" s="14">
        <f t="shared" si="13"/>
        <v>2.2778006399999998E-2</v>
      </c>
      <c r="L38" s="14">
        <f t="shared" si="14"/>
        <v>75.903909993599996</v>
      </c>
      <c r="M38" s="14">
        <f t="shared" si="17"/>
        <v>379.51954996799998</v>
      </c>
      <c r="N38" s="14">
        <f t="shared" si="15"/>
        <v>1.0740617714224874</v>
      </c>
      <c r="O38" s="124"/>
    </row>
    <row r="39" spans="1:15" s="57" customFormat="1" ht="17.100000000000001" customHeight="1" x14ac:dyDescent="0.2">
      <c r="A39" s="18" t="s">
        <v>102</v>
      </c>
      <c r="B39" s="18" t="s">
        <v>90</v>
      </c>
      <c r="C39" s="58">
        <v>366</v>
      </c>
      <c r="D39" s="18" t="s">
        <v>34</v>
      </c>
      <c r="E39" s="24" t="s">
        <v>134</v>
      </c>
      <c r="F39" s="55" t="s">
        <v>133</v>
      </c>
      <c r="G39" s="54">
        <v>3</v>
      </c>
      <c r="H39" s="77">
        <v>65</v>
      </c>
      <c r="I39" s="56">
        <f>H39*0.2232</f>
        <v>14.508000000000001</v>
      </c>
      <c r="J39" s="56">
        <f t="shared" si="12"/>
        <v>79.507999999999996</v>
      </c>
      <c r="K39" s="56">
        <f t="shared" si="13"/>
        <v>2.3852399999999996E-2</v>
      </c>
      <c r="L39" s="56">
        <f t="shared" si="14"/>
        <v>79.4841476</v>
      </c>
      <c r="M39" s="56">
        <f t="shared" si="17"/>
        <v>238.4524428</v>
      </c>
      <c r="N39" s="14">
        <f t="shared" si="15"/>
        <v>0.62830081564995965</v>
      </c>
      <c r="O39" s="124"/>
    </row>
    <row r="40" spans="1:15" s="19" customFormat="1" ht="17.100000000000001" customHeight="1" x14ac:dyDescent="0.2">
      <c r="A40" s="18" t="s">
        <v>109</v>
      </c>
      <c r="B40" s="18" t="s">
        <v>90</v>
      </c>
      <c r="C40" s="48">
        <v>1292</v>
      </c>
      <c r="D40" s="48" t="s">
        <v>34</v>
      </c>
      <c r="E40" s="53" t="s">
        <v>135</v>
      </c>
      <c r="F40" s="18" t="s">
        <v>136</v>
      </c>
      <c r="G40" s="48">
        <v>25.2</v>
      </c>
      <c r="H40" s="69">
        <v>79.48</v>
      </c>
      <c r="I40" s="47">
        <f t="shared" ref="I40:I41" si="19">H40*0.2232</f>
        <v>17.739936</v>
      </c>
      <c r="J40" s="47">
        <f t="shared" ref="J40:J45" si="20">H40+I40</f>
        <v>97.219936000000004</v>
      </c>
      <c r="K40" s="47">
        <f t="shared" ref="K40:K45" si="21">J40*(0.03%)</f>
        <v>2.9165980799999998E-2</v>
      </c>
      <c r="L40" s="47">
        <f t="shared" ref="L40:L45" si="22">J40-K40</f>
        <v>97.190770019200002</v>
      </c>
      <c r="M40" s="47">
        <f t="shared" ref="M40:M45" si="23">L40*G40</f>
        <v>2449.20740448384</v>
      </c>
      <c r="N40" s="14">
        <f t="shared" si="15"/>
        <v>10.271261538461539</v>
      </c>
      <c r="O40" s="124"/>
    </row>
    <row r="41" spans="1:15" s="19" customFormat="1" ht="17.100000000000001" customHeight="1" x14ac:dyDescent="0.2">
      <c r="A41" s="18" t="s">
        <v>101</v>
      </c>
      <c r="B41" s="18" t="s">
        <v>90</v>
      </c>
      <c r="C41" s="48">
        <v>53831</v>
      </c>
      <c r="D41" s="48" t="s">
        <v>34</v>
      </c>
      <c r="E41" s="53" t="s">
        <v>131</v>
      </c>
      <c r="F41" s="18" t="s">
        <v>130</v>
      </c>
      <c r="G41" s="48">
        <v>6</v>
      </c>
      <c r="H41" s="69">
        <v>189.74</v>
      </c>
      <c r="I41" s="78">
        <f t="shared" si="19"/>
        <v>42.349968000000004</v>
      </c>
      <c r="J41" s="47">
        <f t="shared" si="20"/>
        <v>232.089968</v>
      </c>
      <c r="K41" s="47">
        <f t="shared" si="21"/>
        <v>6.9626990399999991E-2</v>
      </c>
      <c r="L41" s="47">
        <f t="shared" si="22"/>
        <v>232.0203410096</v>
      </c>
      <c r="M41" s="47">
        <f t="shared" si="23"/>
        <v>1392.1220460576001</v>
      </c>
      <c r="N41" s="14">
        <f t="shared" si="15"/>
        <v>0.56839696120018213</v>
      </c>
      <c r="O41" s="124"/>
    </row>
    <row r="42" spans="1:15" s="19" customFormat="1" ht="17.100000000000001" customHeight="1" x14ac:dyDescent="0.2">
      <c r="A42" s="18" t="s">
        <v>96</v>
      </c>
      <c r="B42" s="18" t="s">
        <v>90</v>
      </c>
      <c r="C42" s="18">
        <v>43132</v>
      </c>
      <c r="D42" s="18" t="s">
        <v>34</v>
      </c>
      <c r="E42" s="46" t="s">
        <v>137</v>
      </c>
      <c r="F42" s="18" t="s">
        <v>93</v>
      </c>
      <c r="G42" s="18">
        <v>6</v>
      </c>
      <c r="H42" s="80">
        <v>16.5</v>
      </c>
      <c r="I42" s="14">
        <f t="shared" ref="I42:I45" si="24">H42*0.1532</f>
        <v>2.5278</v>
      </c>
      <c r="J42" s="14">
        <f t="shared" si="20"/>
        <v>19.027799999999999</v>
      </c>
      <c r="K42" s="14">
        <f t="shared" si="21"/>
        <v>5.7083399999999992E-3</v>
      </c>
      <c r="L42" s="14">
        <f t="shared" si="22"/>
        <v>19.022091659999997</v>
      </c>
      <c r="M42" s="14">
        <f t="shared" si="23"/>
        <v>114.13254995999998</v>
      </c>
      <c r="N42" s="14">
        <f t="shared" si="15"/>
        <v>8.1984586253206759E-2</v>
      </c>
      <c r="O42" s="124"/>
    </row>
    <row r="43" spans="1:15" s="19" customFormat="1" ht="17.100000000000001" customHeight="1" x14ac:dyDescent="0.2">
      <c r="A43" s="18" t="s">
        <v>110</v>
      </c>
      <c r="B43" s="18" t="s">
        <v>90</v>
      </c>
      <c r="C43" s="18">
        <v>3080</v>
      </c>
      <c r="D43" s="18" t="s">
        <v>34</v>
      </c>
      <c r="E43" s="25" t="s">
        <v>139</v>
      </c>
      <c r="F43" s="18" t="s">
        <v>21</v>
      </c>
      <c r="G43" s="18">
        <v>3</v>
      </c>
      <c r="H43" s="80">
        <v>95</v>
      </c>
      <c r="I43" s="14">
        <f t="shared" si="24"/>
        <v>14.554</v>
      </c>
      <c r="J43" s="14">
        <f t="shared" si="20"/>
        <v>109.554</v>
      </c>
      <c r="K43" s="14">
        <f t="shared" si="21"/>
        <v>3.2866199999999998E-2</v>
      </c>
      <c r="L43" s="14">
        <f t="shared" si="22"/>
        <v>109.5211338</v>
      </c>
      <c r="M43" s="14">
        <f t="shared" si="23"/>
        <v>328.56340139999998</v>
      </c>
      <c r="N43" s="14">
        <f t="shared" si="15"/>
        <v>2.8787878787878793</v>
      </c>
      <c r="O43" s="124"/>
    </row>
    <row r="44" spans="1:15" s="19" customFormat="1" ht="17.100000000000001" customHeight="1" x14ac:dyDescent="0.2">
      <c r="A44" s="18" t="s">
        <v>111</v>
      </c>
      <c r="B44" s="18" t="s">
        <v>90</v>
      </c>
      <c r="C44" s="18">
        <v>43059</v>
      </c>
      <c r="D44" s="18" t="s">
        <v>34</v>
      </c>
      <c r="E44" s="45" t="s">
        <v>140</v>
      </c>
      <c r="F44" s="18" t="s">
        <v>93</v>
      </c>
      <c r="G44" s="18">
        <f>1.32*15</f>
        <v>19.8</v>
      </c>
      <c r="H44" s="79">
        <v>7.26</v>
      </c>
      <c r="I44" s="14">
        <f t="shared" si="24"/>
        <v>1.1122319999999999</v>
      </c>
      <c r="J44" s="14">
        <f t="shared" si="20"/>
        <v>8.3722320000000003</v>
      </c>
      <c r="K44" s="14">
        <f t="shared" si="21"/>
        <v>2.5116696E-3</v>
      </c>
      <c r="L44" s="14">
        <f t="shared" si="22"/>
        <v>8.3697203303999999</v>
      </c>
      <c r="M44" s="14">
        <f t="shared" si="23"/>
        <v>165.72046254192</v>
      </c>
      <c r="N44" s="14">
        <f t="shared" si="15"/>
        <v>0.50437894736842104</v>
      </c>
      <c r="O44" s="124"/>
    </row>
    <row r="45" spans="1:15" s="19" customFormat="1" ht="17.100000000000001" customHeight="1" x14ac:dyDescent="0.2">
      <c r="A45" s="18" t="s">
        <v>112</v>
      </c>
      <c r="B45" s="18" t="s">
        <v>90</v>
      </c>
      <c r="C45" s="23">
        <v>33</v>
      </c>
      <c r="D45" s="18" t="s">
        <v>34</v>
      </c>
      <c r="E45" s="24" t="s">
        <v>141</v>
      </c>
      <c r="F45" s="18" t="s">
        <v>93</v>
      </c>
      <c r="G45" s="18">
        <f>4.74*15</f>
        <v>71.100000000000009</v>
      </c>
      <c r="H45" s="81">
        <v>8.14</v>
      </c>
      <c r="I45" s="14">
        <f t="shared" si="24"/>
        <v>1.2470480000000002</v>
      </c>
      <c r="J45" s="14">
        <f t="shared" si="20"/>
        <v>9.3870480000000001</v>
      </c>
      <c r="K45" s="14">
        <f t="shared" si="21"/>
        <v>2.8161143999999999E-3</v>
      </c>
      <c r="L45" s="14">
        <f t="shared" si="22"/>
        <v>9.3842318856000002</v>
      </c>
      <c r="M45" s="14">
        <f t="shared" si="23"/>
        <v>667.21888706616005</v>
      </c>
      <c r="N45" s="14">
        <f t="shared" si="15"/>
        <v>4.0261707988980717</v>
      </c>
      <c r="O45" s="124"/>
    </row>
    <row r="46" spans="1:15" s="19" customFormat="1" ht="17.100000000000001" customHeight="1" x14ac:dyDescent="0.2">
      <c r="A46" s="18" t="s">
        <v>98</v>
      </c>
      <c r="B46" s="18" t="s">
        <v>90</v>
      </c>
      <c r="C46" s="48">
        <v>533</v>
      </c>
      <c r="D46" s="48" t="s">
        <v>34</v>
      </c>
      <c r="E46" s="53" t="s">
        <v>142</v>
      </c>
      <c r="F46" s="18" t="s">
        <v>136</v>
      </c>
      <c r="G46" s="48">
        <v>7.02</v>
      </c>
      <c r="H46" s="69">
        <v>31.79</v>
      </c>
      <c r="I46" s="14">
        <f t="shared" ref="I46:I59" si="25">H46*0.1532</f>
        <v>4.870228</v>
      </c>
      <c r="J46" s="14">
        <f t="shared" ref="J46:J59" si="26">H46+I46</f>
        <v>36.660227999999996</v>
      </c>
      <c r="K46" s="14">
        <f t="shared" ref="K46:K59" si="27">J46*(0.03%)</f>
        <v>1.0998068399999998E-2</v>
      </c>
      <c r="L46" s="14">
        <f t="shared" ref="L46:L59" si="28">J46-K46</f>
        <v>36.649229931599997</v>
      </c>
      <c r="M46" s="14">
        <f t="shared" ref="M46:M59" si="29">L46*G46</f>
        <v>257.27759411983197</v>
      </c>
      <c r="N46" s="14">
        <f t="shared" si="15"/>
        <v>0.38559698939445769</v>
      </c>
      <c r="O46" s="124"/>
    </row>
    <row r="47" spans="1:15" s="19" customFormat="1" ht="17.100000000000001" customHeight="1" x14ac:dyDescent="0.2">
      <c r="A47" s="18" t="s">
        <v>113</v>
      </c>
      <c r="B47" s="18" t="s">
        <v>90</v>
      </c>
      <c r="C47" s="48">
        <v>34377</v>
      </c>
      <c r="D47" s="48" t="s">
        <v>34</v>
      </c>
      <c r="E47" s="53" t="s">
        <v>143</v>
      </c>
      <c r="F47" s="18" t="s">
        <v>21</v>
      </c>
      <c r="G47" s="48">
        <v>1</v>
      </c>
      <c r="H47" s="69">
        <v>193</v>
      </c>
      <c r="I47" s="14">
        <f t="shared" si="25"/>
        <v>29.567599999999999</v>
      </c>
      <c r="J47" s="14">
        <f t="shared" si="26"/>
        <v>222.5676</v>
      </c>
      <c r="K47" s="14">
        <f t="shared" si="27"/>
        <v>6.6770279999999987E-2</v>
      </c>
      <c r="L47" s="14">
        <f t="shared" si="28"/>
        <v>222.50082972000001</v>
      </c>
      <c r="M47" s="14">
        <f t="shared" si="29"/>
        <v>222.50082972000001</v>
      </c>
      <c r="N47" s="14">
        <f t="shared" si="15"/>
        <v>0.86482785444723176</v>
      </c>
      <c r="O47" s="124"/>
    </row>
    <row r="48" spans="1:15" s="19" customFormat="1" ht="17.100000000000001" customHeight="1" x14ac:dyDescent="0.2">
      <c r="A48" s="18" t="s">
        <v>114</v>
      </c>
      <c r="B48" s="18" t="s">
        <v>90</v>
      </c>
      <c r="C48" s="48">
        <v>34357</v>
      </c>
      <c r="D48" s="48" t="s">
        <v>34</v>
      </c>
      <c r="E48" s="53" t="s">
        <v>144</v>
      </c>
      <c r="F48" s="18" t="s">
        <v>93</v>
      </c>
      <c r="G48" s="48">
        <v>15</v>
      </c>
      <c r="H48" s="69">
        <v>4.4000000000000004</v>
      </c>
      <c r="I48" s="14">
        <f t="shared" si="25"/>
        <v>0.67408000000000001</v>
      </c>
      <c r="J48" s="14">
        <f t="shared" si="26"/>
        <v>5.0740800000000004</v>
      </c>
      <c r="K48" s="14">
        <f t="shared" si="27"/>
        <v>1.522224E-3</v>
      </c>
      <c r="L48" s="14">
        <f t="shared" si="28"/>
        <v>5.072557776</v>
      </c>
      <c r="M48" s="14">
        <f t="shared" si="29"/>
        <v>76.088366640000004</v>
      </c>
      <c r="N48" s="14">
        <f t="shared" si="15"/>
        <v>0.34196891191709844</v>
      </c>
      <c r="O48" s="124"/>
    </row>
    <row r="49" spans="1:15" s="19" customFormat="1" ht="17.100000000000001" customHeight="1" x14ac:dyDescent="0.2">
      <c r="A49" s="18" t="s">
        <v>115</v>
      </c>
      <c r="B49" s="18" t="s">
        <v>90</v>
      </c>
      <c r="C49" s="48">
        <v>11690</v>
      </c>
      <c r="D49" s="48" t="s">
        <v>34</v>
      </c>
      <c r="E49" s="53" t="s">
        <v>145</v>
      </c>
      <c r="F49" s="18" t="s">
        <v>21</v>
      </c>
      <c r="G49" s="48">
        <v>1</v>
      </c>
      <c r="H49" s="69">
        <v>218.53</v>
      </c>
      <c r="I49" s="14">
        <f t="shared" si="25"/>
        <v>33.478796000000003</v>
      </c>
      <c r="J49" s="14">
        <f t="shared" si="26"/>
        <v>252.00879600000002</v>
      </c>
      <c r="K49" s="14">
        <f t="shared" si="27"/>
        <v>7.5602638799999997E-2</v>
      </c>
      <c r="L49" s="14">
        <f t="shared" si="28"/>
        <v>251.93319336120001</v>
      </c>
      <c r="M49" s="14">
        <f t="shared" si="29"/>
        <v>251.93319336120001</v>
      </c>
      <c r="N49" s="14">
        <f t="shared" si="15"/>
        <v>3.311060606060606</v>
      </c>
      <c r="O49" s="124"/>
    </row>
    <row r="50" spans="1:15" s="19" customFormat="1" ht="17.100000000000001" customHeight="1" x14ac:dyDescent="0.2">
      <c r="A50" s="18" t="s">
        <v>116</v>
      </c>
      <c r="B50" s="18" t="s">
        <v>90</v>
      </c>
      <c r="C50" s="48">
        <v>10931</v>
      </c>
      <c r="D50" s="48" t="s">
        <v>34</v>
      </c>
      <c r="E50" s="53" t="s">
        <v>146</v>
      </c>
      <c r="F50" s="18" t="s">
        <v>136</v>
      </c>
      <c r="G50" s="48">
        <v>10</v>
      </c>
      <c r="H50" s="69">
        <v>12.48</v>
      </c>
      <c r="I50" s="14">
        <f t="shared" si="25"/>
        <v>1.9119360000000001</v>
      </c>
      <c r="J50" s="14">
        <f t="shared" si="26"/>
        <v>14.391936000000001</v>
      </c>
      <c r="K50" s="14">
        <f t="shared" si="27"/>
        <v>4.3175808E-3</v>
      </c>
      <c r="L50" s="14">
        <f t="shared" si="28"/>
        <v>14.387618419200001</v>
      </c>
      <c r="M50" s="14">
        <f t="shared" si="29"/>
        <v>143.87618419200001</v>
      </c>
      <c r="N50" s="14">
        <f t="shared" si="15"/>
        <v>0.57108863771564544</v>
      </c>
      <c r="O50" s="124"/>
    </row>
    <row r="51" spans="1:15" s="19" customFormat="1" ht="17.100000000000001" customHeight="1" x14ac:dyDescent="0.2">
      <c r="A51" s="18" t="s">
        <v>99</v>
      </c>
      <c r="B51" s="18" t="s">
        <v>90</v>
      </c>
      <c r="C51" s="48">
        <v>7197</v>
      </c>
      <c r="D51" s="48" t="s">
        <v>34</v>
      </c>
      <c r="E51" s="53" t="s">
        <v>147</v>
      </c>
      <c r="F51" s="18" t="s">
        <v>21</v>
      </c>
      <c r="G51" s="48">
        <v>20</v>
      </c>
      <c r="H51" s="69">
        <v>102.77</v>
      </c>
      <c r="I51" s="14">
        <f t="shared" si="25"/>
        <v>15.744363999999999</v>
      </c>
      <c r="J51" s="14">
        <f t="shared" si="26"/>
        <v>118.514364</v>
      </c>
      <c r="K51" s="14">
        <f t="shared" si="27"/>
        <v>3.5554309199999995E-2</v>
      </c>
      <c r="L51" s="14">
        <f t="shared" si="28"/>
        <v>118.47880969080001</v>
      </c>
      <c r="M51" s="14">
        <f t="shared" si="29"/>
        <v>2369.5761938160003</v>
      </c>
      <c r="N51" s="14">
        <f t="shared" si="15"/>
        <v>16.469551282051285</v>
      </c>
      <c r="O51" s="124"/>
    </row>
    <row r="52" spans="1:15" s="19" customFormat="1" ht="17.100000000000001" customHeight="1" x14ac:dyDescent="0.2">
      <c r="A52" s="18" t="s">
        <v>89</v>
      </c>
      <c r="B52" s="18" t="s">
        <v>90</v>
      </c>
      <c r="C52" s="48">
        <v>7194</v>
      </c>
      <c r="D52" s="48" t="s">
        <v>34</v>
      </c>
      <c r="E52" s="53" t="s">
        <v>148</v>
      </c>
      <c r="F52" s="18" t="s">
        <v>136</v>
      </c>
      <c r="G52" s="48">
        <f>2.44*1.1*20</f>
        <v>53.680000000000007</v>
      </c>
      <c r="H52" s="69">
        <v>24.35</v>
      </c>
      <c r="I52" s="14">
        <f t="shared" si="25"/>
        <v>3.7304200000000001</v>
      </c>
      <c r="J52" s="14">
        <f t="shared" si="26"/>
        <v>28.08042</v>
      </c>
      <c r="K52" s="14">
        <f t="shared" si="27"/>
        <v>8.4241259999999988E-3</v>
      </c>
      <c r="L52" s="14">
        <f t="shared" si="28"/>
        <v>28.071995873999999</v>
      </c>
      <c r="M52" s="14">
        <f t="shared" si="29"/>
        <v>1506.9047385163201</v>
      </c>
      <c r="N52" s="14">
        <f t="shared" si="15"/>
        <v>0.63593850345431546</v>
      </c>
      <c r="O52" s="124"/>
    </row>
    <row r="53" spans="1:15" s="19" customFormat="1" ht="17.100000000000001" customHeight="1" x14ac:dyDescent="0.2">
      <c r="A53" s="18" t="s">
        <v>117</v>
      </c>
      <c r="B53" s="18" t="s">
        <v>90</v>
      </c>
      <c r="C53" s="48">
        <v>7271</v>
      </c>
      <c r="D53" s="48" t="s">
        <v>34</v>
      </c>
      <c r="E53" s="53" t="s">
        <v>149</v>
      </c>
      <c r="F53" s="18" t="s">
        <v>21</v>
      </c>
      <c r="G53" s="48">
        <v>500</v>
      </c>
      <c r="H53" s="69">
        <v>0.78</v>
      </c>
      <c r="I53" s="14">
        <f t="shared" si="25"/>
        <v>0.119496</v>
      </c>
      <c r="J53" s="14">
        <f t="shared" si="26"/>
        <v>0.89949600000000007</v>
      </c>
      <c r="K53" s="14">
        <f t="shared" si="27"/>
        <v>2.698488E-4</v>
      </c>
      <c r="L53" s="14">
        <f t="shared" si="28"/>
        <v>0.89922615120000005</v>
      </c>
      <c r="M53" s="14">
        <f t="shared" si="29"/>
        <v>449.6130756</v>
      </c>
      <c r="N53" s="14">
        <f t="shared" si="15"/>
        <v>0.29836861223403116</v>
      </c>
      <c r="O53" s="124"/>
    </row>
    <row r="54" spans="1:15" s="19" customFormat="1" ht="17.100000000000001" customHeight="1" x14ac:dyDescent="0.2">
      <c r="A54" s="18" t="s">
        <v>118</v>
      </c>
      <c r="B54" s="18" t="s">
        <v>90</v>
      </c>
      <c r="C54" s="48">
        <v>7258</v>
      </c>
      <c r="D54" s="48" t="s">
        <v>34</v>
      </c>
      <c r="E54" s="53" t="s">
        <v>150</v>
      </c>
      <c r="F54" s="18" t="s">
        <v>21</v>
      </c>
      <c r="G54" s="48">
        <v>800</v>
      </c>
      <c r="H54" s="69">
        <v>0.67</v>
      </c>
      <c r="I54" s="14">
        <f t="shared" si="25"/>
        <v>0.10264400000000001</v>
      </c>
      <c r="J54" s="14">
        <f t="shared" si="26"/>
        <v>0.77264400000000011</v>
      </c>
      <c r="K54" s="14">
        <f t="shared" si="27"/>
        <v>2.3179320000000001E-4</v>
      </c>
      <c r="L54" s="14">
        <f t="shared" si="28"/>
        <v>0.77241220680000011</v>
      </c>
      <c r="M54" s="14">
        <f t="shared" si="29"/>
        <v>617.9297654400001</v>
      </c>
      <c r="N54" s="14">
        <f t="shared" si="15"/>
        <v>1.3743589743589746</v>
      </c>
      <c r="O54" s="124"/>
    </row>
    <row r="55" spans="1:15" s="19" customFormat="1" ht="17.100000000000001" customHeight="1" x14ac:dyDescent="0.2">
      <c r="A55" s="18" t="s">
        <v>94</v>
      </c>
      <c r="B55" s="18" t="s">
        <v>90</v>
      </c>
      <c r="C55" s="48">
        <v>9836</v>
      </c>
      <c r="D55" s="48" t="s">
        <v>34</v>
      </c>
      <c r="E55" s="53" t="s">
        <v>151</v>
      </c>
      <c r="F55" s="18" t="s">
        <v>103</v>
      </c>
      <c r="G55" s="48">
        <v>24</v>
      </c>
      <c r="H55" s="69">
        <v>13.47</v>
      </c>
      <c r="I55" s="14">
        <f t="shared" si="25"/>
        <v>2.0636040000000002</v>
      </c>
      <c r="J55" s="14">
        <f t="shared" si="26"/>
        <v>15.533604</v>
      </c>
      <c r="K55" s="14">
        <f t="shared" si="27"/>
        <v>4.6600812E-3</v>
      </c>
      <c r="L55" s="14">
        <f t="shared" si="28"/>
        <v>15.5289439188</v>
      </c>
      <c r="M55" s="14">
        <f t="shared" si="29"/>
        <v>372.69465405120002</v>
      </c>
      <c r="N55" s="14">
        <f t="shared" si="15"/>
        <v>0.6031343283582089</v>
      </c>
      <c r="O55" s="124"/>
    </row>
    <row r="56" spans="1:15" s="19" customFormat="1" ht="17.100000000000001" customHeight="1" x14ac:dyDescent="0.2">
      <c r="A56" s="18" t="s">
        <v>119</v>
      </c>
      <c r="B56" s="18" t="s">
        <v>90</v>
      </c>
      <c r="C56" s="18">
        <v>9897</v>
      </c>
      <c r="D56" s="18" t="s">
        <v>34</v>
      </c>
      <c r="E56" s="59" t="s">
        <v>152</v>
      </c>
      <c r="F56" s="18" t="s">
        <v>21</v>
      </c>
      <c r="G56" s="18">
        <v>2</v>
      </c>
      <c r="H56" s="80">
        <v>22.95</v>
      </c>
      <c r="I56" s="14">
        <f t="shared" si="25"/>
        <v>3.5159400000000001</v>
      </c>
      <c r="J56" s="14">
        <f t="shared" si="26"/>
        <v>26.46594</v>
      </c>
      <c r="K56" s="14">
        <f t="shared" si="27"/>
        <v>7.9397819999999994E-3</v>
      </c>
      <c r="L56" s="14">
        <f t="shared" si="28"/>
        <v>26.458000217999999</v>
      </c>
      <c r="M56" s="14">
        <f t="shared" si="29"/>
        <v>52.916000435999997</v>
      </c>
      <c r="N56" s="14">
        <f t="shared" si="15"/>
        <v>0.14198218262806234</v>
      </c>
      <c r="O56" s="124"/>
    </row>
    <row r="57" spans="1:15" s="19" customFormat="1" ht="17.100000000000001" customHeight="1" x14ac:dyDescent="0.2">
      <c r="A57" s="18" t="s">
        <v>97</v>
      </c>
      <c r="B57" s="18" t="s">
        <v>90</v>
      </c>
      <c r="C57" s="48">
        <v>7144</v>
      </c>
      <c r="D57" s="48" t="s">
        <v>34</v>
      </c>
      <c r="E57" s="53" t="s">
        <v>153</v>
      </c>
      <c r="F57" s="18" t="s">
        <v>21</v>
      </c>
      <c r="G57" s="48">
        <v>1</v>
      </c>
      <c r="H57" s="69">
        <v>47.71</v>
      </c>
      <c r="I57" s="47">
        <f t="shared" si="25"/>
        <v>7.3091720000000002</v>
      </c>
      <c r="J57" s="47">
        <f t="shared" si="26"/>
        <v>55.019171999999998</v>
      </c>
      <c r="K57" s="47">
        <f t="shared" si="27"/>
        <v>1.6505751599999997E-2</v>
      </c>
      <c r="L57" s="47">
        <f t="shared" si="28"/>
        <v>55.002666248399997</v>
      </c>
      <c r="M57" s="47">
        <f t="shared" si="29"/>
        <v>55.002666248399997</v>
      </c>
      <c r="N57" s="14">
        <f t="shared" si="15"/>
        <v>1.0394335511982571</v>
      </c>
      <c r="O57" s="124"/>
    </row>
    <row r="58" spans="1:15" s="19" customFormat="1" ht="17.100000000000001" customHeight="1" x14ac:dyDescent="0.2">
      <c r="A58" s="18" t="s">
        <v>100</v>
      </c>
      <c r="B58" s="18" t="s">
        <v>90</v>
      </c>
      <c r="C58" s="48">
        <v>821</v>
      </c>
      <c r="D58" s="48" t="s">
        <v>34</v>
      </c>
      <c r="E58" s="53" t="s">
        <v>154</v>
      </c>
      <c r="F58" s="18" t="s">
        <v>21</v>
      </c>
      <c r="G58" s="48">
        <v>2</v>
      </c>
      <c r="H58" s="69">
        <v>15.68</v>
      </c>
      <c r="I58" s="47">
        <f t="shared" si="25"/>
        <v>2.4021759999999999</v>
      </c>
      <c r="J58" s="47">
        <f t="shared" si="26"/>
        <v>18.082176</v>
      </c>
      <c r="K58" s="47">
        <f t="shared" si="27"/>
        <v>5.4246527999999997E-3</v>
      </c>
      <c r="L58" s="47">
        <f t="shared" si="28"/>
        <v>18.076751347200002</v>
      </c>
      <c r="M58" s="47">
        <f t="shared" si="29"/>
        <v>36.153502694400004</v>
      </c>
      <c r="N58" s="14">
        <f t="shared" si="15"/>
        <v>0.65730454831272278</v>
      </c>
      <c r="O58" s="124"/>
    </row>
    <row r="59" spans="1:15" s="19" customFormat="1" ht="17.100000000000001" customHeight="1" x14ac:dyDescent="0.2">
      <c r="A59" s="18" t="s">
        <v>120</v>
      </c>
      <c r="B59" s="18" t="s">
        <v>90</v>
      </c>
      <c r="C59" s="48">
        <v>11678</v>
      </c>
      <c r="D59" s="48" t="s">
        <v>34</v>
      </c>
      <c r="E59" s="53" t="s">
        <v>155</v>
      </c>
      <c r="F59" s="18" t="s">
        <v>21</v>
      </c>
      <c r="G59" s="48">
        <v>1</v>
      </c>
      <c r="H59" s="69">
        <v>111.57</v>
      </c>
      <c r="I59" s="47">
        <f t="shared" si="25"/>
        <v>17.092524000000001</v>
      </c>
      <c r="J59" s="47">
        <f t="shared" si="26"/>
        <v>128.66252399999999</v>
      </c>
      <c r="K59" s="47">
        <f t="shared" si="27"/>
        <v>3.8598757199999993E-2</v>
      </c>
      <c r="L59" s="47">
        <f t="shared" si="28"/>
        <v>128.6239252428</v>
      </c>
      <c r="M59" s="47">
        <f t="shared" si="29"/>
        <v>128.6239252428</v>
      </c>
      <c r="N59" s="14">
        <f t="shared" si="15"/>
        <v>3.5577168367346936</v>
      </c>
      <c r="O59" s="124"/>
    </row>
    <row r="60" spans="1:15" s="19" customFormat="1" ht="17.100000000000001" customHeight="1" x14ac:dyDescent="0.2">
      <c r="A60" s="18"/>
      <c r="B60" s="18"/>
      <c r="C60" s="48"/>
      <c r="D60" s="48"/>
      <c r="E60" s="49"/>
      <c r="F60" s="18"/>
      <c r="G60" s="48"/>
      <c r="H60" s="50"/>
      <c r="I60" s="47"/>
      <c r="J60" s="47"/>
      <c r="K60" s="47"/>
      <c r="L60" s="47"/>
      <c r="M60" s="47"/>
      <c r="N60" s="14"/>
      <c r="O60" s="124"/>
    </row>
    <row r="61" spans="1:15" s="19" customFormat="1" ht="17.100000000000001" customHeight="1" x14ac:dyDescent="0.2">
      <c r="A61" s="18"/>
      <c r="B61" s="18"/>
      <c r="C61" s="18"/>
      <c r="D61" s="18"/>
      <c r="E61" s="42"/>
      <c r="F61" s="18"/>
      <c r="G61" s="18"/>
      <c r="H61" s="41"/>
      <c r="I61" s="14"/>
      <c r="J61" s="14"/>
      <c r="K61" s="14"/>
      <c r="L61" s="14"/>
      <c r="M61" s="14"/>
      <c r="N61" s="14"/>
      <c r="O61" s="124"/>
    </row>
    <row r="62" spans="1:15" s="19" customFormat="1" ht="17.100000000000001" customHeight="1" x14ac:dyDescent="0.2">
      <c r="A62" s="18"/>
      <c r="B62" s="18"/>
      <c r="C62" s="18"/>
      <c r="D62" s="18"/>
      <c r="E62" s="42"/>
      <c r="F62" s="18"/>
      <c r="G62" s="18"/>
      <c r="H62" s="41"/>
      <c r="I62" s="14"/>
      <c r="J62" s="14"/>
      <c r="K62" s="14"/>
      <c r="L62" s="14"/>
      <c r="M62" s="14"/>
      <c r="N62" s="14"/>
      <c r="O62" s="124"/>
    </row>
    <row r="63" spans="1:15" s="19" customFormat="1" ht="17.100000000000001" customHeight="1" x14ac:dyDescent="0.2">
      <c r="A63" s="18"/>
      <c r="B63" s="18"/>
      <c r="C63" s="18"/>
      <c r="D63" s="18"/>
      <c r="E63" s="42"/>
      <c r="F63" s="18"/>
      <c r="G63" s="18"/>
      <c r="H63" s="41"/>
      <c r="I63" s="14"/>
      <c r="J63" s="14"/>
      <c r="K63" s="14"/>
      <c r="L63" s="14"/>
      <c r="M63" s="14"/>
      <c r="N63" s="14"/>
      <c r="O63" s="124"/>
    </row>
    <row r="64" spans="1:15" s="19" customFormat="1" ht="17.100000000000001" customHeight="1" x14ac:dyDescent="0.2">
      <c r="A64" s="18"/>
      <c r="B64" s="18"/>
      <c r="C64" s="23"/>
      <c r="D64" s="18"/>
      <c r="E64" s="24"/>
      <c r="F64" s="18"/>
      <c r="G64" s="18"/>
      <c r="H64" s="27"/>
      <c r="I64" s="14"/>
      <c r="J64" s="14"/>
      <c r="K64" s="14"/>
      <c r="L64" s="14"/>
      <c r="M64" s="14"/>
      <c r="N64" s="14"/>
      <c r="O64" s="124"/>
    </row>
    <row r="65" spans="1:18" s="28" customFormat="1" ht="17.100000000000001" customHeight="1" x14ac:dyDescent="0.25">
      <c r="A65" s="127" t="s">
        <v>16</v>
      </c>
      <c r="B65" s="129" t="s">
        <v>17</v>
      </c>
      <c r="C65" s="129" t="s">
        <v>18</v>
      </c>
      <c r="D65" s="129" t="s">
        <v>19</v>
      </c>
      <c r="E65" s="129" t="s">
        <v>20</v>
      </c>
      <c r="F65" s="129" t="s">
        <v>21</v>
      </c>
      <c r="G65" s="129" t="s">
        <v>22</v>
      </c>
      <c r="H65" s="140" t="s">
        <v>23</v>
      </c>
      <c r="I65" s="140"/>
      <c r="J65" s="140"/>
      <c r="K65" s="140"/>
      <c r="L65" s="141"/>
      <c r="M65" s="129" t="s">
        <v>24</v>
      </c>
      <c r="N65" s="129" t="s">
        <v>25</v>
      </c>
      <c r="O65" s="95"/>
    </row>
    <row r="66" spans="1:18" s="28" customFormat="1" ht="17.100000000000001" customHeight="1" x14ac:dyDescent="0.25">
      <c r="A66" s="128"/>
      <c r="B66" s="130"/>
      <c r="C66" s="130"/>
      <c r="D66" s="130"/>
      <c r="E66" s="130"/>
      <c r="F66" s="130"/>
      <c r="G66" s="130"/>
      <c r="H66" s="4" t="s">
        <v>27</v>
      </c>
      <c r="I66" s="4" t="s">
        <v>28</v>
      </c>
      <c r="J66" s="4" t="s">
        <v>29</v>
      </c>
      <c r="K66" s="4" t="s">
        <v>53</v>
      </c>
      <c r="L66" s="4" t="s">
        <v>30</v>
      </c>
      <c r="M66" s="130"/>
      <c r="N66" s="130"/>
      <c r="O66" s="95"/>
    </row>
    <row r="67" spans="1:18" s="29" customFormat="1" ht="17.100000000000001" customHeight="1" x14ac:dyDescent="0.2">
      <c r="A67" s="30">
        <v>3</v>
      </c>
      <c r="B67" s="131" t="s">
        <v>38</v>
      </c>
      <c r="C67" s="132"/>
      <c r="D67" s="132"/>
      <c r="E67" s="132"/>
      <c r="F67" s="133"/>
      <c r="G67" s="31"/>
      <c r="H67" s="31"/>
      <c r="I67" s="31"/>
      <c r="J67" s="31"/>
      <c r="K67" s="31"/>
      <c r="L67" s="31"/>
      <c r="M67" s="32">
        <f>SUM(M68:M79)</f>
        <v>64599.112423428145</v>
      </c>
      <c r="N67" s="31"/>
      <c r="O67" s="95"/>
    </row>
    <row r="68" spans="1:18" s="29" customFormat="1" ht="26.25" customHeight="1" x14ac:dyDescent="0.2">
      <c r="A68" s="33" t="s">
        <v>76</v>
      </c>
      <c r="B68" s="33" t="s">
        <v>33</v>
      </c>
      <c r="C68" s="33" t="s">
        <v>58</v>
      </c>
      <c r="D68" s="33" t="s">
        <v>34</v>
      </c>
      <c r="E68" s="34" t="s">
        <v>59</v>
      </c>
      <c r="F68" s="35" t="s">
        <v>35</v>
      </c>
      <c r="G68" s="33">
        <v>180</v>
      </c>
      <c r="H68" s="68">
        <v>32.57</v>
      </c>
      <c r="I68" s="36">
        <f>H68*0.2232</f>
        <v>7.2696240000000003</v>
      </c>
      <c r="J68" s="36">
        <f>H68+I68</f>
        <v>39.839624000000001</v>
      </c>
      <c r="K68" s="36">
        <f>J68*(0.03%)</f>
        <v>1.1951887199999999E-2</v>
      </c>
      <c r="L68" s="36">
        <f>J68-K68</f>
        <v>39.827672112800002</v>
      </c>
      <c r="M68" s="36">
        <f>L68*G68</f>
        <v>7168.9809803040007</v>
      </c>
      <c r="N68" s="36">
        <f>M68/M$16</f>
        <v>8.8093229221058778E-2</v>
      </c>
      <c r="O68" s="124"/>
    </row>
    <row r="69" spans="1:18" s="29" customFormat="1" ht="23.25" customHeight="1" x14ac:dyDescent="0.2">
      <c r="A69" s="33" t="s">
        <v>78</v>
      </c>
      <c r="B69" s="33" t="s">
        <v>33</v>
      </c>
      <c r="C69" s="33" t="s">
        <v>60</v>
      </c>
      <c r="D69" s="33" t="s">
        <v>34</v>
      </c>
      <c r="E69" s="34" t="s">
        <v>61</v>
      </c>
      <c r="F69" s="35" t="s">
        <v>35</v>
      </c>
      <c r="G69" s="33">
        <v>180</v>
      </c>
      <c r="H69" s="68">
        <v>30.38</v>
      </c>
      <c r="I69" s="36">
        <f t="shared" ref="I69" si="30">H69*0.2232</f>
        <v>6.7808159999999997</v>
      </c>
      <c r="J69" s="36">
        <f t="shared" ref="J69" si="31">H69+I69</f>
        <v>37.160815999999997</v>
      </c>
      <c r="K69" s="36">
        <f t="shared" ref="K69" si="32">J69*(0.03%)</f>
        <v>1.1148244799999998E-2</v>
      </c>
      <c r="L69" s="36">
        <f t="shared" ref="L69" si="33">J69-K69</f>
        <v>37.149667755199999</v>
      </c>
      <c r="M69" s="36">
        <f t="shared" ref="M69" si="34">L69*G69</f>
        <v>6686.9401959360002</v>
      </c>
      <c r="N69" s="36">
        <f>M69/M$16</f>
        <v>8.2169858880434918E-2</v>
      </c>
      <c r="O69" s="124"/>
    </row>
    <row r="70" spans="1:18" s="29" customFormat="1" ht="23.25" customHeight="1" x14ac:dyDescent="0.2">
      <c r="A70" s="11" t="s">
        <v>77</v>
      </c>
      <c r="B70" s="11" t="s">
        <v>33</v>
      </c>
      <c r="C70" s="11">
        <v>88310</v>
      </c>
      <c r="D70" s="11" t="s">
        <v>34</v>
      </c>
      <c r="E70" s="20" t="s">
        <v>79</v>
      </c>
      <c r="F70" s="13" t="s">
        <v>35</v>
      </c>
      <c r="G70" s="11">
        <v>36</v>
      </c>
      <c r="H70" s="68">
        <v>35.880000000000003</v>
      </c>
      <c r="I70" s="14">
        <f>H70*0.2232</f>
        <v>8.0084160000000004</v>
      </c>
      <c r="J70" s="14">
        <f>H70+I70</f>
        <v>43.888416000000007</v>
      </c>
      <c r="K70" s="14">
        <f>J70*(0.03%)</f>
        <v>1.3166524800000001E-2</v>
      </c>
      <c r="L70" s="14">
        <f>J70-K70</f>
        <v>43.875249475200008</v>
      </c>
      <c r="M70" s="14">
        <f>L70*G70</f>
        <v>1579.5089811072003</v>
      </c>
      <c r="N70" s="14">
        <f>M70/M$16</f>
        <v>1.9409180622975676E-2</v>
      </c>
      <c r="O70" s="124"/>
    </row>
    <row r="71" spans="1:18" s="29" customFormat="1" ht="23.25" customHeight="1" x14ac:dyDescent="0.2">
      <c r="A71" s="11" t="s">
        <v>83</v>
      </c>
      <c r="B71" s="17" t="s">
        <v>33</v>
      </c>
      <c r="C71" s="62">
        <v>93588</v>
      </c>
      <c r="D71" s="62" t="s">
        <v>34</v>
      </c>
      <c r="E71" s="63" t="s">
        <v>161</v>
      </c>
      <c r="F71" s="64" t="s">
        <v>162</v>
      </c>
      <c r="G71" s="62">
        <f>8*17</f>
        <v>136</v>
      </c>
      <c r="H71" s="69">
        <v>3.19</v>
      </c>
      <c r="I71" s="47">
        <f t="shared" ref="I71" si="35">H71*0.2232</f>
        <v>0.71200799999999997</v>
      </c>
      <c r="J71" s="47">
        <f t="shared" ref="J71" si="36">H71+I71</f>
        <v>3.9020079999999999</v>
      </c>
      <c r="K71" s="47">
        <f t="shared" ref="K71" si="37">J71*(0.03%)</f>
        <v>1.1706023999999999E-3</v>
      </c>
      <c r="L71" s="47">
        <f t="shared" ref="L71" si="38">J71-K71</f>
        <v>3.9008373975999997</v>
      </c>
      <c r="M71" s="47">
        <f t="shared" ref="M71" si="39">L71*G71</f>
        <v>530.51388607359991</v>
      </c>
      <c r="N71" s="47">
        <f t="shared" ref="N71" si="40">M71/M70</f>
        <v>0.33587266195961835</v>
      </c>
      <c r="O71" s="124"/>
    </row>
    <row r="72" spans="1:18" s="29" customFormat="1" ht="23.25" customHeight="1" x14ac:dyDescent="0.2">
      <c r="A72" s="142" t="s">
        <v>168</v>
      </c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4"/>
      <c r="O72" s="124"/>
    </row>
    <row r="73" spans="1:18" s="29" customFormat="1" ht="23.25" customHeight="1" x14ac:dyDescent="0.2">
      <c r="A73" s="84" t="s">
        <v>84</v>
      </c>
      <c r="B73" s="85" t="s">
        <v>33</v>
      </c>
      <c r="C73" s="73">
        <v>4716</v>
      </c>
      <c r="D73" s="73" t="s">
        <v>165</v>
      </c>
      <c r="E73" s="86" t="s">
        <v>166</v>
      </c>
      <c r="F73" s="73" t="s">
        <v>80</v>
      </c>
      <c r="G73" s="73">
        <v>102.36</v>
      </c>
      <c r="H73" s="72">
        <v>309.86</v>
      </c>
      <c r="I73" s="87">
        <v>69.160752000000002</v>
      </c>
      <c r="J73" s="87">
        <v>379.02075200000002</v>
      </c>
      <c r="K73" s="87">
        <v>0.11370622559999999</v>
      </c>
      <c r="L73" s="87">
        <v>378.90704577439999</v>
      </c>
      <c r="M73" s="87">
        <v>38784.925205467582</v>
      </c>
      <c r="N73" s="47">
        <f>M73/M67</f>
        <v>0.60039408825378016</v>
      </c>
      <c r="O73" s="124"/>
      <c r="Q73" s="82"/>
    </row>
    <row r="74" spans="1:18" s="29" customFormat="1" ht="23.25" customHeight="1" x14ac:dyDescent="0.2">
      <c r="A74" s="84" t="s">
        <v>85</v>
      </c>
      <c r="B74" s="85" t="s">
        <v>33</v>
      </c>
      <c r="C74" s="73">
        <v>7695</v>
      </c>
      <c r="D74" s="73" t="s">
        <v>165</v>
      </c>
      <c r="E74" s="88" t="s">
        <v>167</v>
      </c>
      <c r="F74" s="73" t="s">
        <v>80</v>
      </c>
      <c r="G74" s="73">
        <v>102.36</v>
      </c>
      <c r="H74" s="71">
        <v>26.85</v>
      </c>
      <c r="I74" s="87">
        <v>5.9929200000000007</v>
      </c>
      <c r="J74" s="87">
        <v>32.842919999999999</v>
      </c>
      <c r="K74" s="87">
        <v>9.8528759999999983E-3</v>
      </c>
      <c r="L74" s="87">
        <v>32.833067124000003</v>
      </c>
      <c r="M74" s="87">
        <v>3360.7927508126404</v>
      </c>
      <c r="N74" s="47">
        <f>M74/M67</f>
        <v>5.2025370391835017E-2</v>
      </c>
      <c r="O74" s="124"/>
    </row>
    <row r="75" spans="1:18" s="29" customFormat="1" ht="23.25" customHeight="1" x14ac:dyDescent="0.2">
      <c r="A75" s="142" t="s">
        <v>158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4"/>
      <c r="O75" s="124"/>
    </row>
    <row r="76" spans="1:18" s="29" customFormat="1" ht="23.25" customHeight="1" x14ac:dyDescent="0.2">
      <c r="A76" s="11" t="s">
        <v>86</v>
      </c>
      <c r="B76" s="11" t="s">
        <v>33</v>
      </c>
      <c r="C76" s="43">
        <v>100701</v>
      </c>
      <c r="D76" s="43" t="s">
        <v>34</v>
      </c>
      <c r="E76" s="44" t="s">
        <v>157</v>
      </c>
      <c r="F76" s="43" t="s">
        <v>80</v>
      </c>
      <c r="G76" s="43">
        <f>2.5*2.87</f>
        <v>7.1750000000000007</v>
      </c>
      <c r="H76" s="72">
        <v>566.45000000000005</v>
      </c>
      <c r="I76" s="51">
        <f t="shared" ref="I76:I79" si="41">H76*0.2232</f>
        <v>126.43164000000002</v>
      </c>
      <c r="J76" s="51">
        <f t="shared" ref="J76:J79" si="42">H76+I76</f>
        <v>692.88164000000006</v>
      </c>
      <c r="K76" s="52">
        <f t="shared" ref="K76:K79" si="43">J76*(0.03%)</f>
        <v>0.20786449200000001</v>
      </c>
      <c r="L76" s="51">
        <f t="shared" ref="L76:L79" si="44">J76-K76</f>
        <v>692.67377550800006</v>
      </c>
      <c r="M76" s="51">
        <f t="shared" ref="M76:M79" si="45">L76*G76</f>
        <v>4969.9343392699011</v>
      </c>
      <c r="N76" s="51">
        <f>M76/M67</f>
        <v>7.6935025154733494E-2</v>
      </c>
      <c r="O76" s="124"/>
    </row>
    <row r="77" spans="1:18" s="29" customFormat="1" ht="23.25" customHeight="1" x14ac:dyDescent="0.2">
      <c r="A77" s="60" t="s">
        <v>87</v>
      </c>
      <c r="B77" s="33" t="s">
        <v>33</v>
      </c>
      <c r="C77" s="65">
        <v>102161</v>
      </c>
      <c r="D77" s="65" t="s">
        <v>34</v>
      </c>
      <c r="E77" s="66" t="s">
        <v>160</v>
      </c>
      <c r="F77" s="65" t="s">
        <v>80</v>
      </c>
      <c r="G77" s="67">
        <f>2*1.075*1.05</f>
        <v>2.2574999999999998</v>
      </c>
      <c r="H77" s="70">
        <v>297.45</v>
      </c>
      <c r="I77" s="61">
        <f t="shared" si="41"/>
        <v>66.390839999999997</v>
      </c>
      <c r="J77" s="61">
        <f t="shared" si="42"/>
        <v>363.84083999999996</v>
      </c>
      <c r="K77" s="61">
        <f t="shared" si="43"/>
        <v>0.10915225199999998</v>
      </c>
      <c r="L77" s="61">
        <f t="shared" si="44"/>
        <v>363.73168774799996</v>
      </c>
      <c r="M77" s="61">
        <f t="shared" si="45"/>
        <v>821.12428509110987</v>
      </c>
      <c r="N77" s="36">
        <f t="shared" ref="N77" si="46">M77/M$16</f>
        <v>1.0090065807712852E-2</v>
      </c>
      <c r="O77" s="124"/>
    </row>
    <row r="78" spans="1:18" s="29" customFormat="1" ht="23.25" customHeight="1" x14ac:dyDescent="0.2">
      <c r="A78" s="11" t="s">
        <v>88</v>
      </c>
      <c r="B78" s="33" t="s">
        <v>33</v>
      </c>
      <c r="C78" s="65">
        <v>91304</v>
      </c>
      <c r="D78" s="65" t="s">
        <v>34</v>
      </c>
      <c r="E78" s="66" t="s">
        <v>164</v>
      </c>
      <c r="F78" s="65" t="s">
        <v>159</v>
      </c>
      <c r="G78" s="67">
        <v>1</v>
      </c>
      <c r="H78" s="72">
        <v>141.43</v>
      </c>
      <c r="I78" s="61">
        <f t="shared" ref="I78" si="47">H78*0.2232</f>
        <v>31.567176000000003</v>
      </c>
      <c r="J78" s="61">
        <f t="shared" ref="J78" si="48">H78+I78</f>
        <v>172.99717600000002</v>
      </c>
      <c r="K78" s="61">
        <f t="shared" ref="K78" si="49">J78*(0.03%)</f>
        <v>5.1899152800000001E-2</v>
      </c>
      <c r="L78" s="61">
        <f t="shared" ref="L78" si="50">J78-K78</f>
        <v>172.94527684720003</v>
      </c>
      <c r="M78" s="61">
        <f t="shared" ref="M78" si="51">L78*G78</f>
        <v>172.94527684720003</v>
      </c>
      <c r="N78" s="36">
        <f t="shared" ref="N78" si="52">M78/M$16</f>
        <v>2.1251706425023612E-3</v>
      </c>
      <c r="O78" s="124"/>
    </row>
    <row r="79" spans="1:18" s="29" customFormat="1" ht="23.25" customHeight="1" x14ac:dyDescent="0.2">
      <c r="A79" s="60" t="s">
        <v>124</v>
      </c>
      <c r="B79" s="11" t="s">
        <v>33</v>
      </c>
      <c r="C79" s="73">
        <v>100746</v>
      </c>
      <c r="D79" s="43" t="s">
        <v>34</v>
      </c>
      <c r="E79" s="44" t="s">
        <v>82</v>
      </c>
      <c r="F79" s="43" t="s">
        <v>80</v>
      </c>
      <c r="G79" s="43">
        <f>G76*2</f>
        <v>14.350000000000001</v>
      </c>
      <c r="H79" s="72">
        <v>29.83</v>
      </c>
      <c r="I79" s="51">
        <f t="shared" si="41"/>
        <v>6.6580560000000002</v>
      </c>
      <c r="J79" s="51">
        <f t="shared" si="42"/>
        <v>36.488056</v>
      </c>
      <c r="K79" s="52">
        <f t="shared" si="43"/>
        <v>1.0946416799999999E-2</v>
      </c>
      <c r="L79" s="51">
        <f t="shared" si="44"/>
        <v>36.477109583199997</v>
      </c>
      <c r="M79" s="51">
        <f t="shared" si="45"/>
        <v>523.44652251892001</v>
      </c>
      <c r="N79" s="51">
        <f>M79/M67</f>
        <v>8.1029986772555365E-3</v>
      </c>
      <c r="O79" s="124"/>
      <c r="R79" s="83"/>
    </row>
    <row r="80" spans="1:18" s="40" customFormat="1" ht="17.100000000000001" customHeight="1" x14ac:dyDescent="0.2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124"/>
    </row>
    <row r="81" spans="1:15" s="40" customFormat="1" ht="17.100000000000001" customHeight="1" x14ac:dyDescent="0.2">
      <c r="A81" s="134"/>
      <c r="B81" s="135"/>
      <c r="C81" s="135"/>
      <c r="D81" s="135"/>
      <c r="E81" s="135"/>
      <c r="F81" s="135"/>
      <c r="G81" s="135"/>
      <c r="H81" s="38" t="s">
        <v>39</v>
      </c>
      <c r="I81" s="39"/>
      <c r="J81" s="136">
        <f>M16+M31+M67</f>
        <v>164168.06376988941</v>
      </c>
      <c r="K81" s="137"/>
      <c r="L81" s="137"/>
      <c r="M81" s="137"/>
      <c r="N81" s="138"/>
      <c r="O81" s="95"/>
    </row>
    <row r="82" spans="1:15" ht="17.100000000000001" customHeight="1" x14ac:dyDescent="0.25">
      <c r="A82" s="139" t="s">
        <v>121</v>
      </c>
      <c r="B82" s="100"/>
      <c r="C82" s="100"/>
      <c r="D82" s="100"/>
      <c r="E82" s="100"/>
      <c r="F82" s="100"/>
      <c r="G82" s="100"/>
      <c r="H82" s="97"/>
      <c r="I82" s="97"/>
      <c r="J82" s="97"/>
      <c r="K82" s="97"/>
      <c r="L82" s="97"/>
      <c r="M82" s="97"/>
      <c r="N82" s="98"/>
      <c r="O82" s="95"/>
    </row>
    <row r="83" spans="1:15" ht="17.100000000000001" customHeight="1" x14ac:dyDescent="0.25">
      <c r="A83" s="99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1"/>
      <c r="O83" s="95"/>
    </row>
    <row r="84" spans="1:15" ht="17.100000000000001" customHeight="1" x14ac:dyDescent="0.25">
      <c r="A84" s="99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1"/>
      <c r="O84" s="95"/>
    </row>
    <row r="85" spans="1:15" ht="17.100000000000001" customHeight="1" x14ac:dyDescent="0.25">
      <c r="A85" s="99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1"/>
      <c r="O85" s="95"/>
    </row>
    <row r="86" spans="1:15" ht="17.100000000000001" customHeight="1" x14ac:dyDescent="0.25">
      <c r="A86" s="99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1"/>
      <c r="O86" s="95"/>
    </row>
    <row r="87" spans="1:15" ht="17.100000000000001" customHeight="1" x14ac:dyDescent="0.25">
      <c r="A87" s="99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1"/>
      <c r="O87" s="95"/>
    </row>
    <row r="88" spans="1:15" ht="17.100000000000001" customHeight="1" x14ac:dyDescent="0.25">
      <c r="A88" s="102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4"/>
      <c r="O88" s="95"/>
    </row>
    <row r="89" spans="1:15" ht="17.100000000000001" customHeight="1" x14ac:dyDescent="0.25">
      <c r="A89" s="16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62"/>
    </row>
    <row r="90" spans="1:15" ht="17.100000000000001" customHeight="1" x14ac:dyDescent="0.25">
      <c r="A90" s="163" t="s">
        <v>40</v>
      </c>
      <c r="B90" s="164"/>
      <c r="C90" s="164"/>
      <c r="D90" s="164"/>
      <c r="E90" s="164"/>
      <c r="F90" s="164"/>
      <c r="G90" s="165" t="s">
        <v>41</v>
      </c>
      <c r="H90" s="165"/>
      <c r="I90" s="165"/>
      <c r="J90" s="165"/>
      <c r="K90" s="166"/>
      <c r="L90" s="167"/>
      <c r="M90" s="167"/>
      <c r="N90" s="168"/>
      <c r="O90" s="95" t="s">
        <v>42</v>
      </c>
    </row>
    <row r="91" spans="1:15" ht="17.100000000000001" customHeight="1" x14ac:dyDescent="0.25">
      <c r="A91" s="173" t="s">
        <v>43</v>
      </c>
      <c r="B91" s="174"/>
      <c r="C91" s="174"/>
      <c r="D91" s="174"/>
      <c r="E91" s="174"/>
      <c r="F91" s="175"/>
      <c r="G91" s="179" t="s">
        <v>44</v>
      </c>
      <c r="H91" s="174"/>
      <c r="I91" s="174"/>
      <c r="J91" s="175"/>
      <c r="K91" s="169"/>
      <c r="L91" s="170"/>
      <c r="M91" s="170"/>
      <c r="N91" s="171"/>
      <c r="O91" s="95"/>
    </row>
    <row r="92" spans="1:15" ht="17.100000000000001" customHeight="1" x14ac:dyDescent="0.25">
      <c r="A92" s="176"/>
      <c r="B92" s="177"/>
      <c r="C92" s="177"/>
      <c r="D92" s="177"/>
      <c r="E92" s="177"/>
      <c r="F92" s="178"/>
      <c r="G92" s="180"/>
      <c r="H92" s="177"/>
      <c r="I92" s="177"/>
      <c r="J92" s="178"/>
      <c r="K92" s="169"/>
      <c r="L92" s="170"/>
      <c r="M92" s="170"/>
      <c r="N92" s="171"/>
      <c r="O92" s="95"/>
    </row>
    <row r="93" spans="1:15" ht="17.100000000000001" customHeight="1" x14ac:dyDescent="0.25">
      <c r="A93" s="176"/>
      <c r="B93" s="177"/>
      <c r="C93" s="177"/>
      <c r="D93" s="177"/>
      <c r="E93" s="177"/>
      <c r="F93" s="178"/>
      <c r="G93" s="180"/>
      <c r="H93" s="177"/>
      <c r="I93" s="177"/>
      <c r="J93" s="178"/>
      <c r="K93" s="169"/>
      <c r="L93" s="170"/>
      <c r="M93" s="170"/>
      <c r="N93" s="171"/>
      <c r="O93" s="95"/>
    </row>
    <row r="94" spans="1:15" ht="17.100000000000001" customHeight="1" x14ac:dyDescent="0.25">
      <c r="A94" s="176"/>
      <c r="B94" s="177"/>
      <c r="C94" s="177"/>
      <c r="D94" s="177"/>
      <c r="E94" s="177"/>
      <c r="F94" s="178"/>
      <c r="G94" s="180"/>
      <c r="H94" s="177"/>
      <c r="I94" s="177"/>
      <c r="J94" s="178"/>
      <c r="K94" s="169"/>
      <c r="L94" s="170"/>
      <c r="M94" s="170"/>
      <c r="N94" s="171"/>
      <c r="O94" s="95"/>
    </row>
    <row r="95" spans="1:15" ht="17.100000000000001" customHeight="1" x14ac:dyDescent="0.25">
      <c r="A95" s="176"/>
      <c r="B95" s="177"/>
      <c r="C95" s="177"/>
      <c r="D95" s="177"/>
      <c r="E95" s="177"/>
      <c r="F95" s="178"/>
      <c r="G95" s="180"/>
      <c r="H95" s="177"/>
      <c r="I95" s="177"/>
      <c r="J95" s="178"/>
      <c r="K95" s="169"/>
      <c r="L95" s="170"/>
      <c r="M95" s="170"/>
      <c r="N95" s="171"/>
      <c r="O95" s="95"/>
    </row>
    <row r="96" spans="1:15" ht="17.100000000000001" customHeight="1" x14ac:dyDescent="0.25">
      <c r="A96" s="176"/>
      <c r="B96" s="177"/>
      <c r="C96" s="177"/>
      <c r="D96" s="177"/>
      <c r="E96" s="177"/>
      <c r="F96" s="178"/>
      <c r="G96" s="180"/>
      <c r="H96" s="177"/>
      <c r="I96" s="177"/>
      <c r="J96" s="178"/>
      <c r="K96" s="169"/>
      <c r="L96" s="170"/>
      <c r="M96" s="170"/>
      <c r="N96" s="171"/>
      <c r="O96" s="95"/>
    </row>
    <row r="97" spans="1:19" ht="17.100000000000001" customHeight="1" x14ac:dyDescent="0.25">
      <c r="A97" s="176"/>
      <c r="B97" s="177"/>
      <c r="C97" s="177"/>
      <c r="D97" s="177"/>
      <c r="E97" s="177"/>
      <c r="F97" s="178"/>
      <c r="G97" s="180"/>
      <c r="H97" s="177"/>
      <c r="I97" s="177"/>
      <c r="J97" s="178"/>
      <c r="K97" s="169"/>
      <c r="L97" s="170"/>
      <c r="M97" s="170"/>
      <c r="N97" s="171"/>
      <c r="O97" s="95"/>
    </row>
    <row r="98" spans="1:19" ht="17.100000000000001" customHeight="1" thickBot="1" x14ac:dyDescent="0.3">
      <c r="A98" s="176"/>
      <c r="B98" s="177"/>
      <c r="C98" s="177"/>
      <c r="D98" s="177"/>
      <c r="E98" s="177"/>
      <c r="F98" s="178"/>
      <c r="G98" s="180"/>
      <c r="H98" s="177"/>
      <c r="I98" s="177"/>
      <c r="J98" s="178"/>
      <c r="K98" s="169"/>
      <c r="L98" s="170"/>
      <c r="M98" s="170"/>
      <c r="N98" s="171"/>
      <c r="O98" s="172"/>
    </row>
    <row r="99" spans="1:19" ht="17.100000000000001" customHeight="1" thickBot="1" x14ac:dyDescent="0.3">
      <c r="A99" s="146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8"/>
    </row>
    <row r="100" spans="1:19" ht="17.100000000000001" customHeight="1" x14ac:dyDescent="0.25">
      <c r="A100" s="139" t="s">
        <v>45</v>
      </c>
      <c r="B100" s="100"/>
      <c r="C100" s="100"/>
      <c r="D100" s="101"/>
      <c r="E100" s="149" t="s">
        <v>46</v>
      </c>
      <c r="F100" s="100"/>
      <c r="G100" s="100"/>
      <c r="H100" s="100"/>
      <c r="I100" s="100"/>
      <c r="J100" s="100"/>
      <c r="K100" s="151" t="s">
        <v>47</v>
      </c>
      <c r="L100" s="152"/>
      <c r="M100" s="152"/>
      <c r="N100" s="152"/>
      <c r="O100" s="156" t="s">
        <v>48</v>
      </c>
    </row>
    <row r="101" spans="1:19" ht="17.100000000000001" customHeight="1" x14ac:dyDescent="0.25">
      <c r="A101" s="102"/>
      <c r="B101" s="103"/>
      <c r="C101" s="103"/>
      <c r="D101" s="104"/>
      <c r="E101" s="150"/>
      <c r="F101" s="103"/>
      <c r="G101" s="103"/>
      <c r="H101" s="103"/>
      <c r="I101" s="103"/>
      <c r="J101" s="103"/>
      <c r="K101" s="153"/>
      <c r="L101" s="152"/>
      <c r="M101" s="152"/>
      <c r="N101" s="152"/>
      <c r="O101" s="157"/>
    </row>
    <row r="102" spans="1:19" ht="17.100000000000001" customHeight="1" x14ac:dyDescent="0.25">
      <c r="A102" s="96" t="s">
        <v>49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153"/>
      <c r="L102" s="152"/>
      <c r="M102" s="152"/>
      <c r="N102" s="152"/>
      <c r="O102" s="157"/>
    </row>
    <row r="103" spans="1:19" ht="17.100000000000001" customHeight="1" x14ac:dyDescent="0.25">
      <c r="A103" s="99"/>
      <c r="B103" s="100"/>
      <c r="C103" s="100"/>
      <c r="D103" s="100"/>
      <c r="E103" s="100"/>
      <c r="F103" s="100"/>
      <c r="G103" s="100"/>
      <c r="H103" s="100"/>
      <c r="I103" s="100"/>
      <c r="J103" s="100"/>
      <c r="K103" s="153"/>
      <c r="L103" s="152"/>
      <c r="M103" s="152"/>
      <c r="N103" s="152"/>
      <c r="O103" s="157"/>
    </row>
    <row r="104" spans="1:19" ht="17.100000000000001" customHeight="1" x14ac:dyDescent="0.25">
      <c r="A104" s="99"/>
      <c r="B104" s="100"/>
      <c r="C104" s="100"/>
      <c r="D104" s="100"/>
      <c r="E104" s="100"/>
      <c r="F104" s="100"/>
      <c r="G104" s="100"/>
      <c r="H104" s="100"/>
      <c r="I104" s="100"/>
      <c r="J104" s="100"/>
      <c r="K104" s="153"/>
      <c r="L104" s="152"/>
      <c r="M104" s="152"/>
      <c r="N104" s="152"/>
      <c r="O104" s="157"/>
    </row>
    <row r="105" spans="1:19" ht="17.100000000000001" customHeight="1" x14ac:dyDescent="0.25">
      <c r="A105" s="99"/>
      <c r="B105" s="100"/>
      <c r="C105" s="100"/>
      <c r="D105" s="100"/>
      <c r="E105" s="100"/>
      <c r="F105" s="100"/>
      <c r="G105" s="100"/>
      <c r="H105" s="100"/>
      <c r="I105" s="100"/>
      <c r="J105" s="100"/>
      <c r="K105" s="153"/>
      <c r="L105" s="152"/>
      <c r="M105" s="152"/>
      <c r="N105" s="152"/>
      <c r="O105" s="157"/>
    </row>
    <row r="106" spans="1:19" ht="17.100000000000001" customHeight="1" thickBot="1" x14ac:dyDescent="0.3">
      <c r="A106" s="159"/>
      <c r="B106" s="160"/>
      <c r="C106" s="160"/>
      <c r="D106" s="160"/>
      <c r="E106" s="160"/>
      <c r="F106" s="160"/>
      <c r="G106" s="160"/>
      <c r="H106" s="160"/>
      <c r="I106" s="160"/>
      <c r="J106" s="160"/>
      <c r="K106" s="154"/>
      <c r="L106" s="155"/>
      <c r="M106" s="155"/>
      <c r="N106" s="155"/>
      <c r="O106" s="158"/>
    </row>
    <row r="107" spans="1:19" ht="14.1" customHeight="1" x14ac:dyDescent="0.25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</row>
    <row r="108" spans="1:19" ht="14.1" customHeight="1" x14ac:dyDescent="0.25"/>
    <row r="109" spans="1:19" ht="14.1" customHeight="1" x14ac:dyDescent="0.25"/>
    <row r="110" spans="1:19" ht="14.1" customHeight="1" x14ac:dyDescent="0.25"/>
  </sheetData>
  <sortState xmlns:xlrd2="http://schemas.microsoft.com/office/spreadsheetml/2017/richdata2" ref="A32:N74">
    <sortCondition ref="E32:E74"/>
  </sortState>
  <mergeCells count="74">
    <mergeCell ref="A89:O89"/>
    <mergeCell ref="A90:F90"/>
    <mergeCell ref="G90:J90"/>
    <mergeCell ref="K90:N98"/>
    <mergeCell ref="O90:O98"/>
    <mergeCell ref="A91:F98"/>
    <mergeCell ref="G91:J98"/>
    <mergeCell ref="A107:J107"/>
    <mergeCell ref="K107:S107"/>
    <mergeCell ref="A99:O99"/>
    <mergeCell ref="A100:D101"/>
    <mergeCell ref="E100:J101"/>
    <mergeCell ref="K100:N106"/>
    <mergeCell ref="O100:O106"/>
    <mergeCell ref="A102:J106"/>
    <mergeCell ref="N65:N66"/>
    <mergeCell ref="B67:F67"/>
    <mergeCell ref="A81:G81"/>
    <mergeCell ref="J81:N81"/>
    <mergeCell ref="A82:N88"/>
    <mergeCell ref="E65:E66"/>
    <mergeCell ref="F65:F66"/>
    <mergeCell ref="G65:G66"/>
    <mergeCell ref="H65:L65"/>
    <mergeCell ref="M65:M66"/>
    <mergeCell ref="A72:N72"/>
    <mergeCell ref="A75:N75"/>
    <mergeCell ref="O14:O88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65:A66"/>
    <mergeCell ref="B65:B66"/>
    <mergeCell ref="C65:C66"/>
    <mergeCell ref="D65:D66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pageMargins left="0.25" right="0.25" top="0.75" bottom="0.75" header="0.3" footer="0.3"/>
  <pageSetup paperSize="9" scale="5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A964041-557C-40A3-9C47-8C052901819F}"/>
</file>

<file path=customXml/itemProps2.xml><?xml version="1.0" encoding="utf-8"?>
<ds:datastoreItem xmlns:ds="http://schemas.openxmlformats.org/officeDocument/2006/customXml" ds:itemID="{CA4498D3-F327-48D4-8256-BDAC09C0517B}"/>
</file>

<file path=customXml/itemProps3.xml><?xml version="1.0" encoding="utf-8"?>
<ds:datastoreItem xmlns:ds="http://schemas.openxmlformats.org/officeDocument/2006/customXml" ds:itemID="{2DA7C366-A0F4-468E-92CB-837527725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2024-09-18T12:00:13Z</cp:lastPrinted>
  <dcterms:created xsi:type="dcterms:W3CDTF">2022-01-02T19:12:46Z</dcterms:created>
  <dcterms:modified xsi:type="dcterms:W3CDTF">2024-09-18T12:00:17Z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